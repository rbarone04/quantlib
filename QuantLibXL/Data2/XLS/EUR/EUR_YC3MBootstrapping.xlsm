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695"/>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Settings'!$D$20</definedName>
    <definedName name="BondBasisDayCounter">'General Settings'!$L$13</definedName>
    <definedName name="Calendar">'General Settings'!$D$18</definedName>
    <definedName name="CheckFRA">Monitor!$J$48</definedName>
    <definedName name="CheckIMMFut">Monitor!$J$52</definedName>
    <definedName name="CheckSerialFut">Monitor!$J$55</definedName>
    <definedName name="Conventions" localSheetId="6">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Monitor!$O$19:$O$30</definedName>
    <definedName name="FRANull">Monitor!$Q$19:$Q$30</definedName>
    <definedName name="FRAQuotes">Monitor!$P$19:$P$30</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Monitor!$O$33:$O$48</definedName>
    <definedName name="IMMFutNull">Monitor!$Q$33:$Q$48</definedName>
    <definedName name="IMMFutQuotes">Monitor!$P$33:$P$48</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RateHelpers!$K$2:$K$143</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RateHelpers!$E$2:$E$143</definedName>
    <definedName name="RateHelpersIncluded">RateHelpers!$I$2:$I$143</definedName>
    <definedName name="RateHelpersPriority">RateHelpers!$J$2:$J$143</definedName>
    <definedName name="RateHelpersSelected">Selected!$A$7</definedName>
    <definedName name="RecalcTrigger">Monitor!$J$20</definedName>
    <definedName name="SamplingFrequency">Monitor!$W$15</definedName>
    <definedName name="SerialFutDates">Monitor!$O$69:$O$76</definedName>
    <definedName name="SerialFutNull">Monitor!$Q$69:$Q$76</definedName>
    <definedName name="SerialFutQuotes">Monitor!$P$69:$P$76</definedName>
    <definedName name="SerialFutSeries">IF(CheckSerialFut=FALSE,SerialFutNull,SerialFutQuotes)</definedName>
    <definedName name="SerializationPath">'General Settings'!$L$5</definedName>
    <definedName name="Serialize">'General Settings'!$L$4</definedName>
    <definedName name="Swap3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G14" i="9" l="1"/>
  <c r="G6" i="9"/>
  <c r="G9" i="9"/>
  <c r="G13" i="9"/>
  <c r="G5" i="9"/>
  <c r="G10" i="9"/>
  <c r="G8" i="9"/>
  <c r="G12" i="9"/>
  <c r="G4" i="9"/>
  <c r="G11" i="9"/>
  <c r="G7" i="9"/>
  <c r="G3" i="9"/>
  <c r="U19" i="16" l="1" a="1"/>
  <c r="Q30" i="16"/>
  <c r="Q29" i="16"/>
  <c r="Q28" i="16"/>
  <c r="Q27" i="16"/>
  <c r="Q26" i="16"/>
  <c r="Q25" i="16"/>
  <c r="Q24" i="16"/>
  <c r="Q23" i="16"/>
  <c r="Q22" i="16"/>
  <c r="Q21" i="16"/>
  <c r="Q20" i="16"/>
  <c r="D14" i="5"/>
  <c r="D15" i="5"/>
  <c r="D16" i="5"/>
  <c r="D17" i="5"/>
  <c r="D18" i="5"/>
  <c r="D19" i="5"/>
  <c r="D20" i="5"/>
  <c r="B9" i="9"/>
  <c r="D9" i="9"/>
  <c r="E9" i="9"/>
  <c r="F9" i="9"/>
  <c r="B10" i="9"/>
  <c r="D10" i="9"/>
  <c r="F10" i="9" s="1"/>
  <c r="E10" i="9"/>
  <c r="B11" i="9"/>
  <c r="D11" i="9"/>
  <c r="E11" i="9"/>
  <c r="F11" i="9"/>
  <c r="B12" i="9"/>
  <c r="D12" i="9"/>
  <c r="E12" i="9"/>
  <c r="F12" i="9"/>
  <c r="B13" i="9"/>
  <c r="D13" i="9"/>
  <c r="E13" i="9"/>
  <c r="F13" i="9"/>
  <c r="B14" i="9"/>
  <c r="D14" i="9"/>
  <c r="F14" i="9" s="1"/>
  <c r="E14" i="9"/>
  <c r="M14" i="5"/>
  <c r="M16" i="5"/>
  <c r="M15" i="5"/>
  <c r="M18" i="5"/>
  <c r="H11" i="9"/>
  <c r="H13" i="9"/>
  <c r="M20" i="5"/>
  <c r="M19" i="5"/>
  <c r="H12" i="9"/>
  <c r="H10" i="9"/>
  <c r="H14" i="9"/>
  <c r="M17" i="5"/>
  <c r="H9" i="9"/>
  <c r="E15" i="5" l="1"/>
  <c r="E20" i="5"/>
  <c r="E18" i="5"/>
  <c r="E16" i="5"/>
  <c r="E17" i="5"/>
  <c r="E19" i="5"/>
  <c r="L15" i="5"/>
  <c r="F15" i="5"/>
  <c r="G15" i="5"/>
  <c r="F20" i="5"/>
  <c r="G20" i="5"/>
  <c r="L20" i="5"/>
  <c r="L18" i="5"/>
  <c r="F18" i="5"/>
  <c r="G18" i="5"/>
  <c r="G16" i="5"/>
  <c r="L16" i="5"/>
  <c r="F16" i="5"/>
  <c r="F17" i="5"/>
  <c r="L17" i="5"/>
  <c r="G17" i="5"/>
  <c r="F19" i="5"/>
  <c r="G19" i="5"/>
  <c r="L19" i="5"/>
  <c r="D18" i="17" l="1"/>
  <c r="G18" i="17" s="1"/>
  <c r="D17" i="17"/>
  <c r="G17" i="17" s="1"/>
  <c r="D16" i="17"/>
  <c r="G16" i="17" s="1"/>
  <c r="D15" i="17"/>
  <c r="G15" i="17" s="1"/>
  <c r="D14" i="17"/>
  <c r="G14" i="17" s="1"/>
  <c r="D13" i="17"/>
  <c r="G13" i="17" s="1"/>
  <c r="D12" i="17"/>
  <c r="G12" i="17" s="1"/>
  <c r="D11" i="17"/>
  <c r="G11" i="17" s="1"/>
  <c r="D10" i="17"/>
  <c r="G10" i="17" s="1"/>
  <c r="D9" i="17"/>
  <c r="G9" i="17" s="1"/>
  <c r="D8" i="17"/>
  <c r="G8" i="17" s="1"/>
  <c r="D7" i="17"/>
  <c r="G7" i="17" s="1"/>
  <c r="D6" i="17"/>
  <c r="G6" i="17" s="1"/>
  <c r="E17" i="17"/>
  <c r="E7" i="17"/>
  <c r="E6" i="17"/>
  <c r="D2" i="17"/>
  <c r="E14" i="17"/>
  <c r="E16" i="17"/>
  <c r="E10" i="17"/>
  <c r="E18" i="17"/>
  <c r="E15" i="17"/>
  <c r="E9" i="17"/>
  <c r="E11" i="17"/>
  <c r="E12" i="17"/>
  <c r="E13" i="17"/>
  <c r="E8" i="17"/>
  <c r="C18" i="17"/>
  <c r="D3" i="17"/>
  <c r="C6" i="17"/>
  <c r="C7" i="17"/>
  <c r="C8" i="17"/>
  <c r="F4" i="16" l="1"/>
  <c r="F5" i="16"/>
  <c r="F6" i="16"/>
  <c r="F7" i="16"/>
  <c r="F8" i="16"/>
  <c r="F10" i="16"/>
  <c r="F11" i="16"/>
  <c r="F12" i="16"/>
  <c r="F13" i="16"/>
  <c r="F14" i="16"/>
  <c r="F15" i="16"/>
  <c r="F16" i="16"/>
  <c r="F3" i="16"/>
  <c r="B15" i="16"/>
  <c r="B14" i="16"/>
  <c r="B12" i="16"/>
  <c r="B16" i="16"/>
  <c r="B11" i="16"/>
  <c r="B13" i="16"/>
  <c r="C3" i="16"/>
  <c r="C4" i="16"/>
  <c r="C5" i="16"/>
  <c r="L4" i="15"/>
  <c r="C9" i="17"/>
  <c r="L4" i="13"/>
  <c r="L6" i="15"/>
  <c r="L14" i="15"/>
  <c r="L11" i="15"/>
  <c r="L19" i="15"/>
  <c r="L27" i="15"/>
  <c r="L35" i="15"/>
  <c r="L28" i="15"/>
  <c r="L36" i="15"/>
  <c r="L29" i="15"/>
  <c r="L37" i="15"/>
  <c r="L13" i="15"/>
  <c r="L38" i="15"/>
  <c r="L39" i="15"/>
  <c r="L12" i="15"/>
  <c r="L22" i="15"/>
  <c r="L15" i="15"/>
  <c r="L16" i="15"/>
  <c r="L24" i="15"/>
  <c r="L32" i="15"/>
  <c r="L40" i="15"/>
  <c r="L20" i="15"/>
  <c r="L30" i="15"/>
  <c r="L23" i="15"/>
  <c r="L8" i="15"/>
  <c r="L9" i="15"/>
  <c r="L17" i="15"/>
  <c r="L25" i="15"/>
  <c r="L33" i="15"/>
  <c r="L41" i="15"/>
  <c r="L21" i="15"/>
  <c r="L7" i="15"/>
  <c r="L31" i="15"/>
  <c r="L10" i="15"/>
  <c r="L18" i="15"/>
  <c r="L26" i="15"/>
  <c r="L34" i="15"/>
  <c r="L42" i="15"/>
  <c r="L6" i="13"/>
  <c r="L20" i="13"/>
  <c r="L11" i="13"/>
  <c r="L19" i="13"/>
  <c r="L27" i="13"/>
  <c r="L35" i="13"/>
  <c r="L12" i="13"/>
  <c r="L28" i="13"/>
  <c r="L36" i="13"/>
  <c r="L13" i="13"/>
  <c r="L21" i="13"/>
  <c r="L29" i="13"/>
  <c r="L37" i="13"/>
  <c r="L14" i="13"/>
  <c r="L22" i="13"/>
  <c r="L30" i="13"/>
  <c r="L38" i="13"/>
  <c r="L7" i="13"/>
  <c r="L15" i="13"/>
  <c r="L23" i="13"/>
  <c r="L31" i="13"/>
  <c r="L39" i="13"/>
  <c r="L8" i="13"/>
  <c r="L16" i="13"/>
  <c r="L24" i="13"/>
  <c r="L32" i="13"/>
  <c r="L40" i="13"/>
  <c r="L9" i="13"/>
  <c r="L17" i="13"/>
  <c r="L25" i="13"/>
  <c r="L33" i="13"/>
  <c r="L41" i="13"/>
  <c r="L10" i="13"/>
  <c r="L18" i="13"/>
  <c r="L26" i="13"/>
  <c r="L34" i="13"/>
  <c r="L42" i="13"/>
  <c r="L44" i="13"/>
  <c r="L47" i="13"/>
  <c r="L48" i="13"/>
  <c r="L46" i="13"/>
  <c r="L49" i="13"/>
  <c r="L45" i="13"/>
  <c r="L50" i="13"/>
  <c r="C10" i="16" l="1"/>
  <c r="C11" i="16"/>
  <c r="C6" i="16"/>
  <c r="C12" i="16"/>
  <c r="Q19" i="16"/>
  <c r="Q59" i="16"/>
  <c r="Q60" i="16"/>
  <c r="Q61" i="16"/>
  <c r="Q62" i="16"/>
  <c r="Q63" i="16"/>
  <c r="Q64" i="16"/>
  <c r="Q65" i="16"/>
  <c r="Q66" i="16"/>
  <c r="Q69" i="16"/>
  <c r="Q70" i="16"/>
  <c r="Q71" i="16"/>
  <c r="Q72" i="16"/>
  <c r="Q73" i="16"/>
  <c r="Q74" i="16"/>
  <c r="Q75" i="16"/>
  <c r="Q76" i="16"/>
  <c r="B7" i="16"/>
  <c r="B8" i="16"/>
  <c r="B3" i="16"/>
  <c r="B5" i="16"/>
  <c r="C10" i="17"/>
  <c r="C13" i="16" l="1"/>
  <c r="Q51" i="16"/>
  <c r="Q52" i="16"/>
  <c r="Q53" i="16"/>
  <c r="Q54" i="16"/>
  <c r="Q55" i="16"/>
  <c r="Q56" i="16"/>
  <c r="Q57" i="16"/>
  <c r="Q58" i="16"/>
  <c r="C7" i="16"/>
  <c r="C11" i="17"/>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50" i="16"/>
  <c r="Q49" i="16"/>
  <c r="Q48" i="16"/>
  <c r="Q47" i="16"/>
  <c r="Q46" i="16"/>
  <c r="Q45" i="16"/>
  <c r="Q44" i="16"/>
  <c r="Q43" i="16"/>
  <c r="Q42" i="16"/>
  <c r="Q41" i="16"/>
  <c r="Q40" i="16"/>
  <c r="Q39" i="16"/>
  <c r="Q38" i="16"/>
  <c r="Q37" i="16"/>
  <c r="Q36"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5" i="16"/>
  <c r="Q34" i="16"/>
  <c r="Q33" i="16"/>
  <c r="D9" i="16"/>
  <c r="F9" i="16" s="1"/>
  <c r="B4" i="16"/>
  <c r="B6" i="16"/>
  <c r="B10" i="16"/>
  <c r="C12" i="17"/>
  <c r="C9" i="16" l="1"/>
  <c r="C16" i="16" s="1"/>
  <c r="C15" i="16"/>
  <c r="L15" i="6"/>
  <c r="B9" i="16"/>
  <c r="C13" i="17"/>
  <c r="K2" i="15" l="1"/>
  <c r="L2" i="15" s="1"/>
  <c r="E6" i="15"/>
  <c r="F6" i="15"/>
  <c r="F7" i="15" s="1"/>
  <c r="F8" i="15" s="1"/>
  <c r="F9" i="15" s="1"/>
  <c r="F10" i="15" s="1"/>
  <c r="F11" i="15" s="1"/>
  <c r="F12" i="15" s="1"/>
  <c r="F13" i="15" s="1"/>
  <c r="F14" i="15" s="1"/>
  <c r="F15" i="15" s="1"/>
  <c r="F16" i="15" s="1"/>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C7" i="15"/>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14" i="17"/>
  <c r="K6" i="15" l="1"/>
  <c r="E7" i="15"/>
  <c r="G6" i="15"/>
  <c r="I6" i="15"/>
  <c r="C15" i="17"/>
  <c r="E3" i="11" a="1"/>
  <c r="X19" i="16"/>
  <c r="E6" i="11" l="1"/>
  <c r="E8" i="11"/>
  <c r="E33" i="11"/>
  <c r="E42" i="11"/>
  <c r="E17" i="11"/>
  <c r="E10" i="11"/>
  <c r="E20" i="11"/>
  <c r="E41" i="11"/>
  <c r="E39" i="11"/>
  <c r="E25" i="11"/>
  <c r="E16" i="11"/>
  <c r="E7" i="11"/>
  <c r="E14" i="11"/>
  <c r="E31" i="11"/>
  <c r="E12" i="11"/>
  <c r="E26" i="11"/>
  <c r="E28" i="11"/>
  <c r="E19" i="11"/>
  <c r="E38" i="11"/>
  <c r="E21" i="11"/>
  <c r="E43" i="11"/>
  <c r="E23" i="11"/>
  <c r="E30" i="11"/>
  <c r="E40" i="11"/>
  <c r="E11" i="11"/>
  <c r="E24" i="11"/>
  <c r="E22" i="11"/>
  <c r="E5" i="11"/>
  <c r="E9" i="11"/>
  <c r="E4" i="11"/>
  <c r="E32" i="11"/>
  <c r="E15" i="11"/>
  <c r="E34" i="11"/>
  <c r="E44" i="11"/>
  <c r="E27" i="11"/>
  <c r="E36" i="11"/>
  <c r="E13" i="11"/>
  <c r="E35" i="11"/>
  <c r="E18" i="11"/>
  <c r="E37" i="11"/>
  <c r="E3" i="11"/>
  <c r="E29" i="11"/>
  <c r="K7" i="15"/>
  <c r="E8" i="15"/>
  <c r="G7" i="15"/>
  <c r="I7" i="15"/>
  <c r="F3" i="11"/>
  <c r="F27" i="11"/>
  <c r="F30" i="11"/>
  <c r="F14" i="11"/>
  <c r="F29" i="11"/>
  <c r="F17" i="11"/>
  <c r="F4" i="11"/>
  <c r="F12" i="11"/>
  <c r="F34" i="11"/>
  <c r="F15" i="11"/>
  <c r="F31" i="11"/>
  <c r="F6" i="11"/>
  <c r="F19" i="11"/>
  <c r="F13" i="11"/>
  <c r="F23" i="11"/>
  <c r="F11" i="11"/>
  <c r="F38" i="11"/>
  <c r="F42" i="11"/>
  <c r="F9" i="11"/>
  <c r="Y19" i="16"/>
  <c r="F22" i="11"/>
  <c r="F5" i="11"/>
  <c r="F40" i="11"/>
  <c r="F7" i="11"/>
  <c r="F36" i="11"/>
  <c r="F20" i="11"/>
  <c r="F8" i="11"/>
  <c r="F24" i="11"/>
  <c r="F32" i="11"/>
  <c r="F25" i="11"/>
  <c r="C16" i="17"/>
  <c r="F35" i="11"/>
  <c r="F28" i="11"/>
  <c r="F44" i="11"/>
  <c r="F16" i="11"/>
  <c r="F43" i="11"/>
  <c r="F33" i="11"/>
  <c r="F39" i="11"/>
  <c r="F21" i="11"/>
  <c r="F10" i="11"/>
  <c r="F26" i="11"/>
  <c r="F37" i="11"/>
  <c r="F41" i="11"/>
  <c r="F18" i="11"/>
  <c r="E16" i="16" l="1"/>
  <c r="E11" i="16"/>
  <c r="E12" i="16"/>
  <c r="E13" i="16"/>
  <c r="E14" i="16"/>
  <c r="E15" i="16"/>
  <c r="E4" i="16"/>
  <c r="E5" i="16"/>
  <c r="E6" i="16"/>
  <c r="E7" i="16"/>
  <c r="E8" i="16"/>
  <c r="E9" i="16"/>
  <c r="E3" i="16"/>
  <c r="E10" i="16"/>
  <c r="I8" i="15"/>
  <c r="K8" i="15"/>
  <c r="E9" i="15"/>
  <c r="G8" i="15"/>
  <c r="C17" i="17"/>
  <c r="G9" i="15" l="1"/>
  <c r="I9" i="15"/>
  <c r="E10" i="15"/>
  <c r="K9" i="15"/>
  <c r="E11" i="15" l="1"/>
  <c r="G10" i="15"/>
  <c r="I10" i="15"/>
  <c r="K10" i="15"/>
  <c r="E12" i="15" l="1"/>
  <c r="K11" i="15"/>
  <c r="G11" i="15"/>
  <c r="I11" i="15"/>
  <c r="M7" i="15"/>
  <c r="M4" i="15"/>
  <c r="X20" i="16"/>
  <c r="E109" i="5" l="1"/>
  <c r="E107" i="5"/>
  <c r="E108" i="5"/>
  <c r="E110" i="5"/>
  <c r="E111" i="5"/>
  <c r="E112" i="5"/>
  <c r="I12" i="15"/>
  <c r="K12" i="15"/>
  <c r="E13" i="15"/>
  <c r="G12" i="15"/>
  <c r="F111" i="5"/>
  <c r="F108" i="5"/>
  <c r="F107" i="5"/>
  <c r="M10" i="15"/>
  <c r="M9" i="15"/>
  <c r="Y20" i="16"/>
  <c r="F109" i="5"/>
  <c r="F110" i="5"/>
  <c r="M8" i="15"/>
  <c r="M6" i="15"/>
  <c r="X21" i="16"/>
  <c r="F112" i="5"/>
  <c r="G13" i="15" l="1"/>
  <c r="I13" i="15"/>
  <c r="K13" i="15"/>
  <c r="E14" i="15"/>
  <c r="Y21" i="16"/>
  <c r="E15" i="15" l="1"/>
  <c r="G14" i="15"/>
  <c r="I14" i="15"/>
  <c r="K14" i="15"/>
  <c r="K15" i="15" l="1"/>
  <c r="E16" i="15"/>
  <c r="G15" i="15"/>
  <c r="I15" i="15"/>
  <c r="I16" i="15" l="1"/>
  <c r="E17" i="15"/>
  <c r="G16" i="15"/>
  <c r="K16" i="15"/>
  <c r="G17" i="15" l="1"/>
  <c r="I17" i="15"/>
  <c r="E18" i="15"/>
  <c r="K17" i="15"/>
  <c r="M15" i="15"/>
  <c r="M11" i="15"/>
  <c r="M14" i="15"/>
  <c r="M16" i="15"/>
  <c r="E114" i="5" l="1"/>
  <c r="E117" i="5"/>
  <c r="E115" i="5"/>
  <c r="E113" i="5"/>
  <c r="E116" i="5"/>
  <c r="E118" i="5"/>
  <c r="E19" i="15"/>
  <c r="G18" i="15"/>
  <c r="I18" i="15"/>
  <c r="K18" i="15"/>
  <c r="M13" i="15"/>
  <c r="F115" i="5"/>
  <c r="F117" i="5"/>
  <c r="F113" i="5"/>
  <c r="F114" i="5"/>
  <c r="F116" i="5"/>
  <c r="M12" i="15"/>
  <c r="F118" i="5"/>
  <c r="M17" i="15"/>
  <c r="E119" i="5" l="1"/>
  <c r="K19" i="15"/>
  <c r="E20" i="15"/>
  <c r="G19" i="15"/>
  <c r="I19" i="15"/>
  <c r="F119" i="5"/>
  <c r="M18" i="15"/>
  <c r="E120" i="5" l="1"/>
  <c r="I20" i="15"/>
  <c r="K20" i="15"/>
  <c r="E21" i="15"/>
  <c r="G20" i="15"/>
  <c r="F120" i="5"/>
  <c r="M19" i="15"/>
  <c r="E121" i="5" l="1"/>
  <c r="G21" i="15"/>
  <c r="I21" i="15"/>
  <c r="K21" i="15"/>
  <c r="E22" i="15"/>
  <c r="F121" i="5"/>
  <c r="M20" i="15"/>
  <c r="E122" i="5" l="1"/>
  <c r="E23" i="15"/>
  <c r="G22" i="15"/>
  <c r="K22" i="15"/>
  <c r="I22" i="15"/>
  <c r="F122" i="5"/>
  <c r="K23" i="15" l="1"/>
  <c r="E24" i="15"/>
  <c r="G23" i="15"/>
  <c r="I23" i="15"/>
  <c r="E123" i="5" l="1"/>
  <c r="I24" i="15"/>
  <c r="G24" i="15"/>
  <c r="K24" i="15"/>
  <c r="E25" i="15"/>
  <c r="G25" i="15" l="1"/>
  <c r="I25" i="15"/>
  <c r="K25" i="15"/>
  <c r="E26" i="15"/>
  <c r="M22" i="15"/>
  <c r="M21" i="15"/>
  <c r="X22" i="16"/>
  <c r="F123" i="5"/>
  <c r="E125" i="5" l="1"/>
  <c r="E124" i="5"/>
  <c r="E126" i="5"/>
  <c r="E27" i="15"/>
  <c r="I26" i="15"/>
  <c r="K26" i="15"/>
  <c r="G26" i="15"/>
  <c r="M23" i="15"/>
  <c r="M24" i="15"/>
  <c r="X23" i="16"/>
  <c r="Y22" i="16"/>
  <c r="K27" i="15" l="1"/>
  <c r="G27" i="15"/>
  <c r="I27" i="15"/>
  <c r="E28" i="15"/>
  <c r="Y23" i="16"/>
  <c r="I28" i="15" l="1"/>
  <c r="K28" i="15"/>
  <c r="G28" i="15"/>
  <c r="E29" i="15"/>
  <c r="X24" i="16"/>
  <c r="F125" i="5"/>
  <c r="M25" i="15"/>
  <c r="F124" i="5"/>
  <c r="F126" i="5"/>
  <c r="E128" i="5" l="1"/>
  <c r="E127" i="5"/>
  <c r="E129" i="5"/>
  <c r="G29" i="15"/>
  <c r="I29" i="15"/>
  <c r="E30" i="15"/>
  <c r="K29" i="15"/>
  <c r="M27" i="15"/>
  <c r="X25" i="16"/>
  <c r="M26" i="15"/>
  <c r="Y24" i="16"/>
  <c r="E31" i="15" l="1"/>
  <c r="G30" i="15"/>
  <c r="I30" i="15"/>
  <c r="K30" i="15"/>
  <c r="Y25" i="16"/>
  <c r="E32" i="15" l="1"/>
  <c r="G31" i="15"/>
  <c r="I31" i="15"/>
  <c r="K31" i="15"/>
  <c r="F127" i="5"/>
  <c r="F128" i="5"/>
  <c r="F129" i="5"/>
  <c r="M28" i="15"/>
  <c r="X26" i="16"/>
  <c r="E131" i="5" l="1"/>
  <c r="E130" i="5"/>
  <c r="E132" i="5"/>
  <c r="G32" i="15"/>
  <c r="I32" i="15"/>
  <c r="K32" i="15"/>
  <c r="E33" i="15"/>
  <c r="X27" i="16"/>
  <c r="M30" i="15"/>
  <c r="M29" i="15"/>
  <c r="Y27" i="16"/>
  <c r="Y26" i="16"/>
  <c r="G33" i="15" l="1"/>
  <c r="I33" i="15"/>
  <c r="K33" i="15"/>
  <c r="E34" i="15"/>
  <c r="I34" i="15" l="1"/>
  <c r="K34" i="15"/>
  <c r="G34" i="15"/>
  <c r="E35" i="15"/>
  <c r="F131" i="5"/>
  <c r="X28" i="16"/>
  <c r="F132" i="5"/>
  <c r="M31" i="15"/>
  <c r="F130" i="5"/>
  <c r="E134" i="5" l="1"/>
  <c r="E133" i="5"/>
  <c r="E135" i="5"/>
  <c r="K35" i="15"/>
  <c r="G35" i="15"/>
  <c r="I35" i="15"/>
  <c r="E36" i="15"/>
  <c r="M32" i="15"/>
  <c r="M33" i="15"/>
  <c r="Y28" i="16"/>
  <c r="X29" i="16"/>
  <c r="I36" i="15" l="1"/>
  <c r="K36" i="15"/>
  <c r="E37" i="15"/>
  <c r="G36" i="15"/>
  <c r="Y29" i="16"/>
  <c r="G37" i="15" l="1"/>
  <c r="I37" i="15"/>
  <c r="E38" i="15"/>
  <c r="K37" i="15"/>
  <c r="F135" i="5"/>
  <c r="M34" i="15"/>
  <c r="M36" i="15"/>
  <c r="X30" i="16"/>
  <c r="F133" i="5"/>
  <c r="Y30" i="16"/>
  <c r="F134" i="5"/>
  <c r="E137" i="5" l="1"/>
  <c r="E136" i="5"/>
  <c r="E138" i="5"/>
  <c r="E39" i="15"/>
  <c r="G38" i="15"/>
  <c r="I38" i="15"/>
  <c r="K38" i="15"/>
  <c r="M35" i="15"/>
  <c r="E40" i="15" l="1"/>
  <c r="G39" i="15"/>
  <c r="I39" i="15"/>
  <c r="K39" i="15"/>
  <c r="I40" i="15" l="1"/>
  <c r="K40" i="15"/>
  <c r="G40" i="15"/>
  <c r="E41" i="15"/>
  <c r="K41" i="15" l="1"/>
  <c r="G41" i="15"/>
  <c r="I41" i="15"/>
  <c r="E42" i="15"/>
  <c r="M37" i="15"/>
  <c r="X31" i="16"/>
  <c r="F136" i="5"/>
  <c r="F138" i="5"/>
  <c r="F137" i="5"/>
  <c r="M40" i="15"/>
  <c r="E141" i="5" l="1"/>
  <c r="E140" i="5"/>
  <c r="E139" i="5"/>
  <c r="E142" i="5"/>
  <c r="G42" i="15"/>
  <c r="I42" i="15"/>
  <c r="K42" i="15"/>
  <c r="L3" i="15"/>
  <c r="Y31" i="16"/>
  <c r="M39" i="15"/>
  <c r="M38" i="15"/>
  <c r="K2" i="13" l="1"/>
  <c r="E6" i="13" a="1"/>
  <c r="E8" i="13" s="1"/>
  <c r="F6" i="13" a="1"/>
  <c r="F42" i="13" s="1"/>
  <c r="K44" i="13"/>
  <c r="K45" i="13"/>
  <c r="K46" i="13"/>
  <c r="K47" i="13"/>
  <c r="K48" i="13"/>
  <c r="K49" i="13"/>
  <c r="K50" i="13"/>
  <c r="E32" i="13" l="1"/>
  <c r="F10" i="13"/>
  <c r="E40" i="13"/>
  <c r="G40" i="13" s="1"/>
  <c r="F34" i="13"/>
  <c r="E29" i="13"/>
  <c r="E24" i="13"/>
  <c r="I24" i="13" s="1"/>
  <c r="F18" i="13"/>
  <c r="E13" i="13"/>
  <c r="G13" i="13" s="1"/>
  <c r="F7" i="13"/>
  <c r="E39" i="13"/>
  <c r="G39" i="13" s="1"/>
  <c r="E34" i="13"/>
  <c r="E28" i="13"/>
  <c r="I28" i="13" s="1"/>
  <c r="E23" i="13"/>
  <c r="I23" i="13" s="1"/>
  <c r="E18" i="13"/>
  <c r="G18" i="13" s="1"/>
  <c r="E12" i="13"/>
  <c r="I12" i="13" s="1"/>
  <c r="E7" i="13"/>
  <c r="G7" i="13" s="1"/>
  <c r="E38" i="13"/>
  <c r="E33" i="13"/>
  <c r="F27" i="13"/>
  <c r="E22" i="13"/>
  <c r="I22" i="13" s="1"/>
  <c r="E17" i="13"/>
  <c r="I17" i="13" s="1"/>
  <c r="F11" i="13"/>
  <c r="F6" i="13"/>
  <c r="F37" i="13"/>
  <c r="F32" i="13"/>
  <c r="E27" i="13"/>
  <c r="I27" i="13" s="1"/>
  <c r="F21" i="13"/>
  <c r="E16" i="13"/>
  <c r="I16" i="13" s="1"/>
  <c r="E11" i="13"/>
  <c r="I11" i="13" s="1"/>
  <c r="E37" i="13"/>
  <c r="I37" i="13" s="1"/>
  <c r="F26" i="13"/>
  <c r="E21" i="13"/>
  <c r="I21" i="13" s="1"/>
  <c r="F15" i="13"/>
  <c r="E6" i="13"/>
  <c r="E42" i="13"/>
  <c r="K42" i="13" s="1"/>
  <c r="E36" i="13"/>
  <c r="G36" i="13" s="1"/>
  <c r="E31" i="13"/>
  <c r="I31" i="13" s="1"/>
  <c r="E26" i="13"/>
  <c r="G26" i="13" s="1"/>
  <c r="E20" i="13"/>
  <c r="I20" i="13" s="1"/>
  <c r="E15" i="13"/>
  <c r="I15" i="13" s="1"/>
  <c r="E10" i="13"/>
  <c r="I10" i="13" s="1"/>
  <c r="E41" i="13"/>
  <c r="F35" i="13"/>
  <c r="E30" i="13"/>
  <c r="G30" i="13" s="1"/>
  <c r="E25" i="13"/>
  <c r="I25" i="13" s="1"/>
  <c r="F19" i="13"/>
  <c r="F14" i="13"/>
  <c r="E9" i="13"/>
  <c r="I9" i="13" s="1"/>
  <c r="L2" i="13"/>
  <c r="F40" i="13"/>
  <c r="E35" i="13"/>
  <c r="G35" i="13" s="1"/>
  <c r="F29" i="13"/>
  <c r="F24" i="13"/>
  <c r="E19" i="13"/>
  <c r="I19" i="13" s="1"/>
  <c r="E14" i="13"/>
  <c r="F36" i="13"/>
  <c r="F28" i="13"/>
  <c r="F20" i="13"/>
  <c r="F13" i="13"/>
  <c r="F9" i="13"/>
  <c r="F41" i="13"/>
  <c r="F33" i="13"/>
  <c r="F25" i="13"/>
  <c r="F16" i="13"/>
  <c r="F38" i="13"/>
  <c r="F30" i="13"/>
  <c r="F22" i="13"/>
  <c r="F12" i="13"/>
  <c r="F8" i="13"/>
  <c r="K8" i="13" s="1"/>
  <c r="F39" i="13"/>
  <c r="F17" i="13"/>
  <c r="F31" i="13"/>
  <c r="F23" i="13"/>
  <c r="I8" i="13"/>
  <c r="G8" i="13"/>
  <c r="F139" i="5"/>
  <c r="F141" i="5"/>
  <c r="M41" i="15"/>
  <c r="M3" i="15"/>
  <c r="X32" i="16"/>
  <c r="F142" i="5"/>
  <c r="F140" i="5"/>
  <c r="E143" i="5" l="1"/>
  <c r="I13" i="13"/>
  <c r="K40" i="13"/>
  <c r="K27" i="13"/>
  <c r="K34" i="13"/>
  <c r="I35" i="13"/>
  <c r="K29" i="13"/>
  <c r="G12" i="13"/>
  <c r="K32" i="13"/>
  <c r="K37" i="13"/>
  <c r="I18" i="13"/>
  <c r="I14" i="13"/>
  <c r="K33" i="13"/>
  <c r="G17" i="13"/>
  <c r="K16" i="13"/>
  <c r="I30" i="13"/>
  <c r="G15" i="13"/>
  <c r="G10" i="13"/>
  <c r="K14" i="13"/>
  <c r="K38" i="13"/>
  <c r="K15" i="13"/>
  <c r="G9" i="13"/>
  <c r="K26" i="13"/>
  <c r="G21" i="13"/>
  <c r="I40" i="13"/>
  <c r="K12" i="13"/>
  <c r="K13" i="13"/>
  <c r="I6" i="13"/>
  <c r="K9" i="13"/>
  <c r="K19" i="13"/>
  <c r="I26" i="13"/>
  <c r="G19" i="13"/>
  <c r="G6" i="13"/>
  <c r="K21" i="13"/>
  <c r="I38" i="13"/>
  <c r="K10" i="13"/>
  <c r="I42" i="13"/>
  <c r="G38" i="13"/>
  <c r="I32" i="13"/>
  <c r="G42" i="13"/>
  <c r="I41" i="13"/>
  <c r="G37" i="13"/>
  <c r="K7" i="13"/>
  <c r="G32" i="13"/>
  <c r="G14" i="13"/>
  <c r="G41" i="13"/>
  <c r="G20" i="13"/>
  <c r="K18" i="13"/>
  <c r="I7" i="13"/>
  <c r="K6" i="13"/>
  <c r="G25" i="13"/>
  <c r="K25" i="13"/>
  <c r="I33" i="13"/>
  <c r="K28" i="13"/>
  <c r="K35" i="13"/>
  <c r="G31" i="13"/>
  <c r="G22" i="13"/>
  <c r="I34" i="13"/>
  <c r="I29" i="13"/>
  <c r="K11" i="13"/>
  <c r="G24" i="13"/>
  <c r="I36" i="13"/>
  <c r="K31" i="13"/>
  <c r="G34" i="13"/>
  <c r="G29" i="13"/>
  <c r="G11" i="13"/>
  <c r="G33" i="13"/>
  <c r="K41" i="13"/>
  <c r="G23" i="13"/>
  <c r="K36" i="13"/>
  <c r="G27" i="13"/>
  <c r="G16" i="13"/>
  <c r="K23" i="13"/>
  <c r="K24" i="13"/>
  <c r="K30" i="13"/>
  <c r="G28" i="13"/>
  <c r="I39" i="13"/>
  <c r="K22" i="13"/>
  <c r="K20" i="13"/>
  <c r="K17" i="13"/>
  <c r="K39" i="13"/>
  <c r="M42" i="15"/>
  <c r="Y32" i="16"/>
  <c r="L3" i="13" l="1"/>
  <c r="E72" i="5"/>
  <c r="I1" i="1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M21" i="13"/>
  <c r="J37" i="11"/>
  <c r="M28" i="13"/>
  <c r="M24" i="13"/>
  <c r="J20" i="11"/>
  <c r="J5" i="11"/>
  <c r="M37" i="13"/>
  <c r="M39" i="13"/>
  <c r="M3" i="13"/>
  <c r="J21" i="11"/>
  <c r="J9" i="11"/>
  <c r="M48" i="13"/>
  <c r="J30" i="11"/>
  <c r="M49" i="13"/>
  <c r="J41" i="11"/>
  <c r="M7" i="13"/>
  <c r="J31" i="11"/>
  <c r="F72" i="5"/>
  <c r="J17" i="11"/>
  <c r="M8" i="13"/>
  <c r="J33" i="11"/>
  <c r="J22" i="11"/>
  <c r="M27" i="13"/>
  <c r="J15" i="11"/>
  <c r="M19" i="13"/>
  <c r="J18" i="11"/>
  <c r="J28" i="11"/>
  <c r="J12" i="11"/>
  <c r="M6" i="13"/>
  <c r="X33" i="16"/>
  <c r="J8" i="11"/>
  <c r="M9" i="13"/>
  <c r="M34" i="13"/>
  <c r="J36" i="11"/>
  <c r="M31" i="13"/>
  <c r="M45" i="13"/>
  <c r="M23" i="13"/>
  <c r="J44" i="11"/>
  <c r="J19" i="11"/>
  <c r="M36" i="13"/>
  <c r="J24" i="11"/>
  <c r="J26" i="11"/>
  <c r="M47" i="13"/>
  <c r="M29" i="13"/>
  <c r="J38" i="11"/>
  <c r="M20" i="13"/>
  <c r="M13" i="13"/>
  <c r="J27" i="11"/>
  <c r="J7" i="11"/>
  <c r="J14" i="11"/>
  <c r="J32" i="11"/>
  <c r="M10" i="13"/>
  <c r="M4" i="13"/>
  <c r="M11" i="13"/>
  <c r="M26" i="13"/>
  <c r="M32" i="13"/>
  <c r="J39" i="11"/>
  <c r="J34" i="11"/>
  <c r="M46" i="13"/>
  <c r="J6" i="11"/>
  <c r="J16" i="11"/>
  <c r="M30" i="13"/>
  <c r="M40" i="13"/>
  <c r="J13" i="11"/>
  <c r="J40" i="11"/>
  <c r="M15" i="13"/>
  <c r="M22" i="13"/>
  <c r="M42" i="13"/>
  <c r="M44" i="13"/>
  <c r="J10" i="11"/>
  <c r="J29" i="11"/>
  <c r="M17" i="13"/>
  <c r="M35" i="13"/>
  <c r="J43" i="11"/>
  <c r="M25" i="13"/>
  <c r="M16" i="13"/>
  <c r="J25" i="11"/>
  <c r="J42" i="11"/>
  <c r="M33" i="13"/>
  <c r="M14" i="13"/>
  <c r="M50" i="13"/>
  <c r="F143" i="5"/>
  <c r="J23" i="11"/>
  <c r="M38" i="13"/>
  <c r="M41" i="13"/>
  <c r="M18" i="13"/>
  <c r="J4" i="11"/>
  <c r="J35" i="11"/>
  <c r="M12" i="13"/>
  <c r="J3" i="11"/>
  <c r="J11" i="11"/>
  <c r="E103" i="5" l="1"/>
  <c r="E91" i="5"/>
  <c r="E104" i="5"/>
  <c r="E100" i="5"/>
  <c r="E76" i="5"/>
  <c r="E86" i="5"/>
  <c r="E84" i="5"/>
  <c r="E96" i="5"/>
  <c r="E88" i="5"/>
  <c r="E94" i="5"/>
  <c r="E89" i="5"/>
  <c r="E92" i="5"/>
  <c r="E70" i="5"/>
  <c r="E75" i="5"/>
  <c r="E79" i="5"/>
  <c r="E74" i="5"/>
  <c r="E93" i="5"/>
  <c r="E78" i="5"/>
  <c r="E77" i="5"/>
  <c r="E99" i="5"/>
  <c r="E98" i="5"/>
  <c r="E85" i="5"/>
  <c r="E97" i="5"/>
  <c r="E73" i="5"/>
  <c r="E82" i="5"/>
  <c r="E102" i="5"/>
  <c r="E106" i="5"/>
  <c r="E95" i="5"/>
  <c r="E105" i="5"/>
  <c r="E90" i="5"/>
  <c r="E81" i="5"/>
  <c r="E71" i="5"/>
  <c r="E80" i="5"/>
  <c r="E101" i="5"/>
  <c r="E83" i="5"/>
  <c r="E87" i="5"/>
  <c r="E53" i="5"/>
  <c r="E61" i="5"/>
  <c r="E31" i="5"/>
  <c r="E51" i="5"/>
  <c r="E42" i="5"/>
  <c r="E23" i="5"/>
  <c r="E54" i="5"/>
  <c r="E43" i="5"/>
  <c r="E58" i="5"/>
  <c r="E35" i="5"/>
  <c r="E59" i="5"/>
  <c r="E36" i="5"/>
  <c r="E22" i="5"/>
  <c r="E60" i="5"/>
  <c r="E25" i="5"/>
  <c r="E26" i="5"/>
  <c r="E40" i="5"/>
  <c r="E46" i="5"/>
  <c r="E29" i="5"/>
  <c r="E48" i="5"/>
  <c r="E38" i="5"/>
  <c r="E57" i="5"/>
  <c r="E21" i="5"/>
  <c r="E32" i="5"/>
  <c r="E47" i="5"/>
  <c r="E24" i="5"/>
  <c r="E56" i="5"/>
  <c r="E62" i="5"/>
  <c r="E41" i="5"/>
  <c r="E39" i="5"/>
  <c r="E55" i="5"/>
  <c r="E34" i="5"/>
  <c r="E27" i="5"/>
  <c r="E50" i="5"/>
  <c r="E44" i="5"/>
  <c r="E28" i="5"/>
  <c r="E52" i="5"/>
  <c r="E49" i="5"/>
  <c r="E30" i="5"/>
  <c r="E37" i="5"/>
  <c r="E33" i="5"/>
  <c r="E45" i="5"/>
  <c r="B3" i="9"/>
  <c r="D3" i="9"/>
  <c r="F3" i="9" s="1"/>
  <c r="B4" i="9"/>
  <c r="D4" i="9"/>
  <c r="F4" i="9" s="1"/>
  <c r="B5" i="9"/>
  <c r="D5" i="9"/>
  <c r="F5" i="9" s="1"/>
  <c r="B6" i="9"/>
  <c r="D6" i="9"/>
  <c r="F6" i="9" s="1"/>
  <c r="B7" i="9"/>
  <c r="D7" i="9"/>
  <c r="F7" i="9" s="1"/>
  <c r="B8" i="9"/>
  <c r="D8" i="9"/>
  <c r="F8" i="9" s="1"/>
  <c r="E1" i="9"/>
  <c r="Y33" i="16"/>
  <c r="F1" i="9" l="1"/>
  <c r="G1" i="9" s="1"/>
  <c r="E3" i="9"/>
  <c r="E8" i="9"/>
  <c r="E4" i="9"/>
  <c r="E6" i="9"/>
  <c r="E5" i="9"/>
  <c r="E7" i="9"/>
  <c r="I1" i="7" l="1"/>
  <c r="J1" i="7" s="1"/>
  <c r="I3" i="7"/>
  <c r="I4" i="7"/>
  <c r="I5" i="7"/>
  <c r="I6" i="7"/>
  <c r="I7" i="7"/>
  <c r="I8" i="7"/>
  <c r="F1" i="7"/>
  <c r="I9" i="7"/>
  <c r="G2" i="9"/>
  <c r="J2" i="7" l="1"/>
  <c r="K3" i="11"/>
  <c r="F57" i="5"/>
  <c r="F38" i="5"/>
  <c r="F104" i="5"/>
  <c r="K34" i="11"/>
  <c r="K43" i="11"/>
  <c r="F24" i="5"/>
  <c r="F95" i="5"/>
  <c r="K33" i="11"/>
  <c r="K13" i="11"/>
  <c r="F70" i="5"/>
  <c r="K32" i="11"/>
  <c r="F93" i="5"/>
  <c r="F28" i="5"/>
  <c r="K31" i="11"/>
  <c r="D5" i="7"/>
  <c r="D4" i="7"/>
  <c r="F7" i="7"/>
  <c r="F26" i="5"/>
  <c r="F21" i="5"/>
  <c r="K42" i="11"/>
  <c r="F103" i="5"/>
  <c r="F74" i="5"/>
  <c r="F37" i="5"/>
  <c r="F47" i="5"/>
  <c r="F106" i="5"/>
  <c r="K23" i="11"/>
  <c r="F43" i="5"/>
  <c r="K14" i="11"/>
  <c r="F39" i="5"/>
  <c r="F71" i="5"/>
  <c r="F81" i="5"/>
  <c r="H9" i="7"/>
  <c r="D3" i="7"/>
  <c r="F9" i="7"/>
  <c r="K39" i="11"/>
  <c r="K9" i="11"/>
  <c r="G24" i="5"/>
  <c r="K19" i="11"/>
  <c r="F91" i="5"/>
  <c r="K8" i="11"/>
  <c r="K20" i="11"/>
  <c r="K26" i="11"/>
  <c r="F78" i="5"/>
  <c r="F94" i="5"/>
  <c r="K41" i="11"/>
  <c r="K27" i="11"/>
  <c r="K28" i="11"/>
  <c r="F77" i="5"/>
  <c r="F99" i="5"/>
  <c r="K10" i="11"/>
  <c r="K12" i="11"/>
  <c r="G8" i="7"/>
  <c r="E4" i="7"/>
  <c r="F100" i="5"/>
  <c r="K11" i="11"/>
  <c r="F32" i="5"/>
  <c r="F55" i="5"/>
  <c r="F36" i="5"/>
  <c r="F48" i="5"/>
  <c r="F29" i="5"/>
  <c r="K25" i="11"/>
  <c r="F80" i="5"/>
  <c r="F98" i="5"/>
  <c r="F96" i="5"/>
  <c r="H3" i="7"/>
  <c r="H4" i="7"/>
  <c r="D6" i="7"/>
  <c r="K22" i="11"/>
  <c r="F25" i="5"/>
  <c r="F31" i="5"/>
  <c r="F73" i="5"/>
  <c r="F45" i="5"/>
  <c r="K29" i="11"/>
  <c r="F88" i="5"/>
  <c r="F41" i="5"/>
  <c r="X34" i="16"/>
  <c r="F46" i="5"/>
  <c r="K18" i="11"/>
  <c r="G9" i="7"/>
  <c r="H5" i="7"/>
  <c r="E6" i="7"/>
  <c r="F49" i="5"/>
  <c r="K24" i="11"/>
  <c r="F27" i="5"/>
  <c r="F87" i="5"/>
  <c r="F52" i="5"/>
  <c r="F62" i="5"/>
  <c r="F34" i="5"/>
  <c r="F56" i="5"/>
  <c r="F86" i="5"/>
  <c r="F54" i="5"/>
  <c r="F82" i="5"/>
  <c r="K35" i="11"/>
  <c r="F40" i="5"/>
  <c r="E3" i="7"/>
  <c r="K30" i="11"/>
  <c r="F23" i="5"/>
  <c r="F50" i="5"/>
  <c r="F75" i="5"/>
  <c r="X35" i="16"/>
  <c r="X36" i="16" s="1"/>
  <c r="F85" i="5"/>
  <c r="D9" i="7"/>
  <c r="Y35" i="16"/>
  <c r="K16" i="11"/>
  <c r="K44" i="11"/>
  <c r="F76" i="5"/>
  <c r="F42" i="5"/>
  <c r="F51" i="5"/>
  <c r="K17" i="11"/>
  <c r="D7" i="7"/>
  <c r="F59" i="5"/>
  <c r="K4" i="11"/>
  <c r="F33" i="5"/>
  <c r="K15" i="11"/>
  <c r="F60" i="5"/>
  <c r="F44" i="5"/>
  <c r="E9" i="7"/>
  <c r="H8" i="7"/>
  <c r="K40" i="11"/>
  <c r="F105" i="5"/>
  <c r="F101" i="5"/>
  <c r="D8" i="7"/>
  <c r="K37" i="11"/>
  <c r="K5" i="11"/>
  <c r="F79" i="5"/>
  <c r="H7" i="7"/>
  <c r="F102" i="5"/>
  <c r="F53" i="5"/>
  <c r="K38" i="11"/>
  <c r="E7" i="7"/>
  <c r="K36" i="11"/>
  <c r="F30" i="5"/>
  <c r="F89" i="5"/>
  <c r="E5" i="7"/>
  <c r="K6" i="11"/>
  <c r="F97" i="5"/>
  <c r="F84" i="5"/>
  <c r="E8" i="7"/>
  <c r="F35" i="5"/>
  <c r="F61" i="5"/>
  <c r="F58" i="5"/>
  <c r="G7" i="7"/>
  <c r="K21" i="11"/>
  <c r="F22" i="5"/>
  <c r="F90" i="5"/>
  <c r="K7" i="11"/>
  <c r="F92" i="5"/>
  <c r="F83" i="5"/>
  <c r="H6" i="7"/>
  <c r="F8" i="7"/>
  <c r="J4" i="7"/>
  <c r="H2" i="9"/>
  <c r="H3" i="9"/>
  <c r="H6" i="9"/>
  <c r="J6" i="7"/>
  <c r="H7" i="9"/>
  <c r="H5" i="9"/>
  <c r="J3" i="7"/>
  <c r="J8" i="7"/>
  <c r="J9" i="7"/>
  <c r="J5" i="7"/>
  <c r="H4" i="9"/>
  <c r="H8" i="9"/>
  <c r="J7" i="7"/>
  <c r="X37" i="16"/>
  <c r="Y36" i="16"/>
  <c r="Y37" i="16"/>
  <c r="X38" i="16"/>
  <c r="Y38" i="16"/>
  <c r="X39" i="16"/>
  <c r="X40" i="16"/>
  <c r="Y39" i="16"/>
  <c r="X41" i="16"/>
  <c r="Y40" i="16"/>
  <c r="X42" i="16"/>
  <c r="Y41" i="16"/>
  <c r="X43" i="16"/>
  <c r="Y42" i="16"/>
  <c r="Y43" i="16"/>
  <c r="X44" i="16"/>
  <c r="X45" i="16"/>
  <c r="Y44" i="16"/>
  <c r="X46" i="16"/>
  <c r="Y45" i="16"/>
  <c r="X47" i="16"/>
  <c r="Y46" i="16"/>
  <c r="X48" i="16"/>
  <c r="Y47" i="16"/>
  <c r="Y48" i="16"/>
  <c r="X49" i="16"/>
  <c r="X50" i="16"/>
  <c r="Y49" i="16"/>
  <c r="X51" i="16"/>
  <c r="Y50" i="16"/>
  <c r="Y51" i="16"/>
  <c r="X52" i="16"/>
  <c r="X53" i="16"/>
  <c r="Y52" i="16"/>
  <c r="Y53" i="16"/>
  <c r="X54" i="16"/>
  <c r="X55" i="16"/>
  <c r="Y54" i="16"/>
  <c r="X56" i="16"/>
  <c r="Y55" i="16"/>
  <c r="X57" i="16"/>
  <c r="Y56" i="16"/>
  <c r="Y57" i="16"/>
  <c r="X58" i="16"/>
  <c r="X59" i="16"/>
  <c r="Y58" i="16"/>
  <c r="X60" i="16"/>
  <c r="Y59" i="16"/>
  <c r="Y60" i="16"/>
  <c r="X61" i="16"/>
  <c r="X62" i="16"/>
  <c r="Y61" i="16"/>
  <c r="Y62" i="16"/>
  <c r="X63" i="16"/>
  <c r="Y63" i="16"/>
  <c r="X64" i="16"/>
  <c r="X65" i="16"/>
  <c r="Y64" i="16"/>
  <c r="X66" i="16"/>
  <c r="Y65" i="16"/>
  <c r="Y66" i="16"/>
  <c r="X67" i="16"/>
  <c r="Y67" i="16"/>
  <c r="X68" i="16"/>
  <c r="X69" i="16"/>
  <c r="Y68" i="16"/>
  <c r="X70" i="16"/>
  <c r="Y69" i="16"/>
  <c r="X71" i="16"/>
  <c r="Y70" i="16"/>
  <c r="X72" i="16"/>
  <c r="Y71" i="16"/>
  <c r="X73" i="16"/>
  <c r="Y72" i="16"/>
  <c r="Y73" i="16"/>
  <c r="X74" i="16"/>
  <c r="X75" i="16"/>
  <c r="Y74" i="16"/>
  <c r="Y75" i="16"/>
  <c r="X76" i="16"/>
  <c r="Y76" i="16"/>
  <c r="X77" i="16"/>
  <c r="X78" i="16"/>
  <c r="Y77" i="16"/>
  <c r="X79" i="16"/>
  <c r="Y78" i="16"/>
  <c r="Y79" i="16"/>
  <c r="X80" i="16"/>
  <c r="Y80" i="16"/>
  <c r="X81" i="16"/>
  <c r="X82" i="16"/>
  <c r="Y81" i="16"/>
  <c r="X83" i="16"/>
  <c r="Y82" i="16"/>
  <c r="X84" i="16"/>
  <c r="Y83" i="16"/>
  <c r="Y84" i="16"/>
  <c r="X85" i="16"/>
  <c r="Y85" i="16"/>
  <c r="X86" i="16"/>
  <c r="X87" i="16"/>
  <c r="Y86" i="16"/>
  <c r="X88" i="16"/>
  <c r="Y87" i="16"/>
  <c r="Y88" i="16"/>
  <c r="X89" i="16"/>
  <c r="X90" i="16"/>
  <c r="Y89" i="16"/>
  <c r="Y90" i="16"/>
  <c r="X91" i="16"/>
  <c r="X92" i="16"/>
  <c r="Y91" i="16"/>
  <c r="Y92" i="16"/>
  <c r="X93" i="16"/>
  <c r="X94" i="16"/>
  <c r="Y93" i="16"/>
  <c r="X95" i="16"/>
  <c r="Y94" i="16"/>
  <c r="Y95" i="16"/>
  <c r="X96" i="16"/>
  <c r="X97" i="16"/>
  <c r="Y96" i="16"/>
  <c r="Y97" i="16"/>
  <c r="X98" i="16"/>
  <c r="Y98" i="16"/>
  <c r="X99" i="16"/>
  <c r="X100" i="16"/>
  <c r="Y99" i="16"/>
  <c r="X101" i="16"/>
  <c r="Y100" i="16"/>
  <c r="X102" i="16"/>
  <c r="Y101" i="16"/>
  <c r="Y102" i="16"/>
  <c r="X103" i="16"/>
  <c r="X104" i="16"/>
  <c r="Y103" i="16"/>
  <c r="Y104" i="16"/>
  <c r="X105" i="16"/>
  <c r="Y105" i="16"/>
  <c r="X106" i="16"/>
  <c r="X107" i="16"/>
  <c r="Y106" i="16"/>
  <c r="Y107" i="16"/>
  <c r="X108" i="16"/>
  <c r="Y108" i="16"/>
  <c r="X109" i="16"/>
  <c r="X110" i="16"/>
  <c r="Y109" i="16"/>
  <c r="X111" i="16"/>
  <c r="Y110" i="16"/>
  <c r="Y111" i="16"/>
  <c r="X112" i="16"/>
  <c r="X113" i="16"/>
  <c r="Y112" i="16"/>
  <c r="Y113" i="16"/>
  <c r="X114" i="16"/>
  <c r="X115" i="16"/>
  <c r="Y114" i="16"/>
  <c r="X116" i="16"/>
  <c r="Y115" i="16"/>
  <c r="X117" i="16"/>
  <c r="Y116" i="16"/>
  <c r="Y117" i="16"/>
  <c r="X118" i="16"/>
  <c r="X119" i="16"/>
  <c r="Y118" i="16"/>
  <c r="Y119" i="16"/>
  <c r="X120" i="16"/>
  <c r="Y120" i="16"/>
  <c r="X121" i="16"/>
  <c r="X122" i="16"/>
  <c r="Y121" i="16"/>
  <c r="Y122" i="16"/>
  <c r="X123" i="16"/>
  <c r="Y123" i="16"/>
  <c r="X124" i="16"/>
  <c r="Y124" i="16"/>
  <c r="X125" i="16"/>
  <c r="X126" i="16"/>
  <c r="Y125" i="16"/>
  <c r="X127" i="16"/>
  <c r="Y126" i="16"/>
  <c r="Y127" i="16"/>
  <c r="X128" i="16"/>
  <c r="X129" i="16"/>
  <c r="Y128" i="16"/>
  <c r="Y129" i="16"/>
  <c r="X130" i="16"/>
  <c r="Y130" i="16"/>
  <c r="X131" i="16"/>
  <c r="Y131" i="16"/>
  <c r="X132" i="16"/>
  <c r="Y132" i="16"/>
  <c r="X133" i="16"/>
  <c r="Y133" i="16"/>
  <c r="X134" i="16"/>
  <c r="Y134" i="16"/>
  <c r="X135" i="16"/>
  <c r="Y135" i="16"/>
  <c r="X136" i="16"/>
  <c r="Y136" i="16"/>
  <c r="X137" i="16"/>
  <c r="X138" i="16"/>
  <c r="Y137" i="16"/>
  <c r="Y138" i="16"/>
  <c r="X139" i="16"/>
  <c r="Y139" i="16"/>
  <c r="X140" i="16"/>
  <c r="X141" i="16"/>
  <c r="Y140" i="16"/>
  <c r="X142" i="16"/>
  <c r="Y141" i="16"/>
  <c r="Y142" i="16"/>
  <c r="X143" i="16"/>
  <c r="Y143" i="16"/>
  <c r="X144" i="16"/>
  <c r="Y144" i="16"/>
  <c r="X145" i="16"/>
  <c r="Y145" i="16"/>
  <c r="X146" i="16"/>
  <c r="X147" i="16"/>
  <c r="Y146" i="16"/>
  <c r="Y147" i="16"/>
  <c r="X148" i="16"/>
  <c r="Y148" i="16"/>
  <c r="X149" i="16"/>
  <c r="Y149" i="16"/>
  <c r="X150" i="16"/>
  <c r="Y150" i="16"/>
  <c r="X151" i="16"/>
  <c r="Y151" i="16"/>
  <c r="X152" i="16"/>
  <c r="X153" i="16"/>
  <c r="Y152" i="16"/>
  <c r="X154" i="16"/>
  <c r="Y153" i="16"/>
  <c r="Y154" i="16"/>
  <c r="X155" i="16"/>
  <c r="X156" i="16"/>
  <c r="Y155" i="16"/>
  <c r="X157" i="16"/>
  <c r="Y156" i="16"/>
  <c r="X158" i="16"/>
  <c r="Y157" i="16"/>
  <c r="Y158" i="16"/>
  <c r="X159" i="16"/>
  <c r="Y159" i="16"/>
  <c r="X160" i="16"/>
  <c r="X161" i="16"/>
  <c r="Y160" i="16"/>
  <c r="Y161" i="16"/>
  <c r="X162" i="16"/>
  <c r="X163" i="16"/>
  <c r="Y162" i="16"/>
  <c r="X164" i="16"/>
  <c r="Y163" i="16"/>
  <c r="Y164" i="16"/>
  <c r="X165" i="16"/>
  <c r="Y165" i="16"/>
  <c r="X166" i="16"/>
  <c r="X167" i="16"/>
  <c r="Y166" i="16"/>
  <c r="Y167" i="16"/>
  <c r="X168" i="16"/>
  <c r="X169" i="16"/>
  <c r="Y168" i="16"/>
  <c r="Y169" i="16"/>
  <c r="X170" i="16"/>
  <c r="Y170" i="16"/>
  <c r="X171" i="16"/>
  <c r="X172" i="16"/>
  <c r="Y171" i="16"/>
  <c r="Y172" i="16"/>
  <c r="X173" i="16"/>
  <c r="X174" i="16"/>
  <c r="Y173" i="16"/>
  <c r="X175" i="16"/>
  <c r="Y174" i="16"/>
  <c r="Y175" i="16"/>
  <c r="X176" i="16"/>
  <c r="X177" i="16"/>
  <c r="Y176" i="16"/>
  <c r="X178" i="16"/>
  <c r="Y177" i="16"/>
  <c r="Y178" i="16"/>
  <c r="X179" i="16"/>
  <c r="X180" i="16"/>
  <c r="Y179" i="16"/>
  <c r="X181" i="16"/>
  <c r="Y180" i="16"/>
  <c r="X182" i="16"/>
  <c r="Y181" i="16"/>
  <c r="Y182" i="16"/>
  <c r="X183" i="16"/>
  <c r="Y183" i="16"/>
  <c r="X184" i="16"/>
  <c r="Y184" i="16"/>
  <c r="X185" i="16"/>
  <c r="X186" i="16"/>
  <c r="Y185" i="16"/>
  <c r="X187" i="16"/>
  <c r="Y186" i="16"/>
  <c r="X188" i="16"/>
  <c r="Y187" i="16"/>
  <c r="Y188" i="16"/>
  <c r="X189" i="16"/>
  <c r="X190" i="16"/>
  <c r="Y189" i="16"/>
  <c r="Y190" i="16"/>
  <c r="X191" i="16"/>
  <c r="Y191" i="16"/>
  <c r="X192" i="16"/>
  <c r="Y192" i="16"/>
  <c r="X193" i="16"/>
  <c r="Y193" i="16"/>
  <c r="X194" i="16"/>
  <c r="Y194" i="16"/>
  <c r="X195" i="16"/>
  <c r="X196" i="16"/>
  <c r="Y195" i="16"/>
  <c r="X197" i="16"/>
  <c r="Y196" i="16"/>
  <c r="X198" i="16"/>
  <c r="Y197" i="16"/>
  <c r="Y198" i="16"/>
  <c r="X199" i="16"/>
  <c r="Y199" i="16"/>
  <c r="X200" i="16"/>
  <c r="Y200" i="16"/>
  <c r="X201" i="16"/>
  <c r="Y201" i="16"/>
  <c r="X202" i="16"/>
  <c r="Y202" i="16"/>
  <c r="X203" i="16"/>
  <c r="X204" i="16"/>
  <c r="Y203" i="16"/>
  <c r="Y204" i="16"/>
  <c r="X205" i="16"/>
  <c r="X206" i="16"/>
  <c r="Y205" i="16"/>
  <c r="X207" i="16"/>
  <c r="Y206" i="16"/>
  <c r="Y207" i="16"/>
  <c r="X208" i="16"/>
  <c r="X209" i="16"/>
  <c r="Y208" i="16"/>
  <c r="Y209" i="16"/>
  <c r="X210" i="16"/>
  <c r="X211" i="16"/>
  <c r="Y210" i="16"/>
  <c r="Y211" i="16"/>
  <c r="X212" i="16"/>
  <c r="X213" i="16"/>
  <c r="Y212" i="16"/>
  <c r="Y213" i="16"/>
  <c r="X214" i="16"/>
  <c r="Y214" i="16"/>
  <c r="X215" i="16"/>
  <c r="Y215" i="16"/>
  <c r="X216" i="16"/>
  <c r="X217" i="16"/>
  <c r="Y216" i="16"/>
  <c r="Y217" i="16"/>
  <c r="X218" i="16"/>
  <c r="X219" i="16"/>
  <c r="Y218" i="16"/>
  <c r="X220" i="16"/>
  <c r="Y219" i="16"/>
  <c r="X221" i="16"/>
  <c r="Y220" i="16"/>
  <c r="Y221" i="16"/>
  <c r="X222" i="16"/>
  <c r="X223" i="16"/>
  <c r="Y222" i="16"/>
  <c r="Y223" i="16"/>
  <c r="X224" i="16"/>
  <c r="Y224" i="16"/>
  <c r="X225" i="16"/>
  <c r="X226" i="16"/>
  <c r="Y225" i="16"/>
  <c r="X227" i="16"/>
  <c r="Y226" i="16"/>
  <c r="Y227" i="16"/>
  <c r="X228" i="16"/>
  <c r="Y228" i="16"/>
  <c r="X229" i="16"/>
  <c r="X230" i="16"/>
  <c r="Y229" i="16"/>
  <c r="X231" i="16"/>
  <c r="Y230" i="16"/>
  <c r="X232" i="16"/>
  <c r="Y231" i="16"/>
  <c r="X233" i="16"/>
  <c r="Y232" i="16"/>
  <c r="Y233" i="16"/>
  <c r="X234" i="16"/>
  <c r="Y234" i="16"/>
  <c r="X235" i="16"/>
  <c r="Y235" i="16"/>
  <c r="X236" i="16"/>
  <c r="X237" i="16"/>
  <c r="Y236" i="16"/>
  <c r="Y237" i="16"/>
  <c r="X238" i="16"/>
  <c r="Y238" i="16"/>
  <c r="X239" i="16"/>
  <c r="Y239" i="16"/>
  <c r="X240" i="16"/>
  <c r="Y240" i="16"/>
  <c r="X241" i="16"/>
  <c r="Y241" i="16"/>
  <c r="X242" i="16"/>
  <c r="Y242" i="16"/>
  <c r="X243" i="16"/>
  <c r="X244" i="16"/>
  <c r="Y243" i="16"/>
  <c r="Y244" i="16"/>
  <c r="X245" i="16"/>
  <c r="X246" i="16"/>
  <c r="Y245" i="16"/>
  <c r="X247" i="16"/>
  <c r="Y246" i="16"/>
  <c r="X248" i="16"/>
  <c r="Y247" i="16"/>
  <c r="Y248" i="16"/>
  <c r="X249" i="16"/>
  <c r="X250" i="16"/>
  <c r="Y249" i="16"/>
  <c r="X251" i="16"/>
  <c r="Y250" i="16"/>
  <c r="X252" i="16"/>
  <c r="Y251" i="16"/>
  <c r="X253" i="16"/>
  <c r="Y252" i="16"/>
  <c r="Y253" i="16"/>
  <c r="X254" i="16"/>
  <c r="X255" i="16"/>
  <c r="Y254" i="16"/>
  <c r="X256" i="16"/>
  <c r="Y255" i="16"/>
  <c r="Y256" i="16"/>
  <c r="X257" i="16"/>
  <c r="X258" i="16"/>
  <c r="Y257" i="16"/>
  <c r="Y258" i="16"/>
  <c r="X259" i="16"/>
  <c r="Y259" i="16"/>
  <c r="X260" i="16"/>
  <c r="Y260" i="16"/>
  <c r="X261" i="16"/>
  <c r="Y261" i="16"/>
  <c r="X262" i="16"/>
  <c r="Y262" i="16"/>
  <c r="X263" i="16"/>
  <c r="X264" i="16"/>
  <c r="Y263" i="16"/>
  <c r="X265" i="16"/>
  <c r="Y264" i="16"/>
  <c r="X266" i="16"/>
  <c r="Y265" i="16"/>
  <c r="Y266" i="16"/>
  <c r="X267" i="16"/>
  <c r="Y267" i="16"/>
  <c r="X268" i="16"/>
  <c r="X269" i="16"/>
  <c r="Y268" i="16"/>
  <c r="Y269" i="16"/>
  <c r="X270" i="16"/>
  <c r="X271" i="16"/>
  <c r="Y270" i="16"/>
  <c r="X272" i="16"/>
  <c r="Y271" i="16"/>
  <c r="Y272" i="16"/>
  <c r="X273" i="16"/>
  <c r="Y273" i="16"/>
  <c r="X274" i="16"/>
  <c r="Y274" i="16"/>
  <c r="X275" i="16"/>
  <c r="Y275" i="16"/>
  <c r="X276" i="16"/>
  <c r="X277" i="16"/>
  <c r="Y276" i="16"/>
  <c r="Y277" i="16"/>
  <c r="X278" i="16"/>
  <c r="X279" i="16"/>
  <c r="Y278" i="16"/>
  <c r="X280" i="16"/>
  <c r="Y279" i="16"/>
  <c r="Y280" i="16"/>
  <c r="X281" i="16"/>
  <c r="X282" i="16"/>
  <c r="Y281" i="16"/>
  <c r="Y282" i="16"/>
  <c r="X283" i="16"/>
  <c r="Y283" i="16"/>
  <c r="X284" i="16"/>
  <c r="X285" i="16"/>
  <c r="Y284" i="16"/>
  <c r="Y285" i="16"/>
  <c r="X286" i="16"/>
  <c r="Y286" i="16"/>
  <c r="X287" i="16"/>
  <c r="Y287" i="16"/>
  <c r="X288" i="16"/>
  <c r="Y288" i="16"/>
  <c r="X289" i="16"/>
  <c r="Y289" i="16"/>
  <c r="X290" i="16"/>
  <c r="X291" i="16"/>
  <c r="Y290" i="16"/>
  <c r="Y291" i="16"/>
  <c r="X292" i="16"/>
  <c r="Y292" i="16"/>
  <c r="X293" i="16"/>
  <c r="Y293" i="16"/>
  <c r="X294" i="16"/>
  <c r="X295" i="16"/>
  <c r="Y294" i="16"/>
  <c r="X296" i="16"/>
  <c r="Y295" i="16"/>
  <c r="X297" i="16"/>
  <c r="Y296" i="16"/>
  <c r="X298" i="16"/>
  <c r="Y297" i="16"/>
  <c r="X299" i="16"/>
  <c r="Y298" i="16"/>
  <c r="X300" i="16"/>
  <c r="Y299" i="16"/>
  <c r="X301" i="16"/>
  <c r="Y300" i="16"/>
  <c r="X302" i="16"/>
  <c r="Y301" i="16"/>
  <c r="Y302" i="16"/>
  <c r="X303" i="16"/>
  <c r="Y303" i="16"/>
  <c r="X304" i="16"/>
  <c r="Y304" i="16"/>
  <c r="X305" i="16"/>
  <c r="X306" i="16"/>
  <c r="Y305" i="16"/>
  <c r="Y306" i="16"/>
  <c r="X307" i="16"/>
  <c r="Y307" i="16"/>
  <c r="X308" i="16"/>
  <c r="X309" i="16"/>
  <c r="Y308" i="16"/>
  <c r="Y309" i="16"/>
  <c r="X310" i="16"/>
  <c r="X311" i="16"/>
  <c r="Y310" i="16"/>
  <c r="Y311" i="16"/>
  <c r="X312" i="16"/>
  <c r="X313" i="16"/>
  <c r="Y312" i="16"/>
  <c r="X314" i="16"/>
  <c r="Y313" i="16"/>
  <c r="Y314" i="16"/>
  <c r="X315" i="16"/>
  <c r="X316" i="16"/>
  <c r="Y315" i="16"/>
  <c r="X317" i="16"/>
  <c r="Y316" i="16"/>
  <c r="Y317" i="16"/>
  <c r="X318" i="16"/>
  <c r="Y318" i="16"/>
  <c r="X319" i="16"/>
  <c r="Y319" i="16"/>
  <c r="X320" i="16"/>
  <c r="Y320" i="16"/>
  <c r="X321" i="16"/>
  <c r="Y321" i="16"/>
  <c r="X322" i="16"/>
  <c r="Y322" i="16"/>
  <c r="X323" i="16"/>
  <c r="Y323" i="16"/>
  <c r="X324" i="16"/>
  <c r="Y324" i="16"/>
  <c r="X325" i="16"/>
  <c r="X326" i="16"/>
  <c r="Y325" i="16"/>
  <c r="X327" i="16"/>
  <c r="Y326" i="16"/>
  <c r="X328" i="16"/>
  <c r="Y327" i="16"/>
  <c r="X329" i="16"/>
  <c r="Y328" i="16"/>
  <c r="Y329" i="16"/>
  <c r="X330" i="16"/>
  <c r="X331" i="16"/>
  <c r="Y330" i="16"/>
  <c r="X332" i="16"/>
  <c r="Y331" i="16"/>
  <c r="Y332" i="16"/>
  <c r="X333" i="16"/>
  <c r="Y333" i="16"/>
  <c r="X334" i="16"/>
  <c r="Y334" i="16"/>
  <c r="X335" i="16"/>
  <c r="X336" i="16"/>
  <c r="Y335" i="16"/>
  <c r="X337" i="16"/>
  <c r="Y336" i="16"/>
  <c r="X338" i="16"/>
  <c r="Y337" i="16"/>
  <c r="X339" i="16"/>
  <c r="Y338" i="16"/>
  <c r="X340" i="16"/>
  <c r="Y339" i="16"/>
  <c r="X341" i="16"/>
  <c r="Y340" i="16"/>
  <c r="X342" i="16"/>
  <c r="Y341" i="16"/>
  <c r="X343" i="16"/>
  <c r="Y342" i="16"/>
  <c r="X344" i="16"/>
  <c r="Y343" i="16"/>
  <c r="X345" i="16"/>
  <c r="Y344" i="16"/>
  <c r="Y345" i="16"/>
  <c r="X346" i="16"/>
  <c r="Y346" i="16"/>
  <c r="X347" i="16"/>
  <c r="Y347" i="16"/>
  <c r="X348" i="16"/>
  <c r="Y348" i="16"/>
  <c r="X349" i="16"/>
  <c r="Y349" i="16"/>
  <c r="X350" i="16"/>
  <c r="X351" i="16"/>
  <c r="Y350" i="16"/>
  <c r="X352" i="16"/>
  <c r="Y351" i="16"/>
  <c r="X353" i="16"/>
  <c r="Y352" i="16"/>
  <c r="X354" i="16"/>
  <c r="Y353" i="16"/>
  <c r="Y354" i="16"/>
  <c r="X355" i="16"/>
  <c r="X356" i="16"/>
  <c r="Y355" i="16"/>
  <c r="Y356" i="16"/>
  <c r="X357" i="16"/>
  <c r="X358" i="16"/>
  <c r="Y357" i="16"/>
  <c r="Y358" i="16"/>
  <c r="X359" i="16"/>
  <c r="X360" i="16"/>
  <c r="Y359" i="16"/>
  <c r="Y360" i="16"/>
  <c r="X361" i="16"/>
  <c r="X362" i="16"/>
  <c r="Y361" i="16"/>
  <c r="Y362" i="16"/>
  <c r="X363" i="16"/>
  <c r="X364" i="16"/>
  <c r="Y363" i="16"/>
  <c r="X365" i="16"/>
  <c r="Y364" i="16"/>
  <c r="X366" i="16"/>
  <c r="Y365" i="16"/>
  <c r="X367" i="16"/>
  <c r="Y366" i="16"/>
  <c r="X368" i="16"/>
  <c r="Y367" i="16"/>
  <c r="Y368" i="16"/>
  <c r="X369" i="16"/>
  <c r="Y369" i="16"/>
  <c r="X370" i="16"/>
  <c r="X371" i="16"/>
  <c r="Y370" i="16"/>
  <c r="X372" i="16"/>
  <c r="Y371" i="16"/>
  <c r="X373" i="16"/>
  <c r="Y372" i="16"/>
  <c r="X374" i="16"/>
  <c r="Y373" i="16"/>
  <c r="X375" i="16"/>
  <c r="Y374" i="16"/>
  <c r="X376" i="16"/>
  <c r="Y375" i="16"/>
  <c r="Y376" i="16"/>
  <c r="X377" i="16"/>
  <c r="Y377" i="16"/>
  <c r="X378" i="16"/>
  <c r="Y378" i="16"/>
  <c r="X379" i="16"/>
  <c r="Y379" i="16"/>
  <c r="X380" i="16"/>
  <c r="Y380" i="16"/>
  <c r="X381" i="16"/>
  <c r="X382" i="16"/>
  <c r="Y381" i="16"/>
  <c r="Y382" i="16"/>
  <c r="X383" i="16"/>
  <c r="Y383" i="16"/>
  <c r="X384" i="16"/>
  <c r="Y384" i="16"/>
  <c r="X385" i="16"/>
  <c r="Y385" i="16"/>
  <c r="X386" i="16"/>
  <c r="X387" i="16"/>
  <c r="Y386" i="16"/>
  <c r="Y387" i="16"/>
  <c r="X388" i="16"/>
  <c r="X389" i="16"/>
  <c r="Y388" i="16"/>
  <c r="X390" i="16"/>
  <c r="Y389" i="16"/>
  <c r="X391" i="16"/>
  <c r="Y390" i="16"/>
  <c r="X392" i="16"/>
  <c r="Y391" i="16"/>
  <c r="X393" i="16"/>
  <c r="Y392" i="16"/>
  <c r="X394" i="16"/>
  <c r="Y393" i="16"/>
  <c r="Y394" i="16"/>
  <c r="X395" i="16"/>
  <c r="X396" i="16"/>
  <c r="Y395" i="16"/>
  <c r="X397" i="16"/>
  <c r="Y396" i="16"/>
  <c r="Y397" i="16"/>
  <c r="X398" i="16"/>
  <c r="Y398" i="16"/>
  <c r="X399" i="16"/>
  <c r="Y399" i="16"/>
  <c r="X400" i="16"/>
  <c r="Y400" i="16"/>
  <c r="X401" i="16"/>
  <c r="X402" i="16"/>
  <c r="Y401" i="16"/>
  <c r="Y402" i="16"/>
  <c r="X403" i="16"/>
  <c r="X404" i="16"/>
  <c r="Y403" i="16"/>
  <c r="Y404" i="16"/>
  <c r="X405" i="16"/>
  <c r="Y405" i="16"/>
  <c r="X406" i="16"/>
  <c r="Y406" i="16"/>
  <c r="X407" i="16"/>
  <c r="X408" i="16"/>
  <c r="Y407" i="16"/>
  <c r="Y408" i="16"/>
  <c r="X409" i="16"/>
  <c r="X410" i="16"/>
  <c r="Y409" i="16"/>
  <c r="Y410" i="16"/>
  <c r="X411" i="16"/>
  <c r="X412" i="16"/>
  <c r="Y411" i="16"/>
  <c r="X413" i="16"/>
  <c r="Y412" i="16"/>
  <c r="Y413" i="16"/>
  <c r="X414" i="16"/>
  <c r="Y414" i="16"/>
  <c r="X415" i="16"/>
  <c r="X416" i="16"/>
  <c r="Y415" i="16"/>
  <c r="X417" i="16"/>
  <c r="Y416" i="16"/>
  <c r="Y417" i="16"/>
  <c r="X418" i="16"/>
  <c r="X419" i="16"/>
  <c r="Y418" i="16"/>
  <c r="X420" i="16"/>
  <c r="Y419" i="16"/>
  <c r="X421" i="16"/>
  <c r="Y420" i="16"/>
  <c r="Y421" i="16"/>
  <c r="X422" i="16"/>
  <c r="X423" i="16"/>
  <c r="Y422" i="16"/>
  <c r="Y423" i="16"/>
  <c r="X424" i="16"/>
  <c r="X425" i="16"/>
  <c r="Y424" i="16"/>
  <c r="X426" i="16"/>
  <c r="Y425" i="16"/>
  <c r="X427" i="16"/>
  <c r="Y426" i="16"/>
  <c r="Y427" i="16"/>
  <c r="X428" i="16"/>
  <c r="Y428" i="16"/>
  <c r="X429" i="16"/>
  <c r="X430" i="16"/>
  <c r="Y429" i="16"/>
  <c r="Y430" i="16"/>
  <c r="X431" i="16"/>
  <c r="X432" i="16"/>
  <c r="Y431" i="16"/>
  <c r="Y432" i="16"/>
  <c r="X433" i="16"/>
  <c r="Y433" i="16"/>
  <c r="X434" i="16"/>
  <c r="X435" i="16"/>
  <c r="Y434" i="16"/>
  <c r="X436" i="16"/>
  <c r="Y435" i="16"/>
  <c r="X437" i="16"/>
  <c r="Y436" i="16"/>
  <c r="Y437" i="16"/>
  <c r="X438" i="16"/>
  <c r="X439" i="16"/>
  <c r="Y438" i="16"/>
  <c r="Y439" i="16"/>
  <c r="X440" i="16"/>
  <c r="X441" i="16"/>
  <c r="Y440" i="16"/>
  <c r="X442" i="16"/>
  <c r="Y441" i="16"/>
  <c r="Y442" i="16"/>
  <c r="X443" i="16"/>
  <c r="Y443" i="16"/>
  <c r="X444" i="16"/>
  <c r="X445" i="16"/>
  <c r="Y444" i="16"/>
  <c r="X446" i="16"/>
  <c r="Y445" i="16"/>
  <c r="X447" i="16"/>
  <c r="Y446" i="16"/>
  <c r="X448" i="16"/>
  <c r="Y447" i="16"/>
  <c r="X449" i="16"/>
  <c r="Y448" i="16"/>
  <c r="X450" i="16"/>
  <c r="Y449" i="16"/>
  <c r="Y450" i="16"/>
  <c r="X451" i="16"/>
  <c r="X452" i="16"/>
  <c r="Y451" i="16"/>
  <c r="Y452" i="16"/>
  <c r="X453" i="16"/>
  <c r="Y453" i="16"/>
  <c r="X454" i="16"/>
  <c r="X455" i="16"/>
  <c r="Y454" i="16"/>
  <c r="Y455" i="16"/>
  <c r="X456" i="16"/>
  <c r="X457" i="16"/>
  <c r="Y456" i="16"/>
  <c r="X458" i="16"/>
  <c r="Y457" i="16"/>
  <c r="Y458" i="16"/>
  <c r="X459" i="16"/>
  <c r="Y459" i="16"/>
  <c r="X460" i="16"/>
  <c r="Y460" i="16"/>
  <c r="X461" i="16"/>
  <c r="Y461" i="16"/>
  <c r="X462" i="16"/>
  <c r="Y462" i="16"/>
  <c r="X463" i="16"/>
  <c r="Y463" i="16"/>
  <c r="X464" i="16"/>
  <c r="X465" i="16"/>
  <c r="Y464" i="16"/>
  <c r="Y465" i="16"/>
  <c r="X466" i="16"/>
  <c r="Y466" i="16"/>
  <c r="X467" i="16"/>
  <c r="X468" i="16"/>
  <c r="Y467" i="16"/>
  <c r="Y468" i="16"/>
  <c r="X469" i="16"/>
  <c r="X470" i="16"/>
  <c r="Y469" i="16"/>
  <c r="Y470" i="16"/>
  <c r="X471" i="16"/>
  <c r="X472" i="16"/>
  <c r="Y471" i="16"/>
  <c r="X473" i="16"/>
  <c r="Y472" i="16"/>
  <c r="Y473" i="16"/>
  <c r="X474" i="16"/>
  <c r="Y474" i="16"/>
  <c r="X475" i="16"/>
  <c r="Y475" i="16"/>
  <c r="X476" i="16"/>
  <c r="Y476" i="16"/>
  <c r="X477" i="16"/>
  <c r="X478" i="16"/>
  <c r="Y477" i="16"/>
  <c r="Y478" i="16"/>
  <c r="X479" i="16"/>
  <c r="X480" i="16"/>
  <c r="Y479" i="16"/>
  <c r="X481" i="16"/>
  <c r="Y480" i="16"/>
  <c r="X482" i="16"/>
  <c r="Y481" i="16"/>
  <c r="Y482" i="16"/>
  <c r="X483" i="16"/>
  <c r="X484" i="16"/>
  <c r="Y483" i="16"/>
  <c r="Y484" i="16"/>
  <c r="X485" i="16"/>
  <c r="X486" i="16"/>
  <c r="Y485" i="16"/>
  <c r="Y486" i="16"/>
  <c r="X487" i="16"/>
  <c r="Y487" i="16"/>
  <c r="X488" i="16"/>
  <c r="X489" i="16"/>
  <c r="Y488" i="16"/>
  <c r="X490" i="16"/>
  <c r="Y489" i="16"/>
  <c r="Y490" i="16"/>
  <c r="X491" i="16"/>
  <c r="Y491" i="16"/>
  <c r="X492" i="16"/>
  <c r="Y492" i="16"/>
  <c r="X493" i="16"/>
  <c r="Y493" i="16"/>
  <c r="X494" i="16"/>
  <c r="X495" i="16"/>
  <c r="Y494" i="16"/>
  <c r="X496" i="16"/>
  <c r="Y495" i="16"/>
  <c r="Y496" i="16"/>
  <c r="X497" i="16"/>
  <c r="X498" i="16"/>
  <c r="Y497" i="16"/>
  <c r="Y498" i="16"/>
  <c r="X499" i="16"/>
  <c r="Y499" i="16"/>
  <c r="X500" i="16"/>
  <c r="X501" i="16"/>
  <c r="Y500" i="16"/>
  <c r="X502" i="16"/>
  <c r="Y501" i="16"/>
  <c r="Y502" i="16"/>
  <c r="X503" i="16"/>
  <c r="X504" i="16"/>
  <c r="Y503" i="16"/>
  <c r="X505" i="16"/>
  <c r="Y504" i="16"/>
  <c r="X506" i="16"/>
  <c r="Y505" i="16"/>
  <c r="Y506" i="16"/>
  <c r="X507" i="16"/>
  <c r="Y507" i="16"/>
  <c r="X508" i="16"/>
  <c r="X509" i="16"/>
  <c r="Y508" i="16"/>
  <c r="Y509" i="16"/>
  <c r="X510" i="16"/>
  <c r="X511" i="16"/>
  <c r="Y510" i="16"/>
  <c r="X512" i="16"/>
  <c r="Y511" i="16"/>
  <c r="X513" i="16"/>
  <c r="Y512" i="16"/>
  <c r="X514" i="16"/>
  <c r="Y513" i="16"/>
  <c r="Y514" i="16"/>
  <c r="X515" i="16"/>
  <c r="Y515" i="16"/>
  <c r="X516" i="16"/>
  <c r="Y516" i="16"/>
  <c r="X517" i="16"/>
  <c r="Y517" i="16"/>
  <c r="X518" i="16"/>
  <c r="Y518" i="16"/>
  <c r="X519" i="16"/>
  <c r="Y519" i="16"/>
  <c r="X520" i="16"/>
  <c r="X521" i="16"/>
  <c r="Y520" i="16"/>
  <c r="X522" i="16"/>
  <c r="Y521" i="16"/>
  <c r="Y522" i="16"/>
  <c r="X523" i="16"/>
  <c r="Y523" i="16"/>
  <c r="X524" i="16"/>
  <c r="Y524" i="16"/>
  <c r="X525" i="16"/>
  <c r="Y525" i="16"/>
  <c r="X526" i="16"/>
  <c r="X527" i="16"/>
  <c r="Y526" i="16"/>
  <c r="Y527" i="16"/>
  <c r="X528" i="16"/>
  <c r="X529" i="16"/>
  <c r="Y528" i="16"/>
  <c r="X530" i="16"/>
  <c r="Y529" i="16"/>
  <c r="Y530" i="16"/>
  <c r="X531" i="16"/>
  <c r="Y531" i="16"/>
  <c r="X532" i="16"/>
  <c r="X533" i="16"/>
  <c r="Y532" i="16"/>
  <c r="X534" i="16"/>
  <c r="Y533" i="16"/>
  <c r="Y534" i="16"/>
  <c r="X535" i="16"/>
  <c r="Y535" i="16"/>
  <c r="X536" i="16"/>
  <c r="Y536" i="16"/>
  <c r="X537" i="16"/>
  <c r="Y537" i="16"/>
  <c r="X538" i="16"/>
  <c r="Y538" i="16"/>
  <c r="X539" i="16"/>
  <c r="X540" i="16"/>
  <c r="Y539" i="16"/>
  <c r="X541" i="16"/>
  <c r="Y540" i="16"/>
  <c r="Y541" i="16"/>
  <c r="X542" i="16"/>
  <c r="Y542" i="16"/>
  <c r="X543" i="16"/>
  <c r="Y543" i="16"/>
  <c r="X544" i="16"/>
  <c r="Y544" i="16"/>
  <c r="X545" i="16"/>
  <c r="Y545" i="16"/>
  <c r="X546" i="16"/>
  <c r="Y546" i="16"/>
  <c r="X547" i="16"/>
  <c r="X548" i="16"/>
  <c r="Y547" i="16"/>
  <c r="X549" i="16"/>
  <c r="Y548" i="16"/>
  <c r="X550" i="16"/>
  <c r="Y549" i="16"/>
  <c r="X551" i="16"/>
  <c r="Y550" i="16"/>
  <c r="X552" i="16"/>
  <c r="Y551" i="16"/>
  <c r="Y552" i="16"/>
  <c r="X553" i="16"/>
  <c r="X554" i="16"/>
  <c r="Y553" i="16"/>
  <c r="Y554" i="16"/>
  <c r="X555" i="16"/>
  <c r="Y555" i="16"/>
  <c r="X556" i="16"/>
  <c r="X557" i="16"/>
  <c r="Y556" i="16"/>
  <c r="X558" i="16"/>
  <c r="Y557" i="16"/>
  <c r="X559" i="16"/>
  <c r="Y558" i="16"/>
  <c r="X560" i="16"/>
  <c r="Y559" i="16"/>
  <c r="Y560" i="16"/>
  <c r="X561" i="16"/>
  <c r="X562" i="16"/>
  <c r="Y561" i="16"/>
  <c r="X563" i="16"/>
  <c r="Y562" i="16"/>
  <c r="Y563" i="16"/>
  <c r="X564" i="16"/>
  <c r="X565" i="16"/>
  <c r="Y564" i="16"/>
  <c r="Y565" i="16"/>
  <c r="X566" i="16"/>
  <c r="Y566" i="16"/>
  <c r="X567" i="16"/>
  <c r="X568" i="16"/>
  <c r="Y567" i="16"/>
  <c r="X569" i="16"/>
  <c r="Y568" i="16"/>
  <c r="X570" i="16"/>
  <c r="Y569" i="16"/>
  <c r="X571" i="16"/>
  <c r="Y570" i="16"/>
  <c r="Y571" i="16"/>
  <c r="X572" i="16"/>
  <c r="X573" i="16"/>
  <c r="Y572" i="16"/>
  <c r="X574" i="16"/>
  <c r="Y573" i="16"/>
  <c r="Y574" i="16"/>
  <c r="X575" i="16"/>
  <c r="Y575" i="16"/>
  <c r="X576" i="16"/>
  <c r="Y576" i="16"/>
  <c r="X577" i="16"/>
  <c r="X578" i="16"/>
  <c r="Y577" i="16"/>
  <c r="X579" i="16"/>
  <c r="Y578" i="16"/>
  <c r="X580" i="16"/>
  <c r="Y579" i="16"/>
  <c r="X581" i="16"/>
  <c r="Y580" i="16"/>
  <c r="Y581" i="16"/>
  <c r="X582" i="16"/>
  <c r="X583" i="16"/>
  <c r="Y582" i="16"/>
  <c r="Y583" i="16"/>
  <c r="X584" i="16"/>
  <c r="Y584" i="16"/>
  <c r="X585" i="16"/>
  <c r="Y585" i="16"/>
  <c r="X586" i="16"/>
  <c r="X587" i="16"/>
  <c r="Y586" i="16"/>
  <c r="Y587" i="16"/>
  <c r="X588" i="16"/>
  <c r="X589" i="16"/>
  <c r="Y588" i="16"/>
  <c r="X590" i="16"/>
  <c r="Y589" i="16"/>
  <c r="X591" i="16"/>
  <c r="Y590" i="16"/>
  <c r="Y591" i="16"/>
  <c r="X592" i="16"/>
  <c r="X593" i="16"/>
  <c r="Y592" i="16"/>
  <c r="Y593" i="16"/>
  <c r="X594" i="16"/>
  <c r="Y594" i="16"/>
  <c r="X595" i="16"/>
  <c r="Y595" i="16"/>
  <c r="X596" i="16"/>
  <c r="Y596" i="16"/>
  <c r="X597" i="16"/>
  <c r="X598" i="16"/>
  <c r="Y597" i="16"/>
  <c r="Y598" i="16"/>
  <c r="X599" i="16"/>
  <c r="Y599" i="16"/>
  <c r="X600" i="16"/>
  <c r="X601" i="16"/>
  <c r="Y600" i="16"/>
  <c r="X602" i="16"/>
  <c r="Y601" i="16"/>
  <c r="X603" i="16"/>
  <c r="Y602" i="16"/>
  <c r="Y603" i="16"/>
  <c r="X604" i="16"/>
  <c r="X605" i="16"/>
  <c r="Y604" i="16"/>
  <c r="X606" i="16"/>
  <c r="Y605" i="16"/>
  <c r="X607" i="16"/>
  <c r="Y606" i="16"/>
  <c r="Y607" i="16"/>
  <c r="X608" i="16"/>
  <c r="Y608" i="16"/>
  <c r="X609" i="16"/>
  <c r="Y609" i="16"/>
  <c r="X610" i="16"/>
  <c r="X611" i="16"/>
  <c r="Y610" i="16"/>
  <c r="X612" i="16"/>
  <c r="Y611" i="16"/>
  <c r="Y612" i="16"/>
  <c r="X613" i="16"/>
  <c r="Y613" i="16"/>
  <c r="X614" i="16"/>
  <c r="X615" i="16"/>
  <c r="Y614" i="16"/>
  <c r="Y615" i="16"/>
  <c r="X616" i="16"/>
  <c r="X617" i="16"/>
  <c r="Y616" i="16"/>
  <c r="Y617" i="16"/>
  <c r="X618" i="16"/>
  <c r="X619" i="16"/>
  <c r="Y618" i="16"/>
  <c r="X620" i="16"/>
  <c r="Y619" i="16"/>
  <c r="X621" i="16"/>
  <c r="Y620" i="16"/>
  <c r="Y621" i="16"/>
  <c r="X622" i="16"/>
  <c r="X623" i="16"/>
  <c r="Y622" i="16"/>
  <c r="Y623" i="16"/>
  <c r="X624" i="16"/>
  <c r="X625" i="16"/>
  <c r="Y624" i="16"/>
  <c r="Y625" i="16"/>
  <c r="X626" i="16"/>
  <c r="X627" i="16"/>
  <c r="Y626" i="16"/>
  <c r="Y627" i="16"/>
  <c r="X628" i="16"/>
  <c r="X629" i="16"/>
  <c r="Y628" i="16"/>
  <c r="X630" i="16"/>
  <c r="Y629" i="16"/>
  <c r="X631" i="16"/>
  <c r="Y630" i="16"/>
  <c r="X632" i="16"/>
  <c r="Y631" i="16"/>
  <c r="X633" i="16"/>
  <c r="Y632" i="16"/>
  <c r="Y633" i="16"/>
  <c r="X634" i="16"/>
  <c r="X635" i="16"/>
  <c r="Y634" i="16"/>
  <c r="Y635" i="16"/>
  <c r="X636" i="16"/>
  <c r="X637" i="16"/>
  <c r="Y636" i="16"/>
  <c r="Y637" i="16"/>
  <c r="X638" i="16"/>
  <c r="X639" i="16"/>
  <c r="Y638" i="16"/>
  <c r="Y639" i="16"/>
  <c r="X640" i="16"/>
  <c r="X641" i="16"/>
  <c r="Y640" i="16"/>
  <c r="X642" i="16"/>
  <c r="Y641" i="16"/>
  <c r="X643" i="16"/>
  <c r="Y642" i="16"/>
  <c r="Y643" i="16"/>
  <c r="X644" i="16"/>
  <c r="Y644" i="16"/>
  <c r="X645" i="16"/>
  <c r="X646" i="16"/>
  <c r="Y645" i="16"/>
  <c r="X647" i="16"/>
  <c r="Y646" i="16"/>
  <c r="Y647" i="16"/>
  <c r="X648" i="16"/>
  <c r="Y648" i="16"/>
  <c r="X649" i="16"/>
  <c r="X650" i="16"/>
  <c r="Y649" i="16"/>
  <c r="Y650" i="16"/>
  <c r="X651" i="16"/>
  <c r="Y651" i="16"/>
  <c r="X652" i="16"/>
  <c r="Y652" i="16"/>
  <c r="X653" i="16"/>
  <c r="X654" i="16"/>
  <c r="Y653" i="16"/>
  <c r="Y654" i="16"/>
  <c r="X655" i="16"/>
  <c r="X656" i="16"/>
  <c r="Y655" i="16"/>
  <c r="Y656" i="16"/>
  <c r="X657" i="16"/>
  <c r="Y657" i="16"/>
  <c r="X658" i="16"/>
  <c r="X659" i="16"/>
  <c r="Y658" i="16"/>
  <c r="X660" i="16"/>
  <c r="Y659" i="16"/>
  <c r="X661" i="16"/>
  <c r="Y660" i="16"/>
  <c r="X662" i="16"/>
  <c r="Y661" i="16"/>
  <c r="X663" i="16"/>
  <c r="Y662" i="16"/>
  <c r="Y663" i="16"/>
  <c r="X664" i="16"/>
  <c r="X665" i="16"/>
  <c r="Y664" i="16"/>
  <c r="X666" i="16"/>
  <c r="Y665" i="16"/>
  <c r="Y666" i="16"/>
  <c r="X667" i="16"/>
  <c r="X668" i="16"/>
  <c r="Y667" i="16"/>
  <c r="Y668" i="16"/>
  <c r="X669" i="16"/>
  <c r="Y669" i="16"/>
  <c r="X670" i="16"/>
  <c r="X671" i="16"/>
  <c r="Y670" i="16"/>
  <c r="Y671" i="16"/>
  <c r="X672" i="16"/>
  <c r="X673" i="16"/>
  <c r="Y672" i="16"/>
  <c r="Y673" i="16"/>
  <c r="X674" i="16"/>
  <c r="X675" i="16"/>
  <c r="Y674" i="16"/>
  <c r="Y675" i="16"/>
  <c r="X676" i="16"/>
  <c r="Y676" i="16"/>
  <c r="X677" i="16"/>
  <c r="X678" i="16"/>
  <c r="Y677" i="16"/>
  <c r="Y678" i="16"/>
  <c r="X679" i="16"/>
  <c r="X680" i="16"/>
  <c r="Y679" i="16"/>
  <c r="Y680" i="16"/>
  <c r="X681" i="16"/>
  <c r="Y681" i="16"/>
  <c r="X682" i="16"/>
  <c r="X683" i="16"/>
  <c r="Y682" i="16"/>
  <c r="X684" i="16"/>
  <c r="Y683" i="16"/>
  <c r="Y684" i="16"/>
  <c r="X685" i="16"/>
  <c r="Y685" i="16"/>
  <c r="X686" i="16"/>
  <c r="Y686" i="16"/>
  <c r="X687" i="16"/>
  <c r="Y687" i="16"/>
  <c r="X688" i="16"/>
  <c r="X689" i="16"/>
  <c r="Y688" i="16"/>
  <c r="X690" i="16"/>
  <c r="Y689" i="16"/>
  <c r="Y690" i="16"/>
  <c r="X691" i="16"/>
  <c r="Y691" i="16"/>
  <c r="X692" i="16"/>
  <c r="X693" i="16"/>
  <c r="Y692" i="16"/>
  <c r="Y693" i="16"/>
  <c r="X694" i="16"/>
  <c r="Y694" i="16"/>
  <c r="X695" i="16"/>
  <c r="Y695" i="16"/>
  <c r="X696" i="16"/>
  <c r="X697" i="16"/>
  <c r="Y696" i="16"/>
  <c r="Y697" i="16"/>
  <c r="X698" i="16"/>
  <c r="Y698" i="16"/>
  <c r="X699" i="16"/>
  <c r="X700" i="16"/>
  <c r="Y699" i="16"/>
  <c r="X701" i="16"/>
  <c r="Y700" i="16"/>
  <c r="X702" i="16"/>
  <c r="Y701" i="16"/>
  <c r="X703" i="16"/>
  <c r="Y702" i="16"/>
  <c r="Y703" i="16"/>
  <c r="X704" i="16"/>
  <c r="X705" i="16"/>
  <c r="Y704" i="16"/>
  <c r="Y705" i="16"/>
  <c r="X706" i="16"/>
  <c r="X707" i="16"/>
  <c r="Y706" i="16"/>
  <c r="Y707" i="16"/>
  <c r="X708" i="16"/>
  <c r="Y708" i="16"/>
  <c r="X709" i="16"/>
  <c r="Y709" i="16"/>
  <c r="X710" i="16"/>
  <c r="X711" i="16"/>
  <c r="Y710" i="16"/>
  <c r="Y711" i="16"/>
  <c r="X712" i="16"/>
  <c r="X713" i="16"/>
  <c r="Y712" i="16"/>
  <c r="X714" i="16"/>
  <c r="Y713" i="16"/>
  <c r="X715" i="16"/>
  <c r="Y714" i="16"/>
  <c r="X716" i="16"/>
  <c r="Y715" i="16"/>
  <c r="X717" i="16"/>
  <c r="Y716" i="16"/>
  <c r="X718" i="16"/>
  <c r="Y717" i="16"/>
  <c r="X719" i="16"/>
  <c r="Y718" i="16"/>
  <c r="Y719" i="16"/>
  <c r="X720" i="16"/>
  <c r="Y720" i="16"/>
  <c r="X721" i="16"/>
  <c r="Y721" i="16"/>
  <c r="X722" i="16"/>
  <c r="Y722" i="16"/>
  <c r="X723" i="16"/>
  <c r="X724" i="16"/>
  <c r="Y723" i="16"/>
  <c r="Y724" i="16"/>
  <c r="X725" i="16"/>
  <c r="Y725" i="16"/>
  <c r="X726" i="16"/>
  <c r="Y726" i="16"/>
  <c r="X727" i="16"/>
  <c r="X728" i="16"/>
  <c r="Y727" i="16"/>
  <c r="X729" i="16"/>
  <c r="Y728" i="16"/>
  <c r="X730" i="16"/>
  <c r="Y729" i="16"/>
  <c r="X731" i="16"/>
  <c r="Y730" i="16"/>
  <c r="Y731" i="16"/>
  <c r="X732" i="16"/>
  <c r="Y732" i="16"/>
  <c r="X733" i="16"/>
  <c r="X734" i="16"/>
  <c r="Y733" i="16"/>
  <c r="X735" i="16"/>
  <c r="Y734" i="16"/>
  <c r="Y735" i="16"/>
  <c r="X736" i="16"/>
  <c r="Y736" i="16"/>
  <c r="X737" i="16"/>
  <c r="X738" i="16"/>
  <c r="Y737" i="16"/>
  <c r="X739" i="16"/>
  <c r="Y738" i="16"/>
  <c r="Y739" i="16"/>
  <c r="X740" i="16"/>
  <c r="X741" i="16"/>
  <c r="Y740" i="16"/>
  <c r="Y741" i="16"/>
  <c r="X742" i="16"/>
  <c r="Y742" i="16"/>
  <c r="X743" i="16"/>
  <c r="X744" i="16"/>
  <c r="Y743" i="16"/>
  <c r="X745" i="16"/>
  <c r="Y744" i="16"/>
  <c r="Y745" i="16"/>
  <c r="X746" i="16"/>
  <c r="Y746" i="16"/>
  <c r="X747" i="16"/>
  <c r="Y747" i="16"/>
  <c r="X748" i="16"/>
  <c r="Y748" i="16"/>
  <c r="X749" i="16"/>
  <c r="Y749" i="16"/>
  <c r="X750" i="16"/>
  <c r="Y750" i="16"/>
  <c r="X751" i="16"/>
  <c r="Y751" i="16"/>
  <c r="X752" i="16"/>
  <c r="X753" i="16"/>
  <c r="Y752" i="16"/>
  <c r="Y753" i="16"/>
  <c r="X754" i="16"/>
  <c r="Y754" i="16"/>
  <c r="X755" i="16"/>
  <c r="Y755" i="16"/>
  <c r="X756" i="16"/>
  <c r="X757" i="16"/>
  <c r="Y756" i="16"/>
  <c r="Y757" i="16"/>
  <c r="X758" i="16"/>
  <c r="X759" i="16"/>
  <c r="Y758" i="16"/>
  <c r="Y759" i="16"/>
  <c r="X760" i="16"/>
  <c r="Y760" i="16"/>
  <c r="X761" i="16"/>
  <c r="Y761" i="16"/>
  <c r="X762" i="16"/>
  <c r="X763" i="16"/>
  <c r="Y762" i="16"/>
  <c r="Y763" i="16"/>
  <c r="X764" i="16"/>
  <c r="X765" i="16"/>
  <c r="Y764" i="16"/>
  <c r="Y765" i="16"/>
  <c r="X766" i="16"/>
  <c r="Y766" i="16"/>
  <c r="X767" i="16"/>
  <c r="X768" i="16"/>
  <c r="Y767" i="16"/>
  <c r="X769" i="16"/>
  <c r="Y768" i="16"/>
  <c r="X770" i="16"/>
  <c r="Y769" i="16"/>
  <c r="X771" i="16"/>
  <c r="Y770" i="16"/>
  <c r="Y771" i="16"/>
  <c r="X772" i="16"/>
  <c r="Y772" i="16"/>
  <c r="X773" i="16"/>
  <c r="X774" i="16"/>
  <c r="Y773" i="16"/>
  <c r="Y774" i="16"/>
  <c r="X775" i="16"/>
  <c r="X776" i="16"/>
  <c r="Y775" i="16"/>
  <c r="X777" i="16"/>
  <c r="Y776" i="16"/>
  <c r="X778" i="16"/>
  <c r="Y777" i="16"/>
  <c r="X779" i="16"/>
  <c r="Y778" i="16"/>
  <c r="Y779" i="16"/>
  <c r="X780" i="16"/>
  <c r="Y780" i="16"/>
  <c r="X781" i="16"/>
  <c r="X782" i="16"/>
  <c r="Y781" i="16"/>
  <c r="Y782" i="16"/>
  <c r="X783" i="16"/>
  <c r="X784" i="16"/>
  <c r="Y783" i="16"/>
  <c r="X785" i="16"/>
  <c r="Y784" i="16"/>
  <c r="X786" i="16"/>
  <c r="Y785" i="16"/>
  <c r="X787" i="16"/>
  <c r="Y786" i="16"/>
  <c r="Y787" i="16"/>
  <c r="X788" i="16"/>
  <c r="Y788" i="16"/>
  <c r="X789" i="16"/>
  <c r="Y789" i="16"/>
  <c r="X790" i="16"/>
  <c r="Y790" i="16"/>
  <c r="X791" i="16"/>
  <c r="X792" i="16"/>
  <c r="Y791" i="16"/>
  <c r="X793" i="16"/>
  <c r="Y792" i="16"/>
  <c r="X794" i="16"/>
  <c r="Y793" i="16"/>
  <c r="Y794" i="16"/>
  <c r="X795" i="16"/>
  <c r="X796" i="16"/>
  <c r="Y795" i="16"/>
  <c r="Y796" i="16"/>
  <c r="X797" i="16"/>
  <c r="X798" i="16"/>
  <c r="Y797" i="16"/>
  <c r="X799" i="16"/>
  <c r="Y798" i="16"/>
  <c r="Y799" i="16"/>
  <c r="X800" i="16"/>
  <c r="X801" i="16"/>
  <c r="Y800" i="16"/>
  <c r="X802" i="16"/>
  <c r="Y801" i="16"/>
  <c r="X803" i="16"/>
  <c r="Y802" i="16"/>
  <c r="Y803" i="16"/>
  <c r="X804" i="16"/>
  <c r="Y804" i="16"/>
  <c r="X805" i="16"/>
  <c r="Y805" i="16"/>
  <c r="X806" i="16"/>
  <c r="Y806" i="16"/>
  <c r="X807" i="16"/>
  <c r="X808" i="16"/>
  <c r="Y807" i="16"/>
  <c r="Y808" i="16"/>
  <c r="X809" i="16"/>
  <c r="Y809" i="16"/>
  <c r="X810" i="16"/>
  <c r="X811" i="16"/>
  <c r="Y810" i="16"/>
  <c r="X812" i="16"/>
  <c r="Y811" i="16"/>
  <c r="X813" i="16"/>
  <c r="Y812" i="16"/>
  <c r="X814" i="16"/>
  <c r="Y813" i="16"/>
  <c r="Y814" i="16"/>
  <c r="X815" i="16"/>
  <c r="X816" i="16"/>
  <c r="Y815" i="16"/>
  <c r="Y816" i="16"/>
  <c r="X817" i="16"/>
  <c r="Y817" i="16"/>
  <c r="X818" i="16"/>
  <c r="X819" i="16"/>
  <c r="Y818" i="16"/>
  <c r="Y819" i="16"/>
  <c r="X820" i="16"/>
  <c r="X821" i="16"/>
  <c r="Y820" i="16"/>
  <c r="X822" i="16"/>
  <c r="Y821" i="16"/>
  <c r="X823" i="16"/>
  <c r="Y822" i="16"/>
  <c r="X824" i="16"/>
  <c r="Y823" i="16"/>
  <c r="X825" i="16"/>
  <c r="Y824" i="16"/>
  <c r="X826" i="16"/>
  <c r="Y825" i="16"/>
  <c r="X827" i="16"/>
  <c r="Y826" i="16"/>
  <c r="Y827" i="16"/>
  <c r="X828" i="16"/>
  <c r="Y828" i="16"/>
  <c r="X829" i="16"/>
  <c r="Y829" i="16"/>
  <c r="X830" i="16"/>
  <c r="Y830" i="16"/>
  <c r="X831" i="16"/>
  <c r="X832" i="16"/>
  <c r="Y831" i="16"/>
  <c r="Y832" i="16"/>
  <c r="X833" i="16"/>
  <c r="X834" i="16"/>
  <c r="Y833" i="16"/>
  <c r="X835" i="16"/>
  <c r="Y834" i="16"/>
  <c r="Y835" i="16"/>
  <c r="X836" i="16"/>
  <c r="Y836" i="16"/>
  <c r="X837" i="16"/>
  <c r="Y837" i="16"/>
  <c r="X838" i="16"/>
  <c r="X839" i="16"/>
  <c r="Y838" i="16"/>
  <c r="Y839" i="16"/>
  <c r="X840" i="16"/>
  <c r="X841" i="16"/>
  <c r="Y840" i="16"/>
  <c r="Y841" i="16"/>
  <c r="X842" i="16"/>
  <c r="X843" i="16"/>
  <c r="Y842" i="16"/>
  <c r="Y843" i="16"/>
  <c r="X844" i="16"/>
  <c r="X845" i="16"/>
  <c r="Y844" i="16"/>
  <c r="X846" i="16"/>
  <c r="Y845" i="16"/>
  <c r="X847" i="16"/>
  <c r="Y846" i="16"/>
  <c r="Y847" i="16"/>
  <c r="X848" i="16"/>
  <c r="X849" i="16"/>
  <c r="Y848" i="16"/>
  <c r="X850" i="16"/>
  <c r="Y849" i="16"/>
  <c r="X851" i="16"/>
  <c r="Y850" i="16"/>
  <c r="X852" i="16"/>
  <c r="Y851" i="16"/>
  <c r="Y852" i="16"/>
  <c r="X853" i="16"/>
  <c r="X854" i="16"/>
  <c r="Y853" i="16"/>
  <c r="Y854" i="16"/>
  <c r="X855" i="16"/>
  <c r="Y855" i="16"/>
  <c r="X856" i="16"/>
  <c r="Y856" i="16"/>
  <c r="X857" i="16"/>
  <c r="X858" i="16"/>
  <c r="Y857" i="16"/>
  <c r="X859" i="16"/>
  <c r="Y858" i="16"/>
  <c r="Y859" i="16"/>
  <c r="X860" i="16"/>
  <c r="X861" i="16"/>
  <c r="Y860" i="16"/>
  <c r="Y861" i="16"/>
  <c r="X862" i="16"/>
  <c r="Y862" i="16"/>
  <c r="X863" i="16"/>
  <c r="Y863" i="16"/>
  <c r="X864" i="16"/>
  <c r="X865" i="16"/>
  <c r="Y864" i="16"/>
  <c r="X866" i="16"/>
  <c r="Y865" i="16"/>
  <c r="X867" i="16"/>
  <c r="Y866" i="16"/>
  <c r="X868" i="16"/>
  <c r="Y867" i="16"/>
  <c r="Y868" i="16"/>
  <c r="X869" i="16"/>
  <c r="Y869" i="16"/>
  <c r="X870" i="16"/>
  <c r="X871" i="16"/>
  <c r="Y870" i="16"/>
  <c r="X872" i="16"/>
  <c r="Y871" i="16"/>
  <c r="Y872" i="16"/>
  <c r="X873" i="16"/>
  <c r="Y873" i="16"/>
  <c r="X874" i="16"/>
  <c r="Y874" i="16"/>
  <c r="X875" i="16"/>
  <c r="Y875" i="16"/>
  <c r="X876" i="16"/>
  <c r="X877" i="16"/>
  <c r="Y876" i="16"/>
  <c r="Y877" i="16"/>
  <c r="X878" i="16"/>
  <c r="Y878" i="16"/>
  <c r="X879" i="16"/>
  <c r="X880" i="16"/>
  <c r="Y879" i="16"/>
  <c r="X881" i="16"/>
  <c r="Y880" i="16"/>
  <c r="X882" i="16"/>
  <c r="Y881" i="16"/>
  <c r="X883" i="16"/>
  <c r="Y882" i="16"/>
  <c r="X884" i="16"/>
  <c r="Y883" i="16"/>
  <c r="X885" i="16"/>
  <c r="Y884" i="16"/>
  <c r="Y885" i="16"/>
  <c r="X886" i="16"/>
  <c r="X887" i="16"/>
  <c r="Y886" i="16"/>
  <c r="X888" i="16"/>
  <c r="Y887" i="16"/>
  <c r="X889" i="16"/>
  <c r="Y888" i="16"/>
  <c r="X890" i="16"/>
  <c r="Y889" i="16"/>
  <c r="Y890" i="16"/>
  <c r="X891" i="16"/>
  <c r="X892" i="16"/>
  <c r="Y891" i="16"/>
  <c r="X893" i="16"/>
  <c r="Y892" i="16"/>
  <c r="Y893" i="16"/>
  <c r="X894" i="16"/>
  <c r="Y894" i="16"/>
  <c r="X895" i="16"/>
  <c r="Y895" i="16"/>
  <c r="X896" i="16"/>
  <c r="Y896" i="16"/>
  <c r="X897" i="16"/>
  <c r="X898" i="16"/>
  <c r="Y897" i="16"/>
  <c r="X899" i="16"/>
  <c r="Y898" i="16"/>
  <c r="X900" i="16"/>
  <c r="Y899" i="16"/>
  <c r="X901" i="16"/>
  <c r="Y900" i="16"/>
  <c r="X902" i="16"/>
  <c r="Y901" i="16"/>
  <c r="X903" i="16"/>
  <c r="Y902" i="16"/>
  <c r="X904" i="16"/>
  <c r="Y903" i="16"/>
  <c r="Y904" i="16"/>
  <c r="X905" i="16"/>
  <c r="Y905" i="16"/>
  <c r="X906" i="16"/>
  <c r="X907" i="16"/>
  <c r="Y906" i="16"/>
  <c r="Y907" i="16"/>
  <c r="X908" i="16"/>
  <c r="X909" i="16"/>
  <c r="Y908" i="16"/>
  <c r="X910" i="16"/>
  <c r="Y909" i="16"/>
  <c r="X911" i="16"/>
  <c r="Y910" i="16"/>
  <c r="Y911" i="16"/>
  <c r="X912" i="16"/>
  <c r="X913" i="16"/>
  <c r="Y912" i="16"/>
  <c r="X914" i="16"/>
  <c r="Y913" i="16"/>
  <c r="X915" i="16"/>
  <c r="Y914" i="16"/>
  <c r="X916" i="16"/>
  <c r="Y915" i="16"/>
  <c r="Y916" i="16"/>
  <c r="X917" i="16"/>
  <c r="X918" i="16"/>
  <c r="Y917" i="16"/>
  <c r="Y918" i="16"/>
  <c r="X919" i="16"/>
  <c r="Y919" i="16"/>
  <c r="X920" i="16"/>
  <c r="X921" i="16"/>
  <c r="Y920" i="16"/>
  <c r="Y921" i="16"/>
  <c r="X922" i="16"/>
  <c r="Y922" i="16"/>
  <c r="X923" i="16"/>
  <c r="Y923" i="16"/>
  <c r="X924" i="16"/>
  <c r="X925" i="16"/>
  <c r="Y924" i="16"/>
  <c r="Y925" i="16"/>
  <c r="X926" i="16"/>
  <c r="X927" i="16"/>
  <c r="Y926" i="16"/>
  <c r="X928" i="16"/>
  <c r="Y927" i="16"/>
  <c r="Y928" i="16"/>
  <c r="X929" i="16"/>
  <c r="X930" i="16"/>
  <c r="Y929" i="16"/>
  <c r="Y930" i="16"/>
  <c r="X931" i="16"/>
  <c r="X932" i="16"/>
  <c r="Y931" i="16"/>
  <c r="X933" i="16"/>
  <c r="Y932" i="16"/>
  <c r="X934" i="16"/>
  <c r="Y933" i="16"/>
  <c r="X935" i="16"/>
  <c r="Y934" i="16"/>
  <c r="X936" i="16"/>
  <c r="Y935" i="16"/>
  <c r="Y936" i="16"/>
  <c r="X937" i="16"/>
  <c r="Y937" i="16"/>
  <c r="X938" i="16"/>
  <c r="Y938" i="16"/>
  <c r="X939" i="16"/>
  <c r="Y939" i="16"/>
  <c r="X940" i="16"/>
  <c r="X941" i="16"/>
  <c r="Y940" i="16"/>
  <c r="Y941" i="16"/>
  <c r="X942" i="16"/>
  <c r="Y942" i="16"/>
  <c r="X943" i="16"/>
  <c r="Y943" i="16"/>
  <c r="X944" i="16"/>
  <c r="X945" i="16"/>
  <c r="Y944" i="16"/>
  <c r="Y945" i="16"/>
  <c r="X946" i="16"/>
  <c r="X947" i="16"/>
  <c r="Y946" i="16"/>
  <c r="X948" i="16"/>
  <c r="Y947" i="16"/>
  <c r="Y948" i="16"/>
  <c r="X949" i="16"/>
  <c r="X950" i="16"/>
  <c r="Y949" i="16"/>
  <c r="X951" i="16"/>
  <c r="Y950" i="16"/>
  <c r="X952" i="16"/>
  <c r="Y951" i="16"/>
  <c r="Y952" i="16"/>
  <c r="X953" i="16"/>
  <c r="Y953" i="16"/>
  <c r="X954" i="16"/>
  <c r="X955" i="16"/>
  <c r="Y954" i="16"/>
  <c r="Y955" i="16"/>
  <c r="X956" i="16"/>
  <c r="Y956" i="16"/>
  <c r="X957" i="16"/>
  <c r="X958" i="16"/>
  <c r="Y957" i="16"/>
  <c r="X959" i="16"/>
  <c r="Y958" i="16"/>
  <c r="Y959" i="16"/>
  <c r="X960" i="16"/>
  <c r="Y960" i="16"/>
  <c r="X961" i="16"/>
  <c r="Y961" i="16"/>
  <c r="X962" i="16"/>
  <c r="X963" i="16"/>
  <c r="Y962" i="16"/>
  <c r="X964" i="16"/>
  <c r="Y963" i="16"/>
  <c r="Y964" i="16"/>
  <c r="X965" i="16"/>
  <c r="X966" i="16"/>
  <c r="Y965" i="16"/>
  <c r="Y966" i="16"/>
  <c r="X967" i="16"/>
  <c r="Y967" i="16"/>
  <c r="X968" i="16"/>
  <c r="X969" i="16"/>
  <c r="Y968" i="16"/>
  <c r="X970" i="16"/>
  <c r="Y969" i="16"/>
  <c r="Y970" i="16"/>
  <c r="X971" i="16"/>
  <c r="X972" i="16"/>
  <c r="Y971" i="16"/>
  <c r="Y972" i="16"/>
  <c r="X973" i="16"/>
  <c r="Y973" i="16"/>
  <c r="X974" i="16"/>
  <c r="X975" i="16"/>
  <c r="Y974" i="16"/>
  <c r="Y975" i="16"/>
  <c r="X976" i="16"/>
  <c r="X977" i="16"/>
  <c r="Y976" i="16"/>
  <c r="X978" i="16"/>
  <c r="Y977" i="16"/>
  <c r="X979" i="16"/>
  <c r="Y978" i="16"/>
  <c r="Y979" i="16"/>
  <c r="X980" i="16"/>
  <c r="Y980" i="16"/>
  <c r="X981" i="16"/>
  <c r="X982" i="16"/>
  <c r="Y981" i="16"/>
  <c r="X983" i="16"/>
  <c r="Y982" i="16"/>
  <c r="Y983" i="16"/>
  <c r="X984" i="16"/>
  <c r="X985" i="16"/>
  <c r="Y984" i="16"/>
  <c r="X986" i="16"/>
  <c r="Y985" i="16"/>
  <c r="Y986" i="16"/>
  <c r="X987" i="16"/>
  <c r="X988" i="16"/>
  <c r="Y987" i="16"/>
  <c r="X989" i="16"/>
  <c r="Y988" i="16"/>
  <c r="X990" i="16"/>
  <c r="Y989" i="16"/>
  <c r="Y990" i="16"/>
  <c r="X991" i="16"/>
  <c r="Y991" i="16"/>
  <c r="X992" i="16"/>
  <c r="X993" i="16"/>
  <c r="Y992" i="16"/>
  <c r="X994" i="16"/>
  <c r="Y993" i="16"/>
  <c r="X995" i="16"/>
  <c r="Y994" i="16"/>
  <c r="Y995" i="16"/>
  <c r="X996" i="16"/>
  <c r="Y996" i="16"/>
  <c r="X997" i="16"/>
  <c r="X998" i="16"/>
  <c r="Y997" i="16"/>
  <c r="X999" i="16"/>
  <c r="Y998" i="16"/>
  <c r="X1000" i="16"/>
  <c r="Y999" i="16"/>
  <c r="Y1000" i="16"/>
  <c r="X1001" i="16"/>
  <c r="Y1001" i="16"/>
  <c r="X1002" i="16"/>
  <c r="Y1002" i="16"/>
  <c r="X1003" i="16"/>
  <c r="Y1003" i="16"/>
  <c r="X1004" i="16"/>
  <c r="X1005" i="16"/>
  <c r="Y1004" i="16"/>
  <c r="Y1005" i="16"/>
  <c r="X1006" i="16"/>
  <c r="X1007" i="16"/>
  <c r="Y1006" i="16"/>
  <c r="Y1007" i="16"/>
  <c r="X1008" i="16"/>
  <c r="Y1008" i="16"/>
  <c r="X1009" i="16"/>
  <c r="Y1009" i="16"/>
  <c r="X1010" i="16"/>
  <c r="Y1010" i="16"/>
  <c r="X1011" i="16"/>
  <c r="Y1011" i="16"/>
  <c r="X1012" i="16"/>
  <c r="Y1012" i="16"/>
  <c r="X1013" i="16"/>
  <c r="Y1013" i="16"/>
  <c r="X1014" i="16"/>
  <c r="X1015" i="16"/>
  <c r="Y1014" i="16"/>
  <c r="Y1015" i="16"/>
  <c r="X1016" i="16"/>
  <c r="X1017" i="16"/>
  <c r="Y1016" i="16"/>
  <c r="X1018" i="16"/>
  <c r="Y1017" i="16"/>
  <c r="X1019" i="16"/>
  <c r="Y1018" i="16"/>
  <c r="Y1019" i="16"/>
  <c r="X1020" i="16"/>
  <c r="Y1020" i="16"/>
  <c r="X1021" i="16"/>
  <c r="X1022" i="16"/>
  <c r="Y1021" i="16"/>
  <c r="Y1022" i="16"/>
  <c r="X1023" i="16"/>
  <c r="X1024" i="16"/>
  <c r="Y1023" i="16"/>
  <c r="Y1024" i="16"/>
  <c r="X1025" i="16"/>
  <c r="Y1025" i="16"/>
  <c r="X1026" i="16"/>
  <c r="X1027" i="16"/>
  <c r="Y1026" i="16"/>
  <c r="X1028" i="16"/>
  <c r="Y1027" i="16"/>
  <c r="Y1028" i="16"/>
  <c r="X1029" i="16"/>
  <c r="Y1029" i="16"/>
  <c r="X1030" i="16"/>
  <c r="X1031" i="16"/>
  <c r="Y1030" i="16"/>
  <c r="X1032" i="16"/>
  <c r="Y1031" i="16"/>
  <c r="X1033" i="16"/>
  <c r="Y1032" i="16"/>
  <c r="Y1033" i="16"/>
  <c r="X1034" i="16"/>
  <c r="Y1034" i="16"/>
  <c r="X1035" i="16"/>
  <c r="X1036" i="16"/>
  <c r="Y1035" i="16"/>
  <c r="Y1036" i="16"/>
  <c r="X1037" i="16"/>
  <c r="Y1037" i="16"/>
  <c r="X1038" i="16"/>
  <c r="X1039" i="16"/>
  <c r="Y1038" i="16"/>
  <c r="Y1039" i="16"/>
  <c r="X1040" i="16"/>
  <c r="X1041" i="16"/>
  <c r="Y1040" i="16"/>
  <c r="X1042" i="16"/>
  <c r="Y1041" i="16"/>
  <c r="Y1042" i="16"/>
  <c r="X1043" i="16"/>
  <c r="Y1043" i="16"/>
  <c r="X1044" i="16"/>
  <c r="X1045" i="16"/>
  <c r="Y1044" i="16"/>
  <c r="Y1045" i="16"/>
  <c r="X1046" i="16"/>
  <c r="X1047" i="16"/>
  <c r="Y1046" i="16"/>
  <c r="X1048" i="16"/>
  <c r="Y1047" i="16"/>
  <c r="Y1048" i="16"/>
  <c r="X1049" i="16"/>
  <c r="Y1049" i="16"/>
  <c r="X1050" i="16"/>
  <c r="X1051" i="16"/>
  <c r="Y1050" i="16"/>
  <c r="X1052" i="16"/>
  <c r="Y1051" i="16"/>
  <c r="X1053" i="16"/>
  <c r="Y1052" i="16"/>
  <c r="X1054" i="16"/>
  <c r="Y1053" i="16"/>
  <c r="Y1054" i="16"/>
  <c r="X1055" i="16"/>
  <c r="Y1055" i="16"/>
  <c r="X1056" i="16"/>
  <c r="Y1056" i="16"/>
  <c r="X1057" i="16"/>
  <c r="Y1057" i="16"/>
  <c r="X1058" i="16"/>
  <c r="Y1058" i="16"/>
  <c r="X1059" i="16"/>
  <c r="X1060" i="16"/>
  <c r="Y1059" i="16"/>
  <c r="Y1060" i="16"/>
  <c r="X1061" i="16"/>
  <c r="Y1061" i="16"/>
  <c r="X1062" i="16"/>
  <c r="Y1062" i="16"/>
  <c r="X1063" i="16"/>
  <c r="Y1063" i="16"/>
  <c r="X1064" i="16"/>
  <c r="Y1064" i="16"/>
  <c r="X1065" i="16"/>
  <c r="X1066" i="16"/>
  <c r="Y1065" i="16"/>
  <c r="Y1066" i="16"/>
  <c r="X1067" i="16"/>
  <c r="Y1067" i="16"/>
  <c r="X1068" i="16"/>
  <c r="Y1068" i="16"/>
  <c r="X1069" i="16"/>
  <c r="Y1069" i="16"/>
  <c r="X1070" i="16"/>
  <c r="Y1070" i="16"/>
  <c r="X1071" i="16"/>
  <c r="Y1071" i="16"/>
  <c r="X1072" i="16"/>
  <c r="Y1072" i="16"/>
  <c r="X1073" i="16"/>
  <c r="X1074" i="16"/>
  <c r="Y1073" i="16"/>
  <c r="X1075" i="16"/>
  <c r="Y1074" i="16"/>
  <c r="Y1075" i="16"/>
  <c r="X1076" i="16"/>
  <c r="X1077" i="16"/>
  <c r="Y1076" i="16"/>
  <c r="X1078" i="16"/>
  <c r="Y1077" i="16"/>
  <c r="Y1078" i="16"/>
  <c r="X1079" i="16"/>
  <c r="Y1079" i="16"/>
  <c r="X1080" i="16"/>
  <c r="X1081" i="16"/>
  <c r="Y1080" i="16"/>
  <c r="X1082" i="16"/>
  <c r="Y1081" i="16"/>
  <c r="X1083" i="16"/>
  <c r="Y1082" i="16"/>
  <c r="Y1083" i="16"/>
  <c r="X1084" i="16"/>
  <c r="Y1084" i="16"/>
  <c r="X1085" i="16"/>
  <c r="X1086" i="16"/>
  <c r="Y1085" i="16"/>
  <c r="Y1086" i="16"/>
  <c r="X1087" i="16"/>
  <c r="Y1087" i="16"/>
  <c r="X1088" i="16"/>
  <c r="X1089" i="16"/>
  <c r="Y1088" i="16"/>
  <c r="Y1089" i="16"/>
  <c r="X1090" i="16"/>
  <c r="Y1090" i="16"/>
  <c r="X1091" i="16"/>
  <c r="Y1091" i="16"/>
  <c r="X1092" i="16"/>
  <c r="X1093" i="16"/>
  <c r="Y1092" i="16"/>
  <c r="Y1093" i="16"/>
  <c r="X1094" i="16"/>
  <c r="Y1094" i="16"/>
  <c r="X1095" i="16"/>
  <c r="Y1095" i="16"/>
  <c r="X1096" i="16"/>
  <c r="Y1096" i="16"/>
  <c r="X1097" i="16"/>
  <c r="X1098" i="16"/>
  <c r="Y1097" i="16"/>
  <c r="X1099" i="16"/>
  <c r="Y1098" i="16"/>
  <c r="Y1099" i="16"/>
  <c r="X1100" i="16"/>
  <c r="Y1100" i="16"/>
  <c r="X1101" i="16"/>
  <c r="Y1101" i="16"/>
  <c r="X1102" i="16"/>
  <c r="X1103" i="16"/>
  <c r="Y1102" i="16"/>
  <c r="X1104" i="16"/>
  <c r="Y1103" i="16"/>
  <c r="Y1104" i="16"/>
  <c r="X1105" i="16"/>
  <c r="Y1105" i="16"/>
  <c r="X1106" i="16"/>
  <c r="X1107" i="16"/>
  <c r="Y1106" i="16"/>
  <c r="X1108" i="16"/>
  <c r="Y1107" i="16"/>
  <c r="X1109" i="16"/>
  <c r="Y1108" i="16"/>
  <c r="Y1109" i="16"/>
  <c r="X1110" i="16"/>
  <c r="Y1110" i="16"/>
  <c r="X1111" i="16"/>
  <c r="X1112" i="16"/>
  <c r="Y1111" i="16"/>
  <c r="X1113" i="16"/>
  <c r="Y1112" i="16"/>
  <c r="Y1113" i="16"/>
  <c r="X1114" i="16"/>
  <c r="Y1114" i="16"/>
  <c r="X1115" i="16"/>
  <c r="X1116" i="16"/>
  <c r="Y1115" i="16"/>
  <c r="Y1116" i="16"/>
  <c r="X1117" i="16"/>
  <c r="X1118" i="16"/>
  <c r="Y1117" i="16"/>
  <c r="Y1118" i="16"/>
  <c r="X1119" i="16"/>
  <c r="X1120" i="16"/>
  <c r="Y1119" i="16"/>
  <c r="Y1120" i="16"/>
  <c r="X1121" i="16"/>
  <c r="X1122" i="16"/>
  <c r="Y1121" i="16"/>
  <c r="Y1122" i="16"/>
  <c r="X1123" i="16"/>
  <c r="Y1123" i="16"/>
  <c r="X1124" i="16"/>
  <c r="Y1124" i="16"/>
  <c r="X1125" i="16"/>
  <c r="X1126" i="16"/>
  <c r="Y1125" i="16"/>
  <c r="X1127" i="16"/>
  <c r="Y1126" i="16"/>
  <c r="X1128" i="16"/>
  <c r="Y1127" i="16"/>
  <c r="Y1128" i="16"/>
  <c r="X1129" i="16"/>
  <c r="Y1129" i="16"/>
  <c r="X1130" i="16"/>
  <c r="Y1130" i="16"/>
  <c r="X1131" i="16"/>
  <c r="Y1131" i="16"/>
  <c r="X1132" i="16"/>
  <c r="Y1132" i="16"/>
  <c r="X1133" i="16"/>
  <c r="X1134" i="16"/>
  <c r="Y1133" i="16"/>
  <c r="Y1134" i="16"/>
  <c r="X1135" i="16"/>
  <c r="X1136" i="16"/>
  <c r="Y1135" i="16"/>
  <c r="Y1136" i="16"/>
  <c r="X1137" i="16"/>
  <c r="Y1137" i="16"/>
  <c r="X1138" i="16"/>
  <c r="X1139" i="16"/>
  <c r="Y1138" i="16"/>
  <c r="Y1139" i="16"/>
  <c r="X1140" i="16"/>
  <c r="X1141" i="16"/>
  <c r="Y1140" i="16"/>
  <c r="Y1141" i="16"/>
  <c r="X1142" i="16"/>
  <c r="Y1142" i="16"/>
  <c r="X1143" i="16"/>
  <c r="X1144" i="16"/>
  <c r="Y1143" i="16"/>
  <c r="Y1144" i="16"/>
  <c r="X1145" i="16"/>
  <c r="X1146" i="16"/>
  <c r="Y1145" i="16"/>
  <c r="Y1146" i="16"/>
  <c r="X1147" i="16"/>
  <c r="X1148" i="16"/>
  <c r="Y1147" i="16"/>
  <c r="Y1148" i="16"/>
  <c r="X1149" i="16"/>
  <c r="Y1149" i="16"/>
  <c r="X1150" i="16"/>
  <c r="Y1150" i="16"/>
  <c r="X1151" i="16"/>
  <c r="Y1151" i="16"/>
  <c r="X1152" i="16"/>
  <c r="X1153" i="16"/>
  <c r="Y1152" i="16"/>
  <c r="X1154" i="16"/>
  <c r="Y1153" i="16"/>
  <c r="Y1154" i="16"/>
  <c r="X1155" i="16"/>
  <c r="X1156" i="16"/>
  <c r="Y1155" i="16"/>
  <c r="Y1156" i="16"/>
  <c r="X1157" i="16"/>
  <c r="X1158" i="16"/>
  <c r="Y1157" i="16"/>
  <c r="Y1158" i="16"/>
  <c r="X1159" i="16"/>
  <c r="Y1159" i="16"/>
  <c r="X1160" i="16"/>
  <c r="Y1160" i="16"/>
  <c r="X1161" i="16"/>
  <c r="Y1161" i="16"/>
  <c r="X1162" i="16"/>
  <c r="Y1162" i="16"/>
  <c r="X1163" i="16"/>
  <c r="Y1163" i="16"/>
  <c r="X1164" i="16"/>
  <c r="X1165" i="16"/>
  <c r="Y1164" i="16"/>
  <c r="Y1165" i="16"/>
  <c r="X1166" i="16"/>
  <c r="Y1166" i="16"/>
  <c r="X1167" i="16"/>
  <c r="Y1167" i="16"/>
  <c r="X1168" i="16"/>
  <c r="X1169" i="16"/>
  <c r="Y1168" i="16"/>
  <c r="X1170" i="16"/>
  <c r="Y1169" i="16"/>
  <c r="Y1170" i="16"/>
  <c r="X1171" i="16"/>
  <c r="Y1171" i="16"/>
  <c r="X1172" i="16"/>
  <c r="X1173" i="16"/>
  <c r="Y1172" i="16"/>
  <c r="Y1173" i="16"/>
  <c r="X1174" i="16"/>
  <c r="Y1174" i="16"/>
  <c r="X1175" i="16"/>
  <c r="Y1175" i="16"/>
  <c r="X1176" i="16"/>
  <c r="X1177" i="16"/>
  <c r="Y1176" i="16"/>
  <c r="X1178" i="16"/>
  <c r="Y1177" i="16"/>
  <c r="Y1178" i="16"/>
  <c r="X1179" i="16"/>
  <c r="X1180" i="16"/>
  <c r="Y1179" i="16"/>
  <c r="X1181" i="16"/>
  <c r="Y1180" i="16"/>
  <c r="X1182" i="16"/>
  <c r="Y1181" i="16"/>
  <c r="X1183" i="16"/>
  <c r="Y1182" i="16"/>
  <c r="Y1183" i="16"/>
  <c r="X1184" i="16"/>
  <c r="Y1184" i="16"/>
  <c r="X1185" i="16"/>
  <c r="X1186" i="16"/>
  <c r="Y1185" i="16"/>
  <c r="X1187" i="16"/>
  <c r="Y1186" i="16"/>
  <c r="Y1187" i="16"/>
  <c r="X1188" i="16"/>
  <c r="X1189" i="16"/>
  <c r="Y1188" i="16"/>
  <c r="X1190" i="16"/>
  <c r="Y1189" i="16"/>
  <c r="X1191" i="16"/>
  <c r="Y1190" i="16"/>
  <c r="Y1191" i="16"/>
  <c r="X1192" i="16"/>
  <c r="Y1192" i="16"/>
  <c r="X1193" i="16"/>
  <c r="X1194" i="16"/>
  <c r="Y1193" i="16"/>
  <c r="Y1194" i="16"/>
  <c r="X1195" i="16"/>
  <c r="Y1195" i="16"/>
  <c r="X1196" i="16"/>
  <c r="X1197" i="16"/>
  <c r="Y1196" i="16"/>
  <c r="Y1197" i="16"/>
  <c r="X1198" i="16"/>
  <c r="Y1198" i="16"/>
  <c r="X1199" i="16"/>
  <c r="Y1199" i="16"/>
  <c r="X1200" i="16"/>
  <c r="Y1200" i="16"/>
  <c r="X1201" i="16"/>
  <c r="Y1201" i="16"/>
  <c r="X1202" i="16"/>
  <c r="Y1202" i="16"/>
  <c r="X1203" i="16"/>
  <c r="X1204" i="16"/>
  <c r="Y1203" i="16"/>
  <c r="Y1204" i="16"/>
  <c r="X1205" i="16"/>
  <c r="X1206" i="16"/>
  <c r="Y1205" i="16"/>
  <c r="Y1206" i="16"/>
  <c r="X1207" i="16"/>
  <c r="X1208" i="16"/>
  <c r="Y1207" i="16"/>
  <c r="Y1208" i="16"/>
  <c r="X1209" i="16"/>
  <c r="Y1209" i="16"/>
  <c r="X1210" i="16"/>
  <c r="Y1210" i="16"/>
  <c r="X1211" i="16"/>
  <c r="X1212" i="16"/>
  <c r="Y1211" i="16"/>
  <c r="Y1212" i="16"/>
  <c r="X1213" i="16"/>
  <c r="X1214" i="16"/>
  <c r="Y1213" i="16"/>
  <c r="Y1214" i="16"/>
  <c r="X1215" i="16"/>
  <c r="Y1215" i="16"/>
  <c r="X1216" i="16"/>
  <c r="X1217" i="16"/>
  <c r="Y1216" i="16"/>
  <c r="X1218" i="16"/>
  <c r="Y1217" i="16"/>
  <c r="X1219" i="16"/>
  <c r="Y1218" i="16"/>
  <c r="X1220" i="16"/>
  <c r="Y1219" i="16"/>
  <c r="Y1220" i="16"/>
  <c r="X1221" i="16"/>
  <c r="X1222" i="16"/>
  <c r="Y1221" i="16"/>
  <c r="Y1222" i="16"/>
  <c r="X1223" i="16"/>
  <c r="Y1223" i="16"/>
  <c r="X1224" i="16"/>
  <c r="X1225" i="16"/>
  <c r="Y1224" i="16"/>
  <c r="X1226" i="16"/>
  <c r="Y1225" i="16"/>
  <c r="Y1226" i="16"/>
  <c r="X1227" i="16"/>
  <c r="Y1227" i="16"/>
  <c r="X1228" i="16"/>
  <c r="X1229" i="16"/>
  <c r="Y1228" i="16"/>
  <c r="X1230" i="16"/>
  <c r="Y1229" i="16"/>
  <c r="X1231" i="16"/>
  <c r="Y1230" i="16"/>
  <c r="Y1231" i="16"/>
  <c r="X1232" i="16"/>
  <c r="Y1232" i="16"/>
  <c r="X1233" i="16"/>
  <c r="Y1233" i="16"/>
  <c r="X1234" i="16"/>
  <c r="X1235" i="16"/>
  <c r="Y1234" i="16"/>
  <c r="X1236" i="16"/>
  <c r="Y1235" i="16"/>
  <c r="X1237" i="16"/>
  <c r="Y1236" i="16"/>
  <c r="Y1237" i="16"/>
  <c r="X1238" i="16"/>
  <c r="X1239" i="16"/>
  <c r="Y1238" i="16"/>
  <c r="Y1239" i="16"/>
  <c r="X1240" i="16"/>
  <c r="X1241" i="16"/>
  <c r="Y1240" i="16"/>
  <c r="Y1241" i="16"/>
  <c r="X1242" i="16"/>
  <c r="Y1242" i="16"/>
  <c r="X1243" i="16"/>
  <c r="X1244" i="16"/>
  <c r="Y1243" i="16"/>
  <c r="Y1244" i="16"/>
  <c r="X1245" i="16"/>
  <c r="Y1245" i="16"/>
  <c r="X1246" i="16"/>
  <c r="Y1246" i="16"/>
  <c r="X1247" i="16"/>
  <c r="X1248" i="16"/>
  <c r="Y1247" i="16"/>
  <c r="X1249" i="16"/>
  <c r="Y1248" i="16"/>
  <c r="X1250" i="16"/>
  <c r="Y1249" i="16"/>
  <c r="X1251" i="16"/>
  <c r="Y1250" i="16"/>
  <c r="X1252" i="16"/>
  <c r="Y1251" i="16"/>
  <c r="X1253" i="16"/>
  <c r="Y1252" i="16"/>
  <c r="Y1253" i="16"/>
  <c r="X1254" i="16"/>
  <c r="Y1254" i="16"/>
  <c r="X1255" i="16"/>
  <c r="Y1255" i="16"/>
  <c r="X1256" i="16"/>
  <c r="X1257" i="16"/>
  <c r="Y1256" i="16"/>
  <c r="X1258" i="16"/>
  <c r="Y1257" i="16"/>
  <c r="X1259" i="16"/>
  <c r="Y1258" i="16"/>
  <c r="X1260" i="16"/>
  <c r="Y1259" i="16"/>
  <c r="Y1260" i="16"/>
  <c r="X1261" i="16"/>
  <c r="X1262" i="16"/>
  <c r="Y1261" i="16"/>
  <c r="X1263" i="16"/>
  <c r="Y1262" i="16"/>
  <c r="Y1263" i="16"/>
  <c r="X1264" i="16"/>
  <c r="X1265" i="16"/>
  <c r="Y1264" i="16"/>
  <c r="X1266" i="16"/>
  <c r="Y1265" i="16"/>
  <c r="Y1266" i="16"/>
  <c r="X1267" i="16"/>
  <c r="X1268" i="16"/>
  <c r="Y1267" i="16"/>
  <c r="Y1268" i="16"/>
  <c r="X1269" i="16"/>
  <c r="Y1269" i="16"/>
  <c r="X1270" i="16"/>
  <c r="X1271" i="16"/>
  <c r="Y1270" i="16"/>
  <c r="X1272" i="16"/>
  <c r="Y1271" i="16"/>
  <c r="X1273" i="16"/>
  <c r="Y1272" i="16"/>
  <c r="Y1273" i="16"/>
  <c r="X1274" i="16"/>
  <c r="X1275" i="16"/>
  <c r="Y1274" i="16"/>
  <c r="Y1275" i="16"/>
  <c r="X1276" i="16"/>
  <c r="X1277" i="16"/>
  <c r="Y1276" i="16"/>
  <c r="Y1277" i="16"/>
  <c r="X1278" i="16"/>
  <c r="Y1278" i="16"/>
  <c r="X1279" i="16"/>
  <c r="Y1279" i="16"/>
  <c r="X1280" i="16"/>
  <c r="Y1280" i="16"/>
  <c r="X1281" i="16"/>
  <c r="Y1281" i="16"/>
  <c r="X1282" i="16"/>
  <c r="X1283" i="16"/>
  <c r="Y1282" i="16"/>
  <c r="X1284" i="16"/>
  <c r="Y1283" i="16"/>
  <c r="X1285" i="16"/>
  <c r="Y1284" i="16"/>
  <c r="Y1285" i="16"/>
  <c r="X1286" i="16"/>
  <c r="Y1286" i="16"/>
  <c r="X1287" i="16"/>
  <c r="X1288" i="16"/>
  <c r="Y1287" i="16"/>
  <c r="X1289" i="16"/>
  <c r="Y1288" i="16"/>
  <c r="X1290" i="16"/>
  <c r="Y1289" i="16"/>
  <c r="X1291" i="16"/>
  <c r="Y1290" i="16"/>
  <c r="X1292" i="16"/>
  <c r="Y1291" i="16"/>
  <c r="X1293" i="16"/>
  <c r="Y1292" i="16"/>
  <c r="Y1293" i="16"/>
  <c r="X1294" i="16"/>
  <c r="Y1294" i="16"/>
  <c r="X1295" i="16"/>
  <c r="X1296" i="16"/>
  <c r="Y1295" i="16"/>
  <c r="X1297" i="16"/>
  <c r="Y1296" i="16"/>
  <c r="X1298" i="16"/>
  <c r="Y1297" i="16"/>
  <c r="Y1298" i="16"/>
  <c r="X1299" i="16"/>
  <c r="Y1299" i="16"/>
  <c r="X1300" i="16"/>
  <c r="Y1300" i="16"/>
  <c r="X1301" i="16"/>
  <c r="X1302" i="16"/>
  <c r="Y1301" i="16"/>
  <c r="X1303" i="16"/>
  <c r="Y1302" i="16"/>
  <c r="Y1303" i="16"/>
  <c r="X1304" i="16"/>
  <c r="X1305" i="16"/>
  <c r="Y1304" i="16"/>
  <c r="X1306" i="16"/>
  <c r="Y1305" i="16"/>
  <c r="X1307" i="16"/>
  <c r="Y1306" i="16"/>
  <c r="X1308" i="16"/>
  <c r="Y1307" i="16"/>
  <c r="Y1308" i="16"/>
  <c r="X1309" i="16"/>
  <c r="Y1309" i="16"/>
  <c r="X1310" i="16"/>
  <c r="X1311" i="16"/>
  <c r="Y1310" i="16"/>
  <c r="Y1311" i="16"/>
  <c r="X1312" i="16"/>
  <c r="Y1312" i="16"/>
  <c r="X1313" i="16"/>
  <c r="X1314" i="16"/>
  <c r="Y1313" i="16"/>
  <c r="X1315" i="16"/>
  <c r="Y1314" i="16"/>
  <c r="X1316" i="16"/>
  <c r="Y1315" i="16"/>
  <c r="X1317" i="16"/>
  <c r="Y1316" i="16"/>
  <c r="Y1317" i="16"/>
  <c r="X1318" i="16"/>
  <c r="X1319" i="16"/>
  <c r="Y1318" i="16"/>
  <c r="X1320" i="16"/>
  <c r="Y1319" i="16"/>
  <c r="X1321" i="16"/>
  <c r="Y1320" i="16"/>
  <c r="X1322" i="16"/>
  <c r="Y1321" i="16"/>
  <c r="Y1322" i="16"/>
  <c r="X1323" i="16"/>
  <c r="Y1323" i="16"/>
  <c r="X1324" i="16"/>
  <c r="X1325" i="16"/>
  <c r="Y1324" i="16"/>
  <c r="X1326" i="16"/>
  <c r="Y1325" i="16"/>
  <c r="Y1326" i="16"/>
  <c r="X1327" i="16"/>
  <c r="X1328" i="16"/>
  <c r="Y1327" i="16"/>
  <c r="X1329" i="16"/>
  <c r="Y1328" i="16"/>
  <c r="Y1329" i="16"/>
  <c r="X1330" i="16"/>
  <c r="X1331" i="16"/>
  <c r="Y1330" i="16"/>
  <c r="Y1331" i="16"/>
  <c r="X1332" i="16"/>
  <c r="X1333" i="16"/>
  <c r="Y1332" i="16"/>
  <c r="Y1333" i="16"/>
  <c r="X1334" i="16"/>
  <c r="X1335" i="16"/>
  <c r="Y1334" i="16"/>
  <c r="Y1335" i="16"/>
  <c r="X1336" i="16"/>
  <c r="Y1336" i="16"/>
  <c r="X1337" i="16"/>
  <c r="Y1337" i="16"/>
  <c r="X1338" i="16"/>
  <c r="X1339" i="16"/>
  <c r="Y1338" i="16"/>
  <c r="X1340" i="16"/>
  <c r="Y1339" i="16"/>
  <c r="X1341" i="16"/>
  <c r="Y1340" i="16"/>
  <c r="Y1341" i="16"/>
  <c r="X1342" i="16"/>
  <c r="X1343" i="16"/>
  <c r="Y1342" i="16"/>
  <c r="X1344" i="16"/>
  <c r="Y1343" i="16"/>
  <c r="Y1344" i="16"/>
  <c r="X1345" i="16"/>
  <c r="Y1345" i="16"/>
  <c r="X1346" i="16"/>
  <c r="X1347" i="16"/>
  <c r="Y1346" i="16"/>
  <c r="X1348" i="16"/>
  <c r="Y1347" i="16"/>
  <c r="X1349" i="16"/>
  <c r="Y1348" i="16"/>
  <c r="X1350" i="16"/>
  <c r="Y1349" i="16"/>
  <c r="Y1350" i="16"/>
  <c r="X1351" i="16"/>
  <c r="X1352" i="16"/>
  <c r="Y1351" i="16"/>
  <c r="X1353" i="16"/>
  <c r="Y1352" i="16"/>
  <c r="Y1353" i="16"/>
  <c r="X1354" i="16"/>
  <c r="X1355" i="16"/>
  <c r="Y1354" i="16"/>
  <c r="Y1355" i="16"/>
  <c r="X1356" i="16"/>
  <c r="Y1356" i="16"/>
  <c r="X1357" i="16"/>
  <c r="X1358" i="16"/>
  <c r="Y1357" i="16"/>
  <c r="Y1358" i="16"/>
  <c r="X1359" i="16"/>
  <c r="X1360" i="16"/>
  <c r="Y1359" i="16"/>
  <c r="Y1360" i="16"/>
  <c r="X1361" i="16"/>
  <c r="Y1361" i="16"/>
  <c r="X1362" i="16"/>
  <c r="Y1362" i="16"/>
  <c r="X1363" i="16"/>
  <c r="X1364" i="16"/>
  <c r="Y1363" i="16"/>
  <c r="Y1364" i="16"/>
  <c r="X1365" i="16"/>
  <c r="X1366" i="16"/>
  <c r="Y1365" i="16"/>
  <c r="X1367" i="16"/>
  <c r="Y1366" i="16"/>
  <c r="Y1367" i="16"/>
  <c r="X1368" i="16"/>
  <c r="Y1368" i="16"/>
  <c r="X1369" i="16"/>
  <c r="X1370" i="16"/>
  <c r="Y1369" i="16"/>
  <c r="X1371" i="16"/>
  <c r="Y1370" i="16"/>
  <c r="Y1371" i="16"/>
  <c r="X1372" i="16"/>
  <c r="Y1372" i="16"/>
  <c r="X1373" i="16"/>
  <c r="X1374" i="16"/>
  <c r="Y1373" i="16"/>
  <c r="Y1374" i="16"/>
  <c r="X1375" i="16"/>
  <c r="X1376" i="16"/>
  <c r="Y1375" i="16"/>
  <c r="Y1376" i="16"/>
  <c r="X1377" i="16"/>
  <c r="X1378" i="16"/>
  <c r="Y1377" i="16"/>
  <c r="X1379" i="16"/>
  <c r="Y1378" i="16"/>
  <c r="X1380" i="16"/>
  <c r="Y1379" i="16"/>
  <c r="Y1380" i="16"/>
  <c r="X1381" i="16"/>
  <c r="X1382" i="16"/>
  <c r="Y1381" i="16"/>
  <c r="Y1382" i="16"/>
  <c r="X1383" i="16"/>
  <c r="Y1383" i="16"/>
  <c r="X1384" i="16"/>
  <c r="Y1384" i="16"/>
  <c r="X1385" i="16"/>
  <c r="Y1385" i="16"/>
  <c r="X1386" i="16"/>
  <c r="Y1386" i="16"/>
  <c r="X1387" i="16"/>
  <c r="Y1387" i="16"/>
  <c r="X1388" i="16"/>
  <c r="X1389" i="16"/>
  <c r="Y1388" i="16"/>
  <c r="Y1389" i="16"/>
  <c r="X1390" i="16"/>
  <c r="X1391" i="16"/>
  <c r="Y1390" i="16"/>
  <c r="Y1391" i="16"/>
  <c r="X1392" i="16"/>
  <c r="X1393" i="16"/>
  <c r="Y1392" i="16"/>
  <c r="X1394" i="16"/>
  <c r="Y1393" i="16"/>
  <c r="X1395" i="16"/>
  <c r="Y1394" i="16"/>
  <c r="X1396" i="16"/>
  <c r="Y1395" i="16"/>
  <c r="Y1396" i="16"/>
  <c r="X1397" i="16"/>
  <c r="X1398" i="16"/>
  <c r="Y1397" i="16"/>
  <c r="X1399" i="16"/>
  <c r="Y1398" i="16"/>
  <c r="X1400" i="16"/>
  <c r="Y1399" i="16"/>
  <c r="Y1400" i="16"/>
  <c r="X1401" i="16"/>
  <c r="Y1401" i="16"/>
  <c r="X1402" i="16"/>
  <c r="X1403" i="16"/>
  <c r="Y1402" i="16"/>
  <c r="X1404" i="16"/>
  <c r="Y1403" i="16"/>
  <c r="X1405" i="16"/>
  <c r="Y1404" i="16"/>
  <c r="Y1405" i="16"/>
  <c r="X1406" i="16"/>
  <c r="Y1406" i="16"/>
  <c r="X1407" i="16"/>
  <c r="Y1407" i="16"/>
  <c r="X1408" i="16"/>
  <c r="Y1408" i="16"/>
  <c r="X1409" i="16"/>
  <c r="Y1409" i="16"/>
  <c r="X1410" i="16"/>
  <c r="X1411" i="16"/>
  <c r="Y1410" i="16"/>
  <c r="Y1411" i="16"/>
  <c r="X1412" i="16"/>
  <c r="X1413" i="16"/>
  <c r="Y1412" i="16"/>
  <c r="X1414" i="16"/>
  <c r="Y1413" i="16"/>
  <c r="Y1414" i="16"/>
  <c r="X1415" i="16"/>
  <c r="X1416" i="16"/>
  <c r="Y1415" i="16"/>
  <c r="X1417" i="16"/>
  <c r="Y1416" i="16"/>
  <c r="X1418" i="16"/>
  <c r="Y1417" i="16"/>
  <c r="X1419" i="16"/>
  <c r="Y1418" i="16"/>
  <c r="Y1419" i="16"/>
  <c r="X1420" i="16"/>
  <c r="Y1420" i="16"/>
  <c r="X1421" i="16"/>
  <c r="X1422" i="16"/>
  <c r="Y1421" i="16"/>
  <c r="Y1422" i="16"/>
  <c r="X1423" i="16"/>
  <c r="X1424" i="16"/>
  <c r="Y1423" i="16"/>
  <c r="X1425" i="16"/>
  <c r="Y1424" i="16"/>
  <c r="Y1425" i="16"/>
  <c r="X1426" i="16"/>
  <c r="X1427" i="16"/>
  <c r="Y1426" i="16"/>
  <c r="X1428" i="16"/>
  <c r="Y1427" i="16"/>
  <c r="X1429" i="16"/>
  <c r="Y1428" i="16"/>
  <c r="Y1429" i="16"/>
  <c r="X1430" i="16"/>
  <c r="X1431" i="16"/>
  <c r="Y1430" i="16"/>
  <c r="Y1431" i="16"/>
  <c r="X1432" i="16"/>
  <c r="Y1432" i="16"/>
  <c r="X1433" i="16"/>
  <c r="X1434" i="16"/>
  <c r="Y1433" i="16"/>
  <c r="X1435" i="16"/>
  <c r="Y1434" i="16"/>
  <c r="X1436" i="16"/>
  <c r="Y1435" i="16"/>
  <c r="Y1436" i="16"/>
  <c r="X1437" i="16"/>
  <c r="X1438" i="16"/>
  <c r="Y1437" i="16"/>
  <c r="Y1438" i="16"/>
  <c r="X1439" i="16"/>
  <c r="X1440" i="16"/>
  <c r="Y1439" i="16"/>
  <c r="Y1440" i="16"/>
  <c r="X1441" i="16"/>
  <c r="X1442" i="16"/>
  <c r="Y1441" i="16"/>
  <c r="X1443" i="16"/>
  <c r="Y1442" i="16"/>
  <c r="X1444" i="16"/>
  <c r="Y1443" i="16"/>
  <c r="X1445" i="16"/>
  <c r="Y1444" i="16"/>
  <c r="X1446" i="16"/>
  <c r="Y1445" i="16"/>
  <c r="Y1446" i="16"/>
  <c r="X1447" i="16"/>
  <c r="Y1447" i="16"/>
  <c r="X1448" i="16"/>
  <c r="Y1448" i="16"/>
  <c r="X1449" i="16"/>
  <c r="X1450" i="16"/>
  <c r="Y1449" i="16"/>
  <c r="X1451" i="16"/>
  <c r="Y1450" i="16"/>
  <c r="X1452" i="16"/>
  <c r="Y1451" i="16"/>
  <c r="X1453" i="16"/>
  <c r="Y1452" i="16"/>
  <c r="X1454" i="16"/>
  <c r="Y1453" i="16"/>
  <c r="X1455" i="16"/>
  <c r="Y1454" i="16"/>
  <c r="X1456" i="16"/>
  <c r="Y1455" i="16"/>
  <c r="X1457" i="16"/>
  <c r="Y1456" i="16"/>
  <c r="Y1457" i="16"/>
  <c r="X1458" i="16"/>
  <c r="Y1458" i="16"/>
  <c r="X1459" i="16"/>
  <c r="Y1459" i="16"/>
  <c r="X1460" i="16"/>
  <c r="Y1460" i="16"/>
  <c r="X1461" i="16"/>
  <c r="X1462" i="16"/>
  <c r="Y1461" i="16"/>
  <c r="Y1462" i="16"/>
  <c r="X1463" i="16"/>
  <c r="X1464" i="16"/>
  <c r="Y1463" i="16"/>
  <c r="Y1464" i="16"/>
  <c r="X1465" i="16"/>
  <c r="Y1465" i="16"/>
  <c r="X1466" i="16"/>
  <c r="X1467" i="16"/>
  <c r="Y1466" i="16"/>
  <c r="Y1467" i="16"/>
  <c r="X1468" i="16"/>
  <c r="Y1468" i="16"/>
  <c r="X1469" i="16"/>
  <c r="X1470" i="16"/>
  <c r="Y1469" i="16"/>
  <c r="X1471" i="16"/>
  <c r="Y1470" i="16"/>
  <c r="Y1471" i="16"/>
  <c r="X1472" i="16"/>
  <c r="Y1472" i="16"/>
  <c r="X1473" i="16"/>
  <c r="X1474" i="16"/>
  <c r="Y1473" i="16"/>
  <c r="X1475" i="16"/>
  <c r="Y1474" i="16"/>
  <c r="X1476" i="16"/>
  <c r="Y1475" i="16"/>
  <c r="X1477" i="16"/>
  <c r="Y1476" i="16"/>
  <c r="X1478" i="16"/>
  <c r="Y1477" i="16"/>
  <c r="X1479" i="16"/>
  <c r="Y1478" i="16"/>
  <c r="X1480" i="16"/>
  <c r="Y1479" i="16"/>
  <c r="Y1480" i="16"/>
  <c r="X1481" i="16"/>
  <c r="X1482" i="16"/>
  <c r="Y1481" i="16"/>
  <c r="X1483" i="16"/>
  <c r="Y1482" i="16"/>
  <c r="X1484" i="16"/>
  <c r="Y1483" i="16"/>
  <c r="X1485" i="16"/>
  <c r="Y1484" i="16"/>
  <c r="X1486" i="16"/>
  <c r="Y1485" i="16"/>
  <c r="X1487" i="16"/>
  <c r="Y1486" i="16"/>
  <c r="Y1487" i="16"/>
  <c r="X1488" i="16"/>
  <c r="Y1488" i="16"/>
  <c r="X1489" i="16"/>
  <c r="X1490" i="16"/>
  <c r="Y1489" i="16"/>
  <c r="X1491" i="16"/>
  <c r="Y1490" i="16"/>
  <c r="X1492" i="16"/>
  <c r="Y1491" i="16"/>
  <c r="Y1492" i="16"/>
  <c r="X1493" i="16"/>
  <c r="Y1493" i="16"/>
  <c r="X1494" i="16"/>
  <c r="Y1494" i="16"/>
  <c r="X1495" i="16"/>
  <c r="Y1495" i="16"/>
  <c r="X1496" i="16"/>
  <c r="Y1496" i="16"/>
  <c r="X1497" i="16"/>
  <c r="X1498" i="16"/>
  <c r="Y1497" i="16"/>
  <c r="Y1498" i="16"/>
  <c r="X1499" i="16"/>
  <c r="Y1499" i="16"/>
  <c r="X1500" i="16"/>
  <c r="X1501" i="16"/>
  <c r="Y1500" i="16"/>
  <c r="X1502" i="16"/>
  <c r="Y1501" i="16"/>
  <c r="Y1502" i="16"/>
  <c r="X1503" i="16"/>
  <c r="Y1503" i="16"/>
  <c r="X1504" i="16"/>
  <c r="Y1504" i="16"/>
  <c r="X1505" i="16"/>
  <c r="Y1505" i="16"/>
  <c r="X1506" i="16"/>
  <c r="X1507" i="16"/>
  <c r="Y1506" i="16"/>
  <c r="Y1507" i="16"/>
  <c r="X1508" i="16"/>
  <c r="Y1508" i="16"/>
  <c r="X1509" i="16"/>
  <c r="Y1509" i="16"/>
  <c r="X1510" i="16"/>
  <c r="X1511" i="16"/>
  <c r="Y1510" i="16"/>
  <c r="X1512" i="16"/>
  <c r="Y1511" i="16"/>
  <c r="Y1512" i="16"/>
  <c r="X1513" i="16"/>
  <c r="Y1513" i="16"/>
  <c r="X1514" i="16"/>
  <c r="X1515" i="16"/>
  <c r="Y1514" i="16"/>
  <c r="Y1515" i="16"/>
  <c r="X1516" i="16"/>
  <c r="Y1516" i="16"/>
  <c r="X1517" i="16"/>
  <c r="Y1517" i="16"/>
  <c r="X1518" i="16"/>
  <c r="Y1518" i="16"/>
  <c r="X1519" i="16"/>
  <c r="Y1519" i="16"/>
  <c r="X1520" i="16"/>
  <c r="Y1520" i="16"/>
  <c r="X1521" i="16"/>
  <c r="X1522" i="16"/>
  <c r="Y1521" i="16"/>
  <c r="Y1522" i="16"/>
  <c r="X1523" i="16"/>
  <c r="X1524" i="16"/>
  <c r="Y1523" i="16"/>
  <c r="Y1524" i="16"/>
  <c r="X1525" i="16"/>
  <c r="Y1525" i="16"/>
  <c r="X1526" i="16"/>
  <c r="X1527" i="16"/>
  <c r="Y1526" i="16"/>
  <c r="Y1527" i="16"/>
  <c r="X1528" i="16"/>
  <c r="Y1528" i="16"/>
  <c r="X1529" i="16"/>
  <c r="Y1529" i="16"/>
  <c r="X1530" i="16"/>
  <c r="X1531" i="16"/>
  <c r="Y1530" i="16"/>
  <c r="X1532" i="16"/>
  <c r="Y1531" i="16"/>
  <c r="Y1532" i="16"/>
  <c r="X1533" i="16"/>
  <c r="X1534" i="16"/>
  <c r="Y1533" i="16"/>
  <c r="Y1534" i="16"/>
  <c r="X1535" i="16"/>
  <c r="Y1535" i="16"/>
  <c r="X1536" i="16"/>
  <c r="Y1536" i="16"/>
  <c r="X1537" i="16"/>
  <c r="X1538" i="16"/>
  <c r="Y1537" i="16"/>
  <c r="X1539" i="16"/>
  <c r="Y1538" i="16"/>
  <c r="Y1539" i="16"/>
  <c r="X1540" i="16"/>
  <c r="X1541" i="16"/>
  <c r="Y1540" i="16"/>
  <c r="Y1541" i="16"/>
  <c r="X1542" i="16"/>
  <c r="X1543" i="16"/>
  <c r="Y1542" i="16"/>
  <c r="Y1543" i="16"/>
  <c r="X1544" i="16"/>
  <c r="Y1544" i="16"/>
  <c r="X1545" i="16"/>
  <c r="Y1545" i="16"/>
  <c r="X1546" i="16"/>
  <c r="Y1546" i="16"/>
  <c r="X1547" i="16"/>
  <c r="Y1547" i="16"/>
  <c r="X1548" i="16"/>
  <c r="X1549" i="16"/>
  <c r="Y1548" i="16"/>
  <c r="Y1549" i="16"/>
  <c r="X1550" i="16"/>
  <c r="Y1550" i="16"/>
  <c r="X1551" i="16"/>
  <c r="Y1551" i="16"/>
  <c r="X1552" i="16"/>
  <c r="X1553" i="16"/>
  <c r="Y1552" i="16"/>
  <c r="Y1553" i="16"/>
  <c r="X1554" i="16"/>
  <c r="Y1554" i="16"/>
  <c r="X1555" i="16"/>
  <c r="Y1555" i="16"/>
  <c r="X1556" i="16"/>
  <c r="X1557" i="16"/>
  <c r="Y1556" i="16"/>
  <c r="X1558" i="16"/>
  <c r="Y1557" i="16"/>
  <c r="X1559" i="16"/>
  <c r="Y1558" i="16"/>
  <c r="Y1559" i="16"/>
  <c r="X1560" i="16"/>
  <c r="Y1560" i="16"/>
  <c r="X1561" i="16"/>
  <c r="Y1561" i="16"/>
  <c r="X1562" i="16"/>
  <c r="X1563" i="16"/>
  <c r="Y1562" i="16"/>
  <c r="Y1563" i="16"/>
  <c r="X1564" i="16"/>
  <c r="Y1564" i="16"/>
  <c r="X1565" i="16"/>
  <c r="Y1565" i="16"/>
  <c r="X1566" i="16"/>
  <c r="X1567" i="16"/>
  <c r="Y1566" i="16"/>
  <c r="Y1567" i="16"/>
  <c r="X1568" i="16"/>
  <c r="Y1568" i="16"/>
  <c r="X1569" i="16"/>
  <c r="Y1569" i="16"/>
  <c r="X1570" i="16"/>
  <c r="Y1570" i="16"/>
  <c r="X1571" i="16"/>
  <c r="Y1571" i="16"/>
  <c r="X1572" i="16"/>
  <c r="Y1572" i="16"/>
  <c r="X1573" i="16"/>
  <c r="Y1573" i="16"/>
  <c r="X1574" i="16"/>
  <c r="X1575" i="16"/>
  <c r="Y1574" i="16"/>
  <c r="X1576" i="16"/>
  <c r="Y1575" i="16"/>
  <c r="X1577" i="16"/>
  <c r="Y1576" i="16"/>
  <c r="X1578" i="16"/>
  <c r="Y1577" i="16"/>
  <c r="Y1578" i="16"/>
  <c r="X1579" i="16"/>
  <c r="Y1579" i="16"/>
  <c r="X1580" i="16"/>
  <c r="Y1580" i="16"/>
  <c r="X1581" i="16"/>
  <c r="Y1581" i="16"/>
  <c r="X1582" i="16"/>
  <c r="X1583" i="16"/>
  <c r="Y1582" i="16"/>
  <c r="X1584" i="16"/>
  <c r="Y1583" i="16"/>
  <c r="Y1584" i="16"/>
  <c r="X1585" i="16"/>
  <c r="Y1585" i="16"/>
  <c r="X1586" i="16"/>
  <c r="Y1586" i="16"/>
  <c r="X1587" i="16"/>
  <c r="X1588" i="16"/>
  <c r="Y1587" i="16"/>
  <c r="X1589" i="16"/>
  <c r="Y1588" i="16"/>
  <c r="Y1589" i="16"/>
  <c r="X1590" i="16"/>
  <c r="X1591" i="16"/>
  <c r="Y1590" i="16"/>
  <c r="X1592" i="16"/>
  <c r="Y1591" i="16"/>
  <c r="Y1592" i="16"/>
  <c r="X1593" i="16"/>
  <c r="Y1593" i="16"/>
  <c r="X1594" i="16"/>
  <c r="Y1594" i="16"/>
  <c r="X1595" i="16"/>
  <c r="X1596" i="16"/>
  <c r="Y1595" i="16"/>
  <c r="X1597" i="16"/>
  <c r="Y1596" i="16"/>
  <c r="X1598" i="16"/>
  <c r="Y1597" i="16"/>
  <c r="X1599" i="16"/>
  <c r="Y1598" i="16"/>
  <c r="Y1599" i="16"/>
  <c r="X1600" i="16"/>
  <c r="Y1600" i="16"/>
  <c r="X1601" i="16"/>
  <c r="Y1601" i="16"/>
  <c r="X1602" i="16"/>
  <c r="Y1602" i="16"/>
  <c r="X1603" i="16"/>
  <c r="Y1603" i="16"/>
  <c r="X1604" i="16"/>
  <c r="Y1604" i="16"/>
  <c r="X1605" i="16"/>
  <c r="Y1605" i="16"/>
  <c r="X1606" i="16"/>
  <c r="X1607" i="16"/>
  <c r="Y1606" i="16"/>
  <c r="X1608" i="16"/>
  <c r="Y1607" i="16"/>
  <c r="Y1608" i="16"/>
  <c r="X1609" i="16"/>
  <c r="Y1609" i="16"/>
  <c r="X1610" i="16"/>
  <c r="X1611" i="16"/>
  <c r="Y1610" i="16"/>
  <c r="Y1611" i="16"/>
  <c r="X1612" i="16"/>
  <c r="X1613" i="16"/>
  <c r="Y1612" i="16"/>
  <c r="Y1613" i="16"/>
  <c r="X1614" i="16"/>
  <c r="Y1614" i="16"/>
  <c r="X1615" i="16"/>
  <c r="X1616" i="16"/>
  <c r="Y1615" i="16"/>
  <c r="Y1616" i="16"/>
  <c r="X1617" i="16"/>
  <c r="Y1617" i="16"/>
  <c r="X1618" i="16"/>
  <c r="X1619" i="16"/>
  <c r="Y1618" i="16"/>
  <c r="X1620" i="16"/>
  <c r="Y1619" i="16"/>
  <c r="X1621" i="16"/>
  <c r="Y1620" i="16"/>
  <c r="X1622" i="16"/>
  <c r="Y1621" i="16"/>
  <c r="Y1622" i="16"/>
  <c r="X1623" i="16"/>
  <c r="X1624" i="16"/>
  <c r="Y1623" i="16"/>
  <c r="X1625" i="16"/>
  <c r="Y1624" i="16"/>
  <c r="X1626" i="16"/>
  <c r="Y1625" i="16"/>
  <c r="X1627" i="16"/>
  <c r="Y1626" i="16"/>
  <c r="X1628" i="16"/>
  <c r="Y1627" i="16"/>
  <c r="Y1628" i="16"/>
  <c r="X1629" i="16"/>
  <c r="X1630" i="16"/>
  <c r="Y1629" i="16"/>
  <c r="X1631" i="16"/>
  <c r="Y1630" i="16"/>
  <c r="X1632" i="16"/>
  <c r="Y1631" i="16"/>
  <c r="X1633" i="16"/>
  <c r="Y1632" i="16"/>
  <c r="Y1633" i="16"/>
  <c r="X1634" i="16"/>
  <c r="Y1634" i="16"/>
  <c r="X1635" i="16"/>
  <c r="Y1635" i="16"/>
  <c r="X1636" i="16"/>
  <c r="Y1636" i="16"/>
  <c r="X1637" i="16"/>
  <c r="X1638" i="16"/>
  <c r="Y1637" i="16"/>
  <c r="X1639" i="16"/>
  <c r="Y1638" i="16"/>
  <c r="Y1639" i="16"/>
  <c r="X1640" i="16"/>
  <c r="Y1640" i="16"/>
  <c r="X1641" i="16"/>
  <c r="Y1641" i="16"/>
  <c r="X1642" i="16"/>
  <c r="Y1642" i="16"/>
  <c r="X1643" i="16"/>
  <c r="X1644" i="16"/>
  <c r="Y1643" i="16"/>
  <c r="Y1644" i="16"/>
  <c r="X1645" i="16"/>
  <c r="Y1645" i="16"/>
  <c r="X1646" i="16"/>
  <c r="X1647" i="16"/>
  <c r="Y1646" i="16"/>
  <c r="Y1647" i="16"/>
  <c r="X1648" i="16"/>
  <c r="X1649" i="16"/>
  <c r="Y1648" i="16"/>
  <c r="X1650" i="16"/>
  <c r="Y1649" i="16"/>
  <c r="Y1650" i="16"/>
  <c r="X1651" i="16"/>
  <c r="X1652" i="16"/>
  <c r="Y1651" i="16"/>
  <c r="X1653" i="16"/>
  <c r="Y1652" i="16"/>
  <c r="Y1653" i="16"/>
  <c r="X1654" i="16"/>
  <c r="X1655" i="16"/>
  <c r="Y1654" i="16"/>
  <c r="Y1655" i="16"/>
  <c r="X1656" i="16"/>
  <c r="X1657" i="16"/>
  <c r="Y1656" i="16"/>
  <c r="X1658" i="16"/>
  <c r="Y1657" i="16"/>
  <c r="Y1658" i="16"/>
  <c r="X1659" i="16"/>
  <c r="Y1659" i="16"/>
  <c r="X1660" i="16"/>
  <c r="X1661" i="16"/>
  <c r="Y1660" i="16"/>
  <c r="Y1661" i="16"/>
  <c r="X1662" i="16"/>
  <c r="X1663" i="16"/>
  <c r="Y1662" i="16"/>
  <c r="Y1663" i="16"/>
  <c r="X1664" i="16"/>
  <c r="Y1664" i="16"/>
  <c r="X1665" i="16"/>
  <c r="X1666" i="16"/>
  <c r="Y1665" i="16"/>
  <c r="X1667" i="16"/>
  <c r="Y1666" i="16"/>
  <c r="X1668" i="16"/>
  <c r="Y1667" i="16"/>
  <c r="X1669" i="16"/>
  <c r="Y1668" i="16"/>
  <c r="Y1669" i="16"/>
  <c r="X1670" i="16"/>
  <c r="Y1670" i="16"/>
  <c r="X1671" i="16"/>
  <c r="X1672" i="16"/>
  <c r="Y1671" i="16"/>
  <c r="X1673" i="16"/>
  <c r="Y1672" i="16"/>
  <c r="X1674" i="16"/>
  <c r="Y1673" i="16"/>
  <c r="Y1674" i="16"/>
  <c r="X1675" i="16"/>
  <c r="X1676" i="16"/>
  <c r="Y1675" i="16"/>
  <c r="X1677" i="16"/>
  <c r="Y1676" i="16"/>
  <c r="X1678" i="16"/>
  <c r="Y1677" i="16"/>
  <c r="X1679" i="16"/>
  <c r="Y1678" i="16"/>
  <c r="X1680" i="16"/>
  <c r="Y1679" i="16"/>
  <c r="X1681" i="16"/>
  <c r="Y1680" i="16"/>
  <c r="Y1681" i="16"/>
  <c r="X1682" i="16"/>
  <c r="Y1682" i="16"/>
  <c r="X1683" i="16"/>
  <c r="X1684" i="16"/>
  <c r="Y1683" i="16"/>
  <c r="Y1684" i="16"/>
  <c r="X1685" i="16"/>
  <c r="X1686" i="16"/>
  <c r="Y1685" i="16"/>
  <c r="X1687" i="16"/>
  <c r="Y1686" i="16"/>
  <c r="X1688" i="16"/>
  <c r="Y1687" i="16"/>
  <c r="X1689" i="16"/>
  <c r="Y1688" i="16"/>
  <c r="X1690" i="16"/>
  <c r="Y1689" i="16"/>
  <c r="Y1690" i="16"/>
  <c r="X1691" i="16"/>
  <c r="X1692" i="16"/>
  <c r="Y1691" i="16"/>
  <c r="Y1692" i="16"/>
  <c r="X1693" i="16"/>
  <c r="X1694" i="16"/>
  <c r="Y1693" i="16"/>
  <c r="Y1694" i="16"/>
  <c r="X1695" i="16"/>
  <c r="Y1695" i="16"/>
  <c r="X1696" i="16"/>
  <c r="Y1696" i="16"/>
  <c r="X1697" i="16"/>
  <c r="X1698" i="16"/>
  <c r="Y1697" i="16"/>
  <c r="X1699" i="16"/>
  <c r="Y1698" i="16"/>
  <c r="X1700" i="16"/>
  <c r="Y1699" i="16"/>
  <c r="X1701" i="16"/>
  <c r="Y1700" i="16"/>
  <c r="X1702" i="16"/>
  <c r="Y1701" i="16"/>
  <c r="Y1702" i="16"/>
  <c r="X1703" i="16"/>
  <c r="Y1703" i="16"/>
  <c r="X1704" i="16"/>
  <c r="X1705" i="16"/>
  <c r="Y1704" i="16"/>
  <c r="Y1705" i="16"/>
  <c r="X1706" i="16"/>
  <c r="X1707" i="16"/>
  <c r="Y1706" i="16"/>
  <c r="X1708" i="16"/>
  <c r="Y1707" i="16"/>
  <c r="X1709" i="16"/>
  <c r="Y1708" i="16"/>
  <c r="X1710" i="16"/>
  <c r="Y1709" i="16"/>
  <c r="X1711" i="16"/>
  <c r="Y1710" i="16"/>
  <c r="Y1711" i="16"/>
  <c r="X1712" i="16"/>
  <c r="Y1712" i="16"/>
  <c r="X1713" i="16"/>
  <c r="Y1713" i="16"/>
  <c r="X1714" i="16"/>
  <c r="X1715" i="16"/>
  <c r="Y1714" i="16"/>
  <c r="X1716" i="16"/>
  <c r="Y1715" i="16"/>
  <c r="X1717" i="16"/>
  <c r="Y1716" i="16"/>
  <c r="X1718" i="16"/>
  <c r="Y1717" i="16"/>
  <c r="Y1718" i="16"/>
  <c r="X1719" i="16"/>
  <c r="Y1719" i="16"/>
  <c r="X1720" i="16"/>
  <c r="X1721" i="16"/>
  <c r="Y1720" i="16"/>
  <c r="Y1721" i="16"/>
  <c r="X1722" i="16"/>
  <c r="X1723" i="16"/>
  <c r="Y1722" i="16"/>
  <c r="X1724" i="16"/>
  <c r="Y1723" i="16"/>
  <c r="X1725" i="16"/>
  <c r="Y1724" i="16"/>
  <c r="Y1725" i="16"/>
  <c r="X1726" i="16"/>
  <c r="Y1726" i="16"/>
  <c r="X1727" i="16"/>
  <c r="X1728" i="16"/>
  <c r="Y1727" i="16"/>
  <c r="Y1728" i="16"/>
  <c r="X1729" i="16"/>
  <c r="X1730" i="16"/>
  <c r="Y1729" i="16"/>
  <c r="Y1730" i="16"/>
  <c r="X1731" i="16"/>
  <c r="X1732" i="16"/>
  <c r="Y1731" i="16"/>
  <c r="X1733" i="16"/>
  <c r="Y1732" i="16"/>
  <c r="Y1733" i="16"/>
  <c r="X1734" i="16"/>
  <c r="X1735" i="16"/>
  <c r="Y1734" i="16"/>
  <c r="Y1735" i="16"/>
  <c r="X1736" i="16"/>
  <c r="X1737" i="16"/>
  <c r="Y1736" i="16"/>
  <c r="Y1737" i="16"/>
  <c r="X1738" i="16"/>
  <c r="X1739" i="16"/>
  <c r="Y1738" i="16"/>
  <c r="Y1739" i="16"/>
  <c r="X1740" i="16"/>
  <c r="X1741" i="16"/>
  <c r="Y1740" i="16"/>
  <c r="Y1741" i="16"/>
  <c r="X1742" i="16"/>
  <c r="Y1742" i="16"/>
  <c r="X1743" i="16"/>
  <c r="X1744" i="16"/>
  <c r="Y1743" i="16"/>
  <c r="X1745" i="16"/>
  <c r="Y1744" i="16"/>
  <c r="X1746" i="16"/>
  <c r="Y1745" i="16"/>
  <c r="X1747" i="16"/>
  <c r="Y1746" i="16"/>
  <c r="Y1747" i="16"/>
  <c r="X1748" i="16"/>
  <c r="X1749" i="16"/>
  <c r="Y1748" i="16"/>
  <c r="Y1749" i="16"/>
  <c r="X1750" i="16"/>
  <c r="Y1750" i="16"/>
  <c r="X1751" i="16"/>
  <c r="X1752" i="16"/>
  <c r="Y1751" i="16"/>
  <c r="X1753" i="16"/>
  <c r="Y1752" i="16"/>
  <c r="Y1753" i="16"/>
  <c r="X1754" i="16"/>
  <c r="X1755" i="16"/>
  <c r="Y1754" i="16"/>
  <c r="X1756" i="16"/>
  <c r="Y1755" i="16"/>
  <c r="X1757" i="16"/>
  <c r="Y1756" i="16"/>
  <c r="Y1757" i="16"/>
  <c r="X1758" i="16"/>
  <c r="Y1758" i="16"/>
  <c r="X1759" i="16"/>
  <c r="Y1759" i="16"/>
  <c r="X1760" i="16"/>
  <c r="X1761" i="16"/>
  <c r="Y1760" i="16"/>
  <c r="Y1761" i="16"/>
  <c r="X1762" i="16"/>
  <c r="X1763" i="16"/>
  <c r="Y1762" i="16"/>
  <c r="X1764" i="16"/>
  <c r="Y1763" i="16"/>
  <c r="X1765" i="16"/>
  <c r="Y1764" i="16"/>
  <c r="X1766" i="16"/>
  <c r="Y1765" i="16"/>
  <c r="X1767" i="16"/>
  <c r="Y1766" i="16"/>
  <c r="Y1767" i="16"/>
  <c r="X1768" i="16"/>
  <c r="X1769" i="16"/>
  <c r="Y1768" i="16"/>
  <c r="X1770" i="16"/>
  <c r="Y1769" i="16"/>
  <c r="Y1770" i="16"/>
  <c r="X1771" i="16"/>
  <c r="X1772" i="16"/>
  <c r="Y1771" i="16"/>
  <c r="Y1772" i="16"/>
  <c r="X1773" i="16"/>
  <c r="X1774" i="16"/>
  <c r="Y1773" i="16"/>
  <c r="X1775" i="16"/>
  <c r="Y1774" i="16"/>
  <c r="Y1775" i="16"/>
  <c r="X1776" i="16"/>
  <c r="X1777" i="16"/>
  <c r="Y1776" i="16"/>
  <c r="X1778" i="16"/>
  <c r="Y1777" i="16"/>
  <c r="Y1778" i="16"/>
  <c r="X1779" i="16"/>
  <c r="Y1779" i="16"/>
  <c r="X1780" i="16"/>
  <c r="X1781" i="16"/>
  <c r="Y1780" i="16"/>
  <c r="Y1781" i="16"/>
  <c r="X1782" i="16"/>
  <c r="Y1782" i="16"/>
  <c r="X1783" i="16"/>
  <c r="X1784" i="16"/>
  <c r="Y1783" i="16"/>
  <c r="Y1784" i="16"/>
  <c r="X1785" i="16"/>
  <c r="Y1785" i="16"/>
  <c r="X1786" i="16"/>
  <c r="X1787" i="16"/>
  <c r="Y1786" i="16"/>
  <c r="Y1787" i="16"/>
  <c r="X1788" i="16"/>
  <c r="Y1788" i="16"/>
  <c r="X1789" i="16"/>
  <c r="Y1789" i="16"/>
  <c r="X1790" i="16"/>
  <c r="X1791" i="16"/>
  <c r="Y1790" i="16"/>
  <c r="Y1791" i="16"/>
  <c r="X1792" i="16"/>
  <c r="X1793" i="16"/>
  <c r="Y1792" i="16"/>
  <c r="X1794" i="16"/>
  <c r="Y1793" i="16"/>
  <c r="X1795" i="16"/>
  <c r="Y1794" i="16"/>
  <c r="Y1795" i="16"/>
  <c r="X1796" i="16"/>
  <c r="Y1796" i="16"/>
  <c r="X1797" i="16"/>
  <c r="X1798" i="16"/>
  <c r="Y1797" i="16"/>
  <c r="X1799" i="16"/>
  <c r="Y1798" i="16"/>
  <c r="Y1799" i="16"/>
  <c r="X1800" i="16"/>
  <c r="Y1800" i="16"/>
  <c r="X1801" i="16"/>
  <c r="X1802" i="16"/>
  <c r="Y1801" i="16"/>
  <c r="Y1802" i="16"/>
  <c r="X1803" i="16"/>
  <c r="Y1803" i="16"/>
  <c r="X1804" i="16"/>
  <c r="X1805" i="16"/>
  <c r="Y1804" i="16"/>
  <c r="X1806" i="16"/>
  <c r="Y1805" i="16"/>
  <c r="X1807" i="16"/>
  <c r="Y1806" i="16"/>
  <c r="Y1807" i="16"/>
  <c r="X1808" i="16"/>
  <c r="Y1808" i="16"/>
  <c r="X1809" i="16"/>
  <c r="Y1809" i="16"/>
  <c r="X1810" i="16"/>
  <c r="X1811" i="16"/>
  <c r="Y1810" i="16"/>
  <c r="X1812" i="16"/>
  <c r="Y1811" i="16"/>
  <c r="X1813" i="16"/>
  <c r="Y1812" i="16"/>
  <c r="Y1813" i="16"/>
  <c r="X1814" i="16"/>
  <c r="Y1814" i="16"/>
  <c r="X1815" i="16"/>
  <c r="X1816" i="16"/>
  <c r="Y1815" i="16"/>
  <c r="X1817" i="16"/>
  <c r="Y1816" i="16"/>
  <c r="X1818" i="16"/>
  <c r="Y1817" i="16"/>
  <c r="Y1818" i="16"/>
  <c r="X1819" i="16"/>
  <c r="Y1819" i="16"/>
  <c r="X1820" i="16"/>
  <c r="Y1820" i="16"/>
  <c r="X1821" i="16"/>
  <c r="Y1821" i="16"/>
  <c r="X1822" i="16"/>
  <c r="Y1822" i="16"/>
  <c r="X1823" i="16"/>
  <c r="X1824" i="16"/>
  <c r="Y1823" i="16"/>
  <c r="X1825" i="16"/>
  <c r="Y1824" i="16"/>
  <c r="X1826" i="16"/>
  <c r="Y1825" i="16"/>
  <c r="Y1826" i="16"/>
  <c r="X1827" i="16"/>
  <c r="X1828" i="16"/>
  <c r="Y1827" i="16"/>
  <c r="X1829" i="16"/>
  <c r="Y1828" i="16"/>
  <c r="X1830" i="16"/>
  <c r="Y1829" i="16"/>
  <c r="Y1830" i="16"/>
  <c r="X1831" i="16"/>
  <c r="Y1831" i="16"/>
  <c r="X1832" i="16"/>
  <c r="X1833" i="16"/>
  <c r="Y1832" i="16"/>
  <c r="Y1833" i="16"/>
  <c r="X1834" i="16"/>
  <c r="Y1834" i="16"/>
  <c r="X1835" i="16"/>
  <c r="Y1835" i="16"/>
  <c r="X1836" i="16"/>
  <c r="Y1836" i="16"/>
  <c r="X1837" i="16"/>
  <c r="X1838" i="16"/>
  <c r="Y1837" i="16"/>
  <c r="Y1838" i="16"/>
  <c r="X1839" i="16"/>
  <c r="Y1839" i="16"/>
  <c r="X1840" i="16"/>
  <c r="X1841" i="16"/>
  <c r="Y1840" i="16"/>
  <c r="X1842" i="16"/>
  <c r="Y1841" i="16"/>
  <c r="X1843" i="16"/>
  <c r="Y1842" i="16"/>
  <c r="Y1843" i="16"/>
  <c r="X1844" i="16"/>
  <c r="Y1844" i="16"/>
  <c r="X1845" i="16"/>
  <c r="Y1845" i="16"/>
  <c r="X1846" i="16"/>
  <c r="Y1846" i="16"/>
  <c r="X1847" i="16"/>
  <c r="X1848" i="16"/>
  <c r="Y1847" i="16"/>
  <c r="X1849" i="16"/>
  <c r="Y1848" i="16"/>
  <c r="Y1849" i="16"/>
  <c r="X1850" i="16"/>
  <c r="X1851" i="16"/>
  <c r="Y1850" i="16"/>
  <c r="X1852" i="16"/>
  <c r="Y1851" i="16"/>
  <c r="X1853" i="16"/>
  <c r="Y1852" i="16"/>
  <c r="Y1853" i="16"/>
  <c r="X1854" i="16"/>
  <c r="Y1854" i="16"/>
  <c r="X1855" i="16"/>
  <c r="Y1855" i="16"/>
  <c r="X1856" i="16"/>
  <c r="X1857" i="16"/>
  <c r="Y1856" i="16"/>
  <c r="X1858" i="16"/>
  <c r="Y1857" i="16"/>
  <c r="Y1858" i="16"/>
  <c r="X1859" i="16"/>
  <c r="Y1859" i="16"/>
  <c r="X1860" i="16"/>
  <c r="Y1860" i="16"/>
  <c r="X1861" i="16"/>
  <c r="X1862" i="16"/>
  <c r="Y1861" i="16"/>
  <c r="X1863" i="16"/>
  <c r="Y1862" i="16"/>
  <c r="X1864" i="16"/>
  <c r="Y1863" i="16"/>
  <c r="X1865" i="16"/>
  <c r="Y1864" i="16"/>
  <c r="Y1865" i="16"/>
  <c r="X1866" i="16"/>
  <c r="Y1866" i="16"/>
  <c r="X1867" i="16"/>
  <c r="Y1867" i="16"/>
  <c r="X1868" i="16"/>
  <c r="X1869" i="16"/>
  <c r="Y1868" i="16"/>
  <c r="X1870" i="16"/>
  <c r="Y1869" i="16"/>
  <c r="Y1870" i="16"/>
  <c r="X1871" i="16"/>
  <c r="Y1871" i="16"/>
  <c r="X1872" i="16"/>
  <c r="X1873" i="16"/>
  <c r="Y1872" i="16"/>
  <c r="X1874" i="16"/>
  <c r="Y1873" i="16"/>
  <c r="Y1874" i="16"/>
  <c r="X1875" i="16"/>
  <c r="Y1875" i="16"/>
  <c r="X1876" i="16"/>
  <c r="X1877" i="16"/>
  <c r="Y1876" i="16"/>
  <c r="X1878" i="16"/>
  <c r="Y1877" i="16"/>
  <c r="Y1878" i="16"/>
  <c r="X1879" i="16"/>
  <c r="X1880" i="16"/>
  <c r="Y1879" i="16"/>
  <c r="Y1880" i="16"/>
  <c r="X1881" i="16"/>
  <c r="X1882" i="16"/>
  <c r="Y1881" i="16"/>
  <c r="X1883" i="16"/>
  <c r="Y1882" i="16"/>
  <c r="X1884" i="16"/>
  <c r="Y1883" i="16"/>
  <c r="Y1884" i="16"/>
  <c r="X1885" i="16"/>
  <c r="X1886" i="16"/>
  <c r="Y1885" i="16"/>
  <c r="X1887" i="16"/>
  <c r="Y1886" i="16"/>
  <c r="X1888" i="16"/>
  <c r="Y1887" i="16"/>
  <c r="X1889" i="16"/>
  <c r="Y1888" i="16"/>
  <c r="Y1889" i="16"/>
  <c r="X1890" i="16"/>
  <c r="Y1890" i="16"/>
  <c r="X1891" i="16"/>
  <c r="Y1891" i="16"/>
  <c r="X1892" i="16"/>
  <c r="Y1892" i="16"/>
  <c r="X1893" i="16"/>
  <c r="X1894" i="16"/>
  <c r="Y1893" i="16"/>
  <c r="X1895" i="16"/>
  <c r="Y1894" i="16"/>
  <c r="Y1895" i="16"/>
  <c r="X1896" i="16"/>
  <c r="X1897" i="16"/>
  <c r="Y1896" i="16"/>
  <c r="X1898" i="16"/>
  <c r="Y1897" i="16"/>
  <c r="Y1898" i="16"/>
  <c r="X1899" i="16"/>
  <c r="X1900" i="16"/>
  <c r="Y1899" i="16"/>
  <c r="Y1900" i="16"/>
  <c r="X1901" i="16"/>
  <c r="X1902" i="16"/>
  <c r="Y1901" i="16"/>
  <c r="X1903" i="16"/>
  <c r="Y1902" i="16"/>
  <c r="Y1903" i="16"/>
  <c r="X1904" i="16"/>
  <c r="Y1904" i="16"/>
  <c r="X1905" i="16"/>
  <c r="X1906" i="16"/>
  <c r="Y1905" i="16"/>
  <c r="X1907" i="16"/>
  <c r="Y1906" i="16"/>
  <c r="X1908" i="16"/>
  <c r="Y1907" i="16"/>
  <c r="X1909" i="16"/>
  <c r="Y1908" i="16"/>
  <c r="X1910" i="16"/>
  <c r="Y1909" i="16"/>
  <c r="X1911" i="16"/>
  <c r="Y1910" i="16"/>
  <c r="X1912" i="16"/>
  <c r="Y1911" i="16"/>
  <c r="Y1912" i="16"/>
  <c r="X1913" i="16"/>
  <c r="X1914" i="16"/>
  <c r="Y1913" i="16"/>
  <c r="Y1914" i="16"/>
  <c r="X1915" i="16"/>
  <c r="X1916" i="16"/>
  <c r="Y1915" i="16"/>
  <c r="Y1916" i="16"/>
  <c r="X1917" i="16"/>
  <c r="Y1917" i="16"/>
  <c r="X1918" i="16"/>
  <c r="X1919" i="16"/>
  <c r="Y1918" i="16"/>
  <c r="Y1919" i="16"/>
  <c r="X1920" i="16"/>
  <c r="X1921" i="16"/>
  <c r="Y1920" i="16"/>
  <c r="Y1921" i="16"/>
  <c r="X1922" i="16"/>
  <c r="Y1922" i="16"/>
  <c r="X1923" i="16"/>
  <c r="Y1923" i="16"/>
  <c r="X1924" i="16"/>
  <c r="X1925" i="16"/>
  <c r="Y1924" i="16"/>
  <c r="Y1925" i="16"/>
  <c r="X1926" i="16"/>
  <c r="Y1926" i="16"/>
  <c r="X1927" i="16"/>
  <c r="Y1927" i="16"/>
  <c r="X1928" i="16"/>
  <c r="Y1928" i="16"/>
  <c r="X1929" i="16"/>
  <c r="Y1929" i="16"/>
  <c r="X1930" i="16"/>
  <c r="Y1930" i="16"/>
  <c r="X1931" i="16"/>
  <c r="X1932" i="16"/>
  <c r="Y1931" i="16"/>
  <c r="X1933" i="16"/>
  <c r="Y1932" i="16"/>
  <c r="Y1933" i="16"/>
  <c r="X1934" i="16"/>
  <c r="Y1934" i="16"/>
  <c r="X1935" i="16"/>
  <c r="Y1935" i="16"/>
  <c r="X1936" i="16"/>
  <c r="X1937" i="16"/>
  <c r="Y1936" i="16"/>
  <c r="X1938" i="16"/>
  <c r="Y1937" i="16"/>
  <c r="X1939" i="16"/>
  <c r="Y1938" i="16"/>
  <c r="X1940" i="16"/>
  <c r="Y1939" i="16"/>
  <c r="Y1940" i="16"/>
  <c r="X1941" i="16"/>
  <c r="Y1941" i="16"/>
  <c r="X1942" i="16"/>
  <c r="X1943" i="16"/>
  <c r="Y1942" i="16"/>
  <c r="Y1943" i="16"/>
  <c r="X1944" i="16"/>
  <c r="Y1944" i="16"/>
  <c r="X1945" i="16"/>
  <c r="X1946" i="16"/>
  <c r="Y1945" i="16"/>
  <c r="X1947" i="16"/>
  <c r="Y1946" i="16"/>
  <c r="X1948" i="16"/>
  <c r="Y1947" i="16"/>
  <c r="Y1948" i="16"/>
  <c r="X1949" i="16"/>
  <c r="Y1949" i="16"/>
  <c r="X1950" i="16"/>
  <c r="Y1950" i="16"/>
  <c r="X1951" i="16"/>
  <c r="X1952" i="16"/>
  <c r="Y1951" i="16"/>
  <c r="X1953" i="16"/>
  <c r="Y1952" i="16"/>
  <c r="X1954" i="16"/>
  <c r="Y1953" i="16"/>
  <c r="Y1954" i="16"/>
  <c r="X1955" i="16"/>
  <c r="X1956" i="16"/>
  <c r="Y1955" i="16"/>
  <c r="Y1956" i="16"/>
  <c r="X1957" i="16"/>
  <c r="X1958" i="16"/>
  <c r="Y1957" i="16"/>
  <c r="Y1958" i="16"/>
  <c r="X1959" i="16"/>
  <c r="Y1959" i="16"/>
  <c r="X1960" i="16"/>
  <c r="X1961" i="16"/>
  <c r="Y1960" i="16"/>
  <c r="X1962" i="16"/>
  <c r="Y1961" i="16"/>
  <c r="Y1962" i="16"/>
  <c r="X1963" i="16"/>
  <c r="X1964" i="16"/>
  <c r="Y1963" i="16"/>
  <c r="Y1964" i="16"/>
  <c r="X1965" i="16"/>
  <c r="X1966" i="16"/>
  <c r="Y1965" i="16"/>
  <c r="X1967" i="16"/>
  <c r="Y1966" i="16"/>
  <c r="X1968" i="16"/>
  <c r="Y1967" i="16"/>
  <c r="X1969" i="16"/>
  <c r="Y1968" i="16"/>
  <c r="Y1969" i="16"/>
  <c r="X1970" i="16"/>
  <c r="X1971" i="16"/>
  <c r="Y1970" i="16"/>
  <c r="Y1971" i="16"/>
  <c r="X1972" i="16"/>
  <c r="X1973" i="16"/>
  <c r="Y1972" i="16"/>
  <c r="Y1973" i="16"/>
  <c r="X1974" i="16"/>
  <c r="Y1974" i="16"/>
  <c r="X1975" i="16"/>
  <c r="X1976" i="16"/>
  <c r="Y1975" i="16"/>
  <c r="Y1976" i="16"/>
  <c r="X1977" i="16"/>
  <c r="Y1977" i="16"/>
  <c r="X1978" i="16"/>
  <c r="Y1978" i="16"/>
  <c r="X1979" i="16"/>
  <c r="X1980" i="16"/>
  <c r="Y1979" i="16"/>
  <c r="Y1980" i="16"/>
  <c r="X1981" i="16"/>
  <c r="X1982" i="16"/>
  <c r="Y1981" i="16"/>
  <c r="X1983" i="16"/>
  <c r="Y1982" i="16"/>
  <c r="Y1983" i="16"/>
  <c r="X1984" i="16"/>
  <c r="X1985" i="16"/>
  <c r="Y1984" i="16"/>
  <c r="X1986" i="16"/>
  <c r="Y1985" i="16"/>
  <c r="Y1986" i="16"/>
  <c r="X1987" i="16"/>
  <c r="Y1987" i="16"/>
  <c r="X1988" i="16"/>
  <c r="Y1988" i="16"/>
  <c r="X1989" i="16"/>
  <c r="Y1989" i="16"/>
  <c r="X1990" i="16"/>
  <c r="Y1990" i="16"/>
  <c r="X1991" i="16"/>
  <c r="X1992" i="16"/>
  <c r="Y1991" i="16"/>
  <c r="Y1992" i="16"/>
  <c r="X1993" i="16"/>
  <c r="X1994" i="16"/>
  <c r="Y1993" i="16"/>
  <c r="Y1994" i="16"/>
  <c r="X1995" i="16"/>
  <c r="X1996" i="16"/>
  <c r="Y1995" i="16"/>
  <c r="X1997" i="16"/>
  <c r="Y1996" i="16"/>
  <c r="Y1997" i="16"/>
  <c r="X1998" i="16"/>
  <c r="Y1998" i="16"/>
  <c r="X1999" i="16"/>
  <c r="X2000" i="16"/>
  <c r="Y1999" i="16"/>
  <c r="X2001" i="16"/>
  <c r="Y2000" i="16"/>
  <c r="Y2001" i="16"/>
  <c r="X2002" i="16"/>
  <c r="Y2002" i="16"/>
  <c r="X2003" i="16"/>
  <c r="Y2003" i="16"/>
  <c r="X2004" i="16"/>
  <c r="Y2004" i="16"/>
  <c r="X2005" i="16"/>
  <c r="X2006" i="16"/>
  <c r="Y2005" i="16"/>
  <c r="Y2006" i="16"/>
  <c r="X2007" i="16"/>
  <c r="X2008" i="16"/>
  <c r="Y2007" i="16"/>
  <c r="Y2008" i="16"/>
  <c r="X2009" i="16"/>
  <c r="Y2009" i="16"/>
  <c r="X2010" i="16"/>
  <c r="X2011" i="16"/>
  <c r="Y2010" i="16"/>
  <c r="Y2011" i="16"/>
  <c r="X2012" i="16"/>
  <c r="Y2012" i="16"/>
  <c r="X2013" i="16"/>
  <c r="X2014" i="16"/>
  <c r="Y2013" i="16"/>
  <c r="Y2014" i="16"/>
  <c r="X2015" i="16"/>
  <c r="Y2015" i="16"/>
  <c r="X2016" i="16"/>
  <c r="Y2016" i="16"/>
  <c r="X2017" i="16"/>
  <c r="X2018" i="16"/>
  <c r="Y2017" i="16"/>
  <c r="Y2018" i="16"/>
  <c r="X2019" i="16"/>
  <c r="Y2019" i="16"/>
  <c r="X2020" i="16"/>
  <c r="Y2020" i="16"/>
  <c r="X2021" i="16"/>
  <c r="Y2021" i="16"/>
  <c r="X2022" i="16"/>
  <c r="Y2022" i="16"/>
  <c r="X2023" i="16"/>
  <c r="X2024" i="16"/>
  <c r="Y2023" i="16"/>
  <c r="Y2024" i="16"/>
  <c r="X2025" i="16"/>
  <c r="Y2025" i="16"/>
  <c r="X2026" i="16"/>
  <c r="X2027" i="16"/>
  <c r="Y2026" i="16"/>
  <c r="Y2027" i="16"/>
  <c r="X2028" i="16"/>
  <c r="Y2028" i="16"/>
  <c r="X2029" i="16"/>
  <c r="X2030" i="16"/>
  <c r="Y2029" i="16"/>
  <c r="X2031" i="16"/>
  <c r="Y2030" i="16"/>
  <c r="Y2031" i="16"/>
  <c r="X2032" i="16"/>
  <c r="Y2032" i="16"/>
  <c r="X2033" i="16"/>
  <c r="X2034" i="16"/>
  <c r="Y2033" i="16"/>
  <c r="X2035" i="16"/>
  <c r="Y2034" i="16"/>
  <c r="X2036" i="16"/>
  <c r="Y2035" i="16"/>
  <c r="Y2036" i="16"/>
  <c r="X2037" i="16"/>
  <c r="X2038" i="16"/>
  <c r="Y2037" i="16"/>
  <c r="Y2038" i="16"/>
  <c r="X2039" i="16"/>
  <c r="X2040" i="16"/>
  <c r="Y2039" i="16"/>
  <c r="X2041" i="16"/>
  <c r="Y2040" i="16"/>
  <c r="Y2041" i="16"/>
  <c r="X2042" i="16"/>
  <c r="X2043" i="16"/>
  <c r="Y2042" i="16"/>
  <c r="Y2043" i="16"/>
  <c r="X2044" i="16"/>
  <c r="X2045" i="16"/>
  <c r="Y2044" i="16"/>
  <c r="Y2045" i="16"/>
  <c r="X2046" i="16"/>
  <c r="X2047" i="16"/>
  <c r="Y2046" i="16"/>
  <c r="Y2047" i="16"/>
  <c r="X2048" i="16"/>
  <c r="X2049" i="16"/>
  <c r="Y2048" i="16"/>
  <c r="Y2049" i="16"/>
  <c r="X2050" i="16"/>
  <c r="X2051" i="16"/>
  <c r="Y2050" i="16"/>
  <c r="X2052" i="16"/>
  <c r="Y2051" i="16"/>
  <c r="Y2052" i="16"/>
  <c r="X2053" i="16"/>
  <c r="X2054" i="16"/>
  <c r="Y2053" i="16"/>
  <c r="X2055" i="16"/>
  <c r="Y2054" i="16"/>
  <c r="X2056" i="16"/>
  <c r="Y2055" i="16"/>
  <c r="X2057" i="16"/>
  <c r="Y2056" i="16"/>
  <c r="Y2057" i="16"/>
  <c r="X2058" i="16"/>
  <c r="X2059" i="16"/>
  <c r="Y2058" i="16"/>
  <c r="Y2059" i="16"/>
  <c r="X2060" i="16"/>
  <c r="Y2060" i="16"/>
  <c r="X2061" i="16"/>
  <c r="Y2061" i="16"/>
  <c r="X2062" i="16"/>
  <c r="Y2062" i="16"/>
  <c r="X2063" i="16"/>
  <c r="X2064" i="16"/>
  <c r="Y2063" i="16"/>
  <c r="X2065" i="16"/>
  <c r="Y2064" i="16"/>
  <c r="Y2065" i="16"/>
  <c r="X2066" i="16"/>
  <c r="X2067" i="16"/>
  <c r="Y2066" i="16"/>
  <c r="Y2067" i="16"/>
  <c r="X2068" i="16"/>
  <c r="Y2068" i="16"/>
  <c r="X2069" i="16"/>
  <c r="X2070" i="16"/>
  <c r="Y2069" i="16"/>
  <c r="Y2070" i="16"/>
  <c r="X2071" i="16"/>
  <c r="Y2071" i="16"/>
  <c r="X2072" i="16"/>
  <c r="X2073" i="16"/>
  <c r="Y2072" i="16"/>
  <c r="X2074" i="16"/>
  <c r="Y2073" i="16"/>
  <c r="X2075" i="16"/>
  <c r="Y2074" i="16"/>
  <c r="Y2075" i="16"/>
  <c r="X2076" i="16"/>
  <c r="X2077" i="16"/>
  <c r="Y2076" i="16"/>
  <c r="Y2077" i="16"/>
  <c r="X2078" i="16"/>
  <c r="Y2078" i="16"/>
  <c r="X2079" i="16"/>
  <c r="X2080" i="16"/>
  <c r="Y2079" i="16"/>
  <c r="X2081" i="16"/>
  <c r="Y2080" i="16"/>
  <c r="X2082" i="16"/>
  <c r="Y2081" i="16"/>
  <c r="Y2082" i="16"/>
  <c r="X2083" i="16"/>
  <c r="X2084" i="16"/>
  <c r="Y2083" i="16"/>
  <c r="Y2084" i="16"/>
  <c r="X2085" i="16"/>
  <c r="Y2085" i="16"/>
  <c r="X2086" i="16"/>
  <c r="X2087" i="16"/>
  <c r="Y2086" i="16"/>
  <c r="X2088" i="16"/>
  <c r="Y2087" i="16"/>
  <c r="Y2088" i="16"/>
  <c r="X2089" i="16"/>
  <c r="X2090" i="16"/>
  <c r="Y2089" i="16"/>
  <c r="X2091" i="16"/>
  <c r="Y2090" i="16"/>
  <c r="Y2091" i="16"/>
  <c r="X2092" i="16"/>
  <c r="X2093" i="16"/>
  <c r="Y2092" i="16"/>
  <c r="Y2093" i="16"/>
  <c r="X2094" i="16"/>
  <c r="X2095" i="16"/>
  <c r="Y2094" i="16"/>
  <c r="X2096" i="16"/>
  <c r="Y2095" i="16"/>
  <c r="X2097" i="16"/>
  <c r="Y2096" i="16"/>
  <c r="X2098" i="16"/>
  <c r="Y2097" i="16"/>
  <c r="Y2098" i="16"/>
  <c r="X2099" i="16"/>
  <c r="Y2099" i="16"/>
  <c r="X2100" i="16"/>
  <c r="X2101" i="16"/>
  <c r="Y2100" i="16"/>
  <c r="Y2101" i="16"/>
  <c r="X2102" i="16"/>
  <c r="X2103" i="16"/>
  <c r="Y2102" i="16"/>
  <c r="X2104" i="16"/>
  <c r="Y2103" i="16"/>
  <c r="X2105" i="16"/>
  <c r="Y2104" i="16"/>
  <c r="Y2105" i="16"/>
  <c r="X2106" i="16"/>
  <c r="X2107" i="16"/>
  <c r="Y2106" i="16"/>
  <c r="Y2107" i="16"/>
  <c r="X2108" i="16"/>
  <c r="Y2108" i="16"/>
  <c r="X2109" i="16"/>
  <c r="X2110" i="16"/>
  <c r="Y2109" i="16"/>
  <c r="X2111" i="16"/>
  <c r="Y2110" i="16"/>
  <c r="Y2111" i="16"/>
  <c r="X2112" i="16"/>
  <c r="X2113" i="16"/>
  <c r="Y2112" i="16"/>
  <c r="X2114" i="16"/>
  <c r="Y2113" i="16"/>
  <c r="X2115" i="16"/>
  <c r="Y2114" i="16"/>
  <c r="X2116" i="16"/>
  <c r="Y2115" i="16"/>
  <c r="Y2116" i="16"/>
  <c r="X2117" i="16"/>
  <c r="Y2117" i="16"/>
  <c r="X2118" i="16"/>
  <c r="X2119" i="16"/>
  <c r="Y2118" i="16"/>
  <c r="Y2119" i="16"/>
  <c r="X2120" i="16"/>
  <c r="X2121" i="16"/>
  <c r="Y2120" i="16"/>
  <c r="X2122" i="16"/>
  <c r="Y2121" i="16"/>
  <c r="X2123" i="16"/>
  <c r="Y2122" i="16"/>
  <c r="Y2123" i="16"/>
  <c r="X2124" i="16"/>
  <c r="X2125" i="16"/>
  <c r="Y2124" i="16"/>
  <c r="Y2125" i="16"/>
  <c r="X2126" i="16"/>
  <c r="X2127" i="16"/>
  <c r="Y2126" i="16"/>
  <c r="Y2127" i="16"/>
  <c r="X2128" i="16"/>
  <c r="X2129" i="16"/>
  <c r="Y2128" i="16"/>
  <c r="X2130" i="16"/>
  <c r="Y2129" i="16"/>
  <c r="X2131" i="16"/>
  <c r="Y2130" i="16"/>
  <c r="X2132" i="16"/>
  <c r="Y2131" i="16"/>
  <c r="X2133" i="16"/>
  <c r="Y2132" i="16"/>
  <c r="X2134" i="16"/>
  <c r="Y2133" i="16"/>
  <c r="X2135" i="16"/>
  <c r="Y2134" i="16"/>
  <c r="X2136" i="16"/>
  <c r="Y2135" i="16"/>
  <c r="Y2136" i="16"/>
  <c r="X2137" i="16"/>
  <c r="Y2137" i="16"/>
  <c r="X2138" i="16"/>
  <c r="Y2138" i="16"/>
  <c r="X2139" i="16"/>
  <c r="X2140" i="16"/>
  <c r="Y2139" i="16"/>
  <c r="Y2140" i="16"/>
  <c r="X2141" i="16"/>
  <c r="X2142" i="16"/>
  <c r="Y2141" i="16"/>
  <c r="Y2142" i="16"/>
  <c r="X2143" i="16"/>
  <c r="X2144" i="16"/>
  <c r="Y2143" i="16"/>
  <c r="Y2144" i="16"/>
  <c r="X2145" i="16"/>
  <c r="X2146" i="16"/>
  <c r="Y2145" i="16"/>
  <c r="Y2146" i="16"/>
  <c r="X2147" i="16"/>
  <c r="X2148" i="16"/>
  <c r="Y2147" i="16"/>
  <c r="Y2148" i="16"/>
  <c r="X2149" i="16"/>
  <c r="Y2149" i="16"/>
  <c r="X2150" i="16"/>
  <c r="Y2150" i="16"/>
  <c r="X2151" i="16"/>
  <c r="X2152" i="16"/>
  <c r="Y2151" i="16"/>
  <c r="X2153" i="16"/>
  <c r="Y2152" i="16"/>
  <c r="X2154" i="16"/>
  <c r="Y2153" i="16"/>
  <c r="X2155" i="16"/>
  <c r="Y2154" i="16"/>
  <c r="Y2155" i="16"/>
  <c r="X2156" i="16"/>
  <c r="X2157" i="16"/>
  <c r="Y2156" i="16"/>
  <c r="Y2157" i="16"/>
  <c r="X2158" i="16"/>
  <c r="Y2158" i="16"/>
  <c r="X2159" i="16"/>
  <c r="X2160" i="16"/>
  <c r="Y2159" i="16"/>
  <c r="X2161" i="16"/>
  <c r="Y2160" i="16"/>
  <c r="X2162" i="16"/>
  <c r="Y2161" i="16"/>
  <c r="Y2162" i="16"/>
  <c r="X2163" i="16"/>
  <c r="Y2163" i="16"/>
  <c r="X2164" i="16"/>
  <c r="Y2164" i="16"/>
  <c r="X2165" i="16"/>
  <c r="X2166" i="16"/>
  <c r="Y2165" i="16"/>
  <c r="X2167" i="16"/>
  <c r="Y2166" i="16"/>
  <c r="Y2167" i="16"/>
  <c r="X2168" i="16"/>
  <c r="Y2168" i="16"/>
  <c r="X2169" i="16"/>
  <c r="Y2169" i="16"/>
  <c r="X2170" i="16"/>
  <c r="Y2170" i="16"/>
  <c r="X2171" i="16"/>
  <c r="Y2171" i="16"/>
  <c r="X2172" i="16"/>
  <c r="Y2172" i="16"/>
  <c r="X2173" i="16"/>
  <c r="X2174" i="16"/>
  <c r="Y2173" i="16"/>
  <c r="X2175" i="16"/>
  <c r="Y2174" i="16"/>
  <c r="X2176" i="16"/>
  <c r="Y2175" i="16"/>
  <c r="Y2176" i="16"/>
  <c r="X2177" i="16"/>
  <c r="Y2177" i="16"/>
  <c r="X2178" i="16"/>
  <c r="X2179" i="16"/>
  <c r="Y2178" i="16"/>
  <c r="Y2179" i="16"/>
  <c r="X2180" i="16"/>
  <c r="Y2180" i="16"/>
  <c r="X2181" i="16"/>
  <c r="Y2181" i="16"/>
  <c r="X2182" i="16"/>
  <c r="Y2182" i="16"/>
  <c r="X2183" i="16"/>
  <c r="Y2183" i="16"/>
  <c r="X2184" i="16"/>
  <c r="X2185" i="16"/>
  <c r="Y2184" i="16"/>
  <c r="X2186" i="16"/>
  <c r="Y2185" i="16"/>
  <c r="Y2186" i="16"/>
  <c r="X2187" i="16"/>
  <c r="Y2187" i="16"/>
  <c r="X2188" i="16"/>
  <c r="Y2188" i="16"/>
  <c r="X2189" i="16"/>
  <c r="Y2189" i="16"/>
  <c r="X2190" i="16"/>
  <c r="X2191" i="16"/>
  <c r="Y2190" i="16"/>
  <c r="Y2191" i="16"/>
  <c r="X2192" i="16"/>
  <c r="X2193" i="16"/>
  <c r="Y2192" i="16"/>
  <c r="Y2193" i="16"/>
  <c r="X2194" i="16"/>
  <c r="X2195" i="16"/>
  <c r="Y2194" i="16"/>
  <c r="X2196" i="16"/>
  <c r="Y2195" i="16"/>
  <c r="Y2196" i="16"/>
  <c r="X2197" i="16"/>
  <c r="Y2197" i="16"/>
  <c r="X2198" i="16"/>
  <c r="Y2198" i="16"/>
  <c r="X2199" i="16"/>
  <c r="Y2199" i="16"/>
  <c r="X2200" i="16"/>
  <c r="Y2200" i="16"/>
  <c r="X2201" i="16"/>
  <c r="X2202" i="16"/>
  <c r="Y2201" i="16"/>
  <c r="X2203" i="16"/>
  <c r="Y2202" i="16"/>
  <c r="Y2203" i="16"/>
  <c r="X2204" i="16"/>
  <c r="X2205" i="16"/>
  <c r="Y2204" i="16"/>
  <c r="X2206" i="16"/>
  <c r="Y2205" i="16"/>
  <c r="Y2206" i="16"/>
  <c r="X2207" i="16"/>
  <c r="Y2207" i="16"/>
  <c r="X2208" i="16"/>
  <c r="X2209" i="16"/>
  <c r="Y2208" i="16"/>
  <c r="Y2209" i="16"/>
  <c r="X2210" i="16"/>
  <c r="Y2210" i="16"/>
  <c r="X2211" i="16"/>
  <c r="Y2211" i="16"/>
  <c r="X2212" i="16"/>
  <c r="Y2212" i="16"/>
  <c r="X2213" i="16"/>
  <c r="Y2213" i="16"/>
  <c r="X2214" i="16"/>
  <c r="X2215" i="16"/>
  <c r="Y2214" i="16"/>
  <c r="Y2215" i="16"/>
  <c r="X2216" i="16"/>
  <c r="Y2216" i="16"/>
  <c r="X2217" i="16"/>
  <c r="Y2217" i="16"/>
  <c r="X2218" i="16"/>
  <c r="Y2218" i="16"/>
  <c r="X2219" i="16"/>
  <c r="X2220" i="16"/>
  <c r="Y2219" i="16"/>
  <c r="X2221" i="16"/>
  <c r="Y2220" i="16"/>
  <c r="Y2221" i="16"/>
  <c r="X2222" i="16"/>
  <c r="X2223" i="16"/>
  <c r="Y2222" i="16"/>
  <c r="X2224" i="16"/>
  <c r="Y2223" i="16"/>
  <c r="Y2224" i="16"/>
  <c r="X2225" i="16"/>
  <c r="X2226" i="16"/>
  <c r="Y2225" i="16"/>
  <c r="Y2226" i="16"/>
  <c r="X2227" i="16"/>
  <c r="X2228" i="16"/>
  <c r="Y2227" i="16"/>
  <c r="X2229" i="16"/>
  <c r="Y2228" i="16"/>
  <c r="X2230" i="16"/>
  <c r="Y2229" i="16"/>
  <c r="X2231" i="16"/>
  <c r="Y2230" i="16"/>
  <c r="Y2231" i="16"/>
  <c r="X2232" i="16"/>
  <c r="X2233" i="16"/>
  <c r="Y2232" i="16"/>
  <c r="Y2233" i="16"/>
  <c r="X2234" i="16"/>
  <c r="X2235" i="16"/>
  <c r="Y2234" i="16"/>
  <c r="Y2235" i="16"/>
  <c r="X2236" i="16"/>
  <c r="X2237" i="16"/>
  <c r="Y2236" i="16"/>
  <c r="Y2237" i="16"/>
  <c r="X2238" i="16"/>
  <c r="Y2238" i="16"/>
  <c r="X2239" i="16"/>
  <c r="Y2239" i="16"/>
  <c r="X2240" i="16"/>
  <c r="Y2240" i="16"/>
  <c r="X2241" i="16"/>
  <c r="Y2241" i="16"/>
  <c r="X2242" i="16"/>
  <c r="Y2242" i="16"/>
  <c r="X2243" i="16"/>
  <c r="X2244" i="16"/>
  <c r="Y2243" i="16"/>
  <c r="Y2244" i="16"/>
  <c r="X2245" i="16"/>
  <c r="Y2245" i="16"/>
  <c r="X2246" i="16"/>
  <c r="X2247" i="16"/>
  <c r="Y2246" i="16"/>
  <c r="X2248" i="16"/>
  <c r="Y2247" i="16"/>
  <c r="Y2248" i="16"/>
  <c r="X2249" i="16"/>
  <c r="X2250" i="16"/>
  <c r="Y2249" i="16"/>
  <c r="Y2250" i="16"/>
  <c r="X2251" i="16"/>
  <c r="X2252" i="16"/>
  <c r="Y2251" i="16"/>
  <c r="Y2252" i="16"/>
  <c r="X2253" i="16"/>
  <c r="X2254" i="16"/>
  <c r="Y2253" i="16"/>
  <c r="X2255" i="16"/>
  <c r="Y2254" i="16"/>
  <c r="Y2255" i="16"/>
  <c r="X2256" i="16"/>
  <c r="X2257" i="16"/>
  <c r="Y2256" i="16"/>
  <c r="Y2257" i="16"/>
  <c r="X2258" i="16"/>
  <c r="Y2258" i="16"/>
  <c r="X2259" i="16"/>
  <c r="X2260" i="16"/>
  <c r="Y2259" i="16"/>
  <c r="Y2260" i="16"/>
  <c r="X2261" i="16"/>
  <c r="Y2261" i="16"/>
  <c r="X2262" i="16"/>
  <c r="X2263" i="16"/>
  <c r="Y2262" i="16"/>
  <c r="X2264" i="16"/>
  <c r="Y2263" i="16"/>
  <c r="Y2264" i="16"/>
  <c r="X2265" i="16"/>
  <c r="X2266" i="16"/>
  <c r="Y2265" i="16"/>
  <c r="Y2266" i="16"/>
  <c r="X2267" i="16"/>
  <c r="X2268" i="16"/>
  <c r="Y2267" i="16"/>
  <c r="Y2268" i="16"/>
  <c r="X2269" i="16"/>
  <c r="X2270" i="16"/>
  <c r="Y2269" i="16"/>
  <c r="X2271" i="16"/>
  <c r="Y2270" i="16"/>
  <c r="X2272" i="16"/>
  <c r="Y2271" i="16"/>
  <c r="X2273" i="16"/>
  <c r="Y2272" i="16"/>
  <c r="X2274" i="16"/>
  <c r="Y2273" i="16"/>
  <c r="Y2274" i="16"/>
  <c r="X2275" i="16"/>
  <c r="Y2275" i="16"/>
  <c r="X2276" i="16"/>
  <c r="X2277" i="16"/>
  <c r="Y2276" i="16"/>
  <c r="Y2277" i="16"/>
  <c r="X2278" i="16"/>
  <c r="X2279" i="16"/>
  <c r="Y2278" i="16"/>
  <c r="X2280" i="16"/>
  <c r="Y2279" i="16"/>
  <c r="Y2280" i="16"/>
  <c r="X2281" i="16"/>
  <c r="Y2281" i="16"/>
  <c r="X2282" i="16"/>
  <c r="Y2282" i="16"/>
  <c r="X2283" i="16"/>
  <c r="X2284" i="16"/>
  <c r="Y2283" i="16"/>
  <c r="Y2284" i="16"/>
  <c r="X2285" i="16"/>
  <c r="X2286" i="16"/>
  <c r="Y2285" i="16"/>
  <c r="Y2286" i="16"/>
  <c r="X2287" i="16"/>
  <c r="Y2287" i="16"/>
  <c r="X2288" i="16"/>
  <c r="Y2288" i="16"/>
  <c r="X2289" i="16"/>
  <c r="X2290" i="16"/>
  <c r="Y2289" i="16"/>
  <c r="Y2290" i="16"/>
  <c r="X2291" i="16"/>
  <c r="X2292" i="16"/>
  <c r="Y2291" i="16"/>
  <c r="Y2292" i="16"/>
  <c r="X2293" i="16"/>
  <c r="X2294" i="16"/>
  <c r="Y2293" i="16"/>
  <c r="X2295" i="16"/>
  <c r="Y2294" i="16"/>
  <c r="X2296" i="16"/>
  <c r="Y2295" i="16"/>
  <c r="Y2296" i="16"/>
  <c r="X2297" i="16"/>
  <c r="Y2297" i="16"/>
  <c r="X2298" i="16"/>
  <c r="Y2298" i="16"/>
  <c r="X2299" i="16"/>
  <c r="X2300" i="16"/>
  <c r="Y2299" i="16"/>
  <c r="X2301" i="16"/>
  <c r="Y2300" i="16"/>
  <c r="Y2301" i="16"/>
  <c r="X2302" i="16"/>
  <c r="X2303" i="16"/>
  <c r="Y2302" i="16"/>
  <c r="Y2303" i="16"/>
  <c r="X2304" i="16"/>
  <c r="Y2304" i="16"/>
  <c r="X2305" i="16"/>
  <c r="X2306" i="16"/>
  <c r="Y2305" i="16"/>
  <c r="Y2306" i="16"/>
  <c r="X2307" i="16"/>
  <c r="X2308" i="16"/>
  <c r="Y2307" i="16"/>
  <c r="X2309" i="16"/>
  <c r="Y2308" i="16"/>
  <c r="X2310" i="16"/>
  <c r="Y2309" i="16"/>
  <c r="X2311" i="16"/>
  <c r="Y2310" i="16"/>
  <c r="Y2311" i="16"/>
  <c r="X2312" i="16"/>
  <c r="Y2312" i="16"/>
  <c r="X2313" i="16"/>
  <c r="X2314" i="16"/>
  <c r="Y2313" i="16"/>
  <c r="X2315" i="16"/>
  <c r="Y2314" i="16"/>
  <c r="X2316" i="16"/>
  <c r="Y2315" i="16"/>
  <c r="X2317" i="16"/>
  <c r="Y2316" i="16"/>
  <c r="X2318" i="16"/>
  <c r="Y2317" i="16"/>
  <c r="X2319" i="16"/>
  <c r="Y2318" i="16"/>
  <c r="Y2319" i="16"/>
  <c r="X2320" i="16"/>
  <c r="Y2320" i="16"/>
  <c r="X2321" i="16"/>
  <c r="X2322" i="16"/>
  <c r="Y2321" i="16"/>
  <c r="X2323" i="16"/>
  <c r="Y2322" i="16"/>
  <c r="X2324" i="16"/>
  <c r="Y2323" i="16"/>
  <c r="X2325" i="16"/>
  <c r="Y2324" i="16"/>
  <c r="Y2325" i="16"/>
  <c r="X2326" i="16"/>
  <c r="Y2326" i="16"/>
  <c r="X2327" i="16"/>
  <c r="X2328" i="16"/>
  <c r="Y2327" i="16"/>
  <c r="Y2328" i="16"/>
  <c r="X2329" i="16"/>
  <c r="X2330" i="16"/>
  <c r="Y2329" i="16"/>
  <c r="Y2330" i="16"/>
  <c r="X2331" i="16"/>
  <c r="Y2331" i="16"/>
  <c r="X2332" i="16"/>
  <c r="Y2332" i="16"/>
  <c r="X2333" i="16"/>
  <c r="X2334" i="16"/>
  <c r="Y2333" i="16"/>
  <c r="Y2334" i="16"/>
  <c r="X2335" i="16"/>
  <c r="Y2335" i="16"/>
  <c r="X2336" i="16"/>
  <c r="X2337" i="16"/>
  <c r="Y2336" i="16"/>
  <c r="X2338" i="16"/>
  <c r="Y2337" i="16"/>
  <c r="X2339" i="16"/>
  <c r="Y2338" i="16"/>
  <c r="Y2339" i="16"/>
  <c r="X2340" i="16"/>
  <c r="X2341" i="16"/>
  <c r="Y2340" i="16"/>
  <c r="X2342" i="16"/>
  <c r="Y2341" i="16"/>
  <c r="X2343" i="16"/>
  <c r="Y2342" i="16"/>
  <c r="Y2343" i="16"/>
  <c r="X2344" i="16"/>
  <c r="X2345" i="16"/>
  <c r="Y2344" i="16"/>
  <c r="Y2345" i="16"/>
  <c r="X2346" i="16"/>
  <c r="X2347" i="16"/>
  <c r="Y2346" i="16"/>
  <c r="X2348" i="16"/>
  <c r="Y2347" i="16"/>
  <c r="X2349" i="16"/>
  <c r="Y2348" i="16"/>
  <c r="Y2349" i="16"/>
  <c r="X2350" i="16"/>
  <c r="X2351" i="16"/>
  <c r="Y2350" i="16"/>
  <c r="Y2351" i="16"/>
  <c r="X2352" i="16"/>
  <c r="Y2352" i="16"/>
  <c r="X2353" i="16"/>
  <c r="Y2353" i="16"/>
  <c r="X2354" i="16"/>
  <c r="X2355" i="16"/>
  <c r="Y2354" i="16"/>
  <c r="X2356" i="16"/>
  <c r="Y2355" i="16"/>
  <c r="X2357" i="16"/>
  <c r="Y2356" i="16"/>
  <c r="Y2357" i="16"/>
  <c r="X2358" i="16"/>
  <c r="X2359" i="16"/>
  <c r="Y2358" i="16"/>
  <c r="X2360" i="16"/>
  <c r="Y2359" i="16"/>
  <c r="X2361" i="16"/>
  <c r="Y2360" i="16"/>
  <c r="X2362" i="16"/>
  <c r="Y2361" i="16"/>
  <c r="X2363" i="16"/>
  <c r="Y2362" i="16"/>
  <c r="Y2363" i="16"/>
  <c r="X2364" i="16"/>
  <c r="X2365" i="16"/>
  <c r="Y2364" i="16"/>
  <c r="X2366" i="16"/>
  <c r="Y2365" i="16"/>
  <c r="X2367" i="16"/>
  <c r="Y2366" i="16"/>
  <c r="Y2367" i="16"/>
  <c r="X2368" i="16"/>
  <c r="X2369" i="16"/>
  <c r="Y2368" i="16"/>
  <c r="Y2369" i="16"/>
  <c r="X2370" i="16"/>
  <c r="Y2370" i="16"/>
  <c r="X2371" i="16"/>
  <c r="Y2371" i="16"/>
  <c r="X2372" i="16"/>
  <c r="X2373" i="16"/>
  <c r="Y2372" i="16"/>
  <c r="Y2373" i="16"/>
  <c r="X2374" i="16"/>
  <c r="Y2374" i="16"/>
  <c r="X2375" i="16"/>
  <c r="X2376" i="16"/>
  <c r="Y2375" i="16"/>
  <c r="Y2376" i="16"/>
  <c r="X2377" i="16"/>
  <c r="Y2377" i="16"/>
  <c r="X2378" i="16"/>
  <c r="Y2378" i="16"/>
  <c r="X2379" i="16"/>
  <c r="Y2379" i="16"/>
  <c r="X2380" i="16"/>
  <c r="Y2380" i="16"/>
  <c r="X2381" i="16"/>
  <c r="X2382" i="16"/>
  <c r="Y2381" i="16"/>
  <c r="X2383" i="16"/>
  <c r="Y2382" i="16"/>
  <c r="X2384" i="16"/>
  <c r="Y2383" i="16"/>
  <c r="X2385" i="16"/>
  <c r="Y2384" i="16"/>
  <c r="X2386" i="16"/>
  <c r="Y2385" i="16"/>
  <c r="X2387" i="16"/>
  <c r="Y2386" i="16"/>
  <c r="Y2387" i="16"/>
  <c r="X2388" i="16"/>
  <c r="X2389" i="16"/>
  <c r="Y2388" i="16"/>
  <c r="X2390" i="16"/>
  <c r="Y2389" i="16"/>
  <c r="Y2390" i="16"/>
  <c r="X2391" i="16"/>
  <c r="X2392" i="16"/>
  <c r="Y2391" i="16"/>
  <c r="X2393" i="16"/>
  <c r="Y2392" i="16"/>
  <c r="X2394" i="16"/>
  <c r="Y2393" i="16"/>
  <c r="Y2394" i="16"/>
  <c r="X2395" i="16"/>
  <c r="Y2395" i="16"/>
  <c r="X2396" i="16"/>
  <c r="Y2396" i="16"/>
  <c r="X2397" i="16"/>
  <c r="X2398" i="16"/>
  <c r="Y2397" i="16"/>
  <c r="X2399" i="16"/>
  <c r="Y2398" i="16"/>
  <c r="Y2399" i="16"/>
  <c r="X2400" i="16"/>
  <c r="X2401" i="16"/>
  <c r="Y2400" i="16"/>
  <c r="Y2401" i="16"/>
  <c r="X2402" i="16"/>
  <c r="X2403" i="16"/>
  <c r="Y2402" i="16"/>
  <c r="Y2403" i="16"/>
  <c r="X2404" i="16"/>
  <c r="X2405" i="16"/>
  <c r="Y2404" i="16"/>
  <c r="X2406" i="16"/>
  <c r="Y2405" i="16"/>
  <c r="X2407" i="16"/>
  <c r="Y2406" i="16"/>
  <c r="X2408" i="16"/>
  <c r="Y2407" i="16"/>
  <c r="X2409" i="16"/>
  <c r="Y2408" i="16"/>
  <c r="Y2409" i="16"/>
  <c r="X2410" i="16"/>
  <c r="X2411" i="16"/>
  <c r="Y2410" i="16"/>
  <c r="X2412" i="16"/>
  <c r="Y2411" i="16"/>
  <c r="Y2412" i="16"/>
  <c r="X2413" i="16"/>
  <c r="X2414" i="16"/>
  <c r="Y2413" i="16"/>
  <c r="Y2414" i="16"/>
  <c r="X2415" i="16"/>
  <c r="X2416" i="16"/>
  <c r="Y2415" i="16"/>
  <c r="X2417" i="16"/>
  <c r="Y2416" i="16"/>
  <c r="X2418" i="16"/>
  <c r="Y2417" i="16"/>
  <c r="Y2418" i="16"/>
  <c r="X2419" i="16"/>
  <c r="X2420" i="16"/>
  <c r="Y2419" i="16"/>
  <c r="Y2420" i="16"/>
  <c r="X2421" i="16"/>
  <c r="X2422" i="16"/>
  <c r="Y2421" i="16"/>
  <c r="Y2422" i="16"/>
  <c r="X2423" i="16"/>
  <c r="X2424" i="16"/>
  <c r="Y2423" i="16"/>
  <c r="Y2424" i="16"/>
  <c r="X2425" i="16"/>
  <c r="X2426" i="16"/>
  <c r="Y2425" i="16"/>
  <c r="Y2426" i="16"/>
  <c r="X2427" i="16"/>
  <c r="Y2427" i="16"/>
  <c r="X2428" i="16"/>
  <c r="X2429" i="16"/>
  <c r="Y2428" i="16"/>
  <c r="X2430" i="16"/>
  <c r="Y2429" i="16"/>
  <c r="Y2430" i="16"/>
  <c r="X2431" i="16"/>
  <c r="X2432" i="16"/>
  <c r="Y2431" i="16"/>
  <c r="X2433" i="16"/>
  <c r="Y2432" i="16"/>
  <c r="X2434" i="16"/>
  <c r="Y2433" i="16"/>
  <c r="Y2434" i="16"/>
  <c r="X2435" i="16"/>
  <c r="Y2435" i="16"/>
  <c r="X2436" i="16"/>
  <c r="Y2436" i="16"/>
  <c r="X2437" i="16"/>
  <c r="X2438" i="16"/>
  <c r="Y2437" i="16"/>
  <c r="X2439" i="16"/>
  <c r="Y2438" i="16"/>
  <c r="Y2439" i="16"/>
  <c r="X2440" i="16"/>
  <c r="X2441" i="16"/>
  <c r="Y2440" i="16"/>
  <c r="X2442" i="16"/>
  <c r="Y2441" i="16"/>
  <c r="X2443" i="16"/>
  <c r="Y2442" i="16"/>
  <c r="X2444" i="16"/>
  <c r="Y2443" i="16"/>
  <c r="X2445" i="16"/>
  <c r="Y2444" i="16"/>
  <c r="X2446" i="16"/>
  <c r="Y2445" i="16"/>
  <c r="Y2446" i="16"/>
  <c r="X2447" i="16"/>
  <c r="Y2447" i="16"/>
  <c r="X2448" i="16"/>
  <c r="Y2448" i="16"/>
  <c r="X2449" i="16"/>
  <c r="X2450" i="16"/>
  <c r="Y2449" i="16"/>
  <c r="Y2450" i="16"/>
  <c r="X2451" i="16"/>
  <c r="X2452" i="16"/>
  <c r="Y2451" i="16"/>
  <c r="Y2452" i="16"/>
  <c r="X2453" i="16"/>
  <c r="Y2453" i="16"/>
  <c r="X2454" i="16"/>
  <c r="Y2454" i="16"/>
  <c r="X2455" i="16"/>
  <c r="Y2455" i="16"/>
  <c r="X2456" i="16"/>
  <c r="Y2456" i="16"/>
  <c r="X2457" i="16"/>
  <c r="X2458" i="16"/>
  <c r="Y2457" i="16"/>
  <c r="X2459" i="16"/>
  <c r="Y2458" i="16"/>
  <c r="Y2459" i="16"/>
  <c r="X2460" i="16"/>
  <c r="Y2460" i="16"/>
  <c r="X2461" i="16"/>
  <c r="X2462" i="16"/>
  <c r="Y2461" i="16"/>
  <c r="Y2462" i="16"/>
  <c r="X2463" i="16"/>
  <c r="Y2463" i="16"/>
  <c r="X2464" i="16"/>
  <c r="Y2464" i="16"/>
  <c r="X2465" i="16"/>
  <c r="X2466" i="16"/>
  <c r="Y2465" i="16"/>
  <c r="Y2466" i="16"/>
  <c r="X2467" i="16"/>
  <c r="Y2467" i="16"/>
  <c r="X2468" i="16"/>
  <c r="X2469" i="16"/>
  <c r="Y2468" i="16"/>
  <c r="Y2469" i="16"/>
  <c r="X2470" i="16"/>
  <c r="X2471" i="16"/>
  <c r="Y2470" i="16"/>
  <c r="Y2471" i="16"/>
  <c r="X2472" i="16"/>
  <c r="X2473" i="16"/>
  <c r="Y2472" i="16"/>
  <c r="Y2473" i="16"/>
  <c r="X2474" i="16"/>
  <c r="Y2474" i="16"/>
  <c r="X2475" i="16"/>
  <c r="Y2475" i="16"/>
  <c r="X2476" i="16"/>
  <c r="Y2476" i="16"/>
  <c r="X2477" i="16"/>
  <c r="Y2477" i="16"/>
  <c r="X2478" i="16"/>
  <c r="X2479" i="16"/>
  <c r="Y2478" i="16"/>
  <c r="X2480" i="16"/>
  <c r="Y2479" i="16"/>
  <c r="Y2480" i="16"/>
  <c r="X2481" i="16"/>
  <c r="Y2481" i="16"/>
  <c r="X2482" i="16"/>
  <c r="X2483" i="16"/>
  <c r="Y2482" i="16"/>
  <c r="Y2483" i="16"/>
  <c r="X2484" i="16"/>
  <c r="Y2484" i="16"/>
  <c r="X2485" i="16"/>
  <c r="X2486" i="16"/>
  <c r="Y2485" i="16"/>
  <c r="X2487" i="16"/>
  <c r="Y2486" i="16"/>
  <c r="X2488" i="16"/>
  <c r="Y2487" i="16"/>
  <c r="Y2488" i="16"/>
  <c r="X2489" i="16"/>
  <c r="Y2489" i="16"/>
  <c r="X2490" i="16"/>
  <c r="X2491" i="16"/>
  <c r="Y2490" i="16"/>
  <c r="Y2491" i="16"/>
  <c r="X2492" i="16"/>
  <c r="X2493" i="16"/>
  <c r="Y2492" i="16"/>
  <c r="X2494" i="16"/>
  <c r="Y2493" i="16"/>
  <c r="X2495" i="16"/>
  <c r="Y2494" i="16"/>
  <c r="X2496" i="16"/>
  <c r="Y2495" i="16"/>
  <c r="X2497" i="16"/>
  <c r="Y2496" i="16"/>
  <c r="X2498" i="16"/>
  <c r="Y2497" i="16"/>
  <c r="X2499" i="16"/>
  <c r="Y2498" i="16"/>
  <c r="Y2499" i="16"/>
  <c r="X2500" i="16"/>
  <c r="Y2500" i="16"/>
  <c r="X2501" i="16"/>
  <c r="X2502" i="16"/>
  <c r="Y2501" i="16"/>
  <c r="X2503" i="16"/>
  <c r="Y2502" i="16"/>
  <c r="X2504" i="16"/>
  <c r="Y2503" i="16"/>
  <c r="X2505" i="16"/>
  <c r="Y2504" i="16"/>
  <c r="X2506" i="16"/>
  <c r="Y2505" i="16"/>
  <c r="X2507" i="16"/>
  <c r="Y2506" i="16"/>
  <c r="X2508" i="16"/>
  <c r="Y2507" i="16"/>
  <c r="Y2508" i="16"/>
  <c r="X2509" i="16"/>
  <c r="Y2509" i="16"/>
  <c r="X2510" i="16"/>
  <c r="X2511" i="16"/>
  <c r="Y2510" i="16"/>
  <c r="Y2511" i="16"/>
  <c r="X2512" i="16"/>
  <c r="Y2512" i="16"/>
  <c r="X2513" i="16"/>
  <c r="X2514" i="16"/>
  <c r="Y2513" i="16"/>
  <c r="X2515" i="16"/>
  <c r="Y2514" i="16"/>
  <c r="Y2515" i="16"/>
  <c r="X2516" i="16"/>
  <c r="Y2516" i="16"/>
  <c r="X2517" i="16"/>
  <c r="Y2517" i="16"/>
  <c r="X2518" i="16"/>
  <c r="Y2518" i="16"/>
  <c r="X2519" i="16"/>
  <c r="X2520" i="16"/>
  <c r="Y2519" i="16"/>
  <c r="X2521" i="16"/>
  <c r="Y2520" i="16"/>
  <c r="X2522" i="16"/>
  <c r="Y2521" i="16"/>
  <c r="X2523" i="16"/>
  <c r="Y2522" i="16"/>
  <c r="Y2523" i="16"/>
  <c r="X2524" i="16"/>
  <c r="Y2524" i="16"/>
  <c r="X2525" i="16"/>
  <c r="X2526" i="16"/>
  <c r="Y2525" i="16"/>
  <c r="Y2526" i="16"/>
  <c r="X2527" i="16"/>
  <c r="Y2527" i="16"/>
  <c r="X2528" i="16"/>
  <c r="X2529" i="16"/>
  <c r="Y2528" i="16"/>
  <c r="Y2529" i="16"/>
  <c r="X2530" i="16"/>
  <c r="X2531" i="16"/>
  <c r="Y2530" i="16"/>
  <c r="X2532" i="16"/>
  <c r="Y2531" i="16"/>
  <c r="Y2532" i="16"/>
  <c r="X2533" i="16"/>
  <c r="Y2533" i="16"/>
  <c r="X2534" i="16"/>
  <c r="Y2534" i="16"/>
  <c r="X2535" i="16"/>
  <c r="X2536" i="16"/>
  <c r="Y2535" i="16"/>
  <c r="X2537" i="16"/>
  <c r="Y2536" i="16"/>
  <c r="X2538" i="16"/>
  <c r="Y2537" i="16"/>
  <c r="Y2538" i="16"/>
  <c r="X2539" i="16"/>
  <c r="Y2539" i="16"/>
  <c r="X2540" i="16"/>
  <c r="X2541" i="16"/>
  <c r="Y2540" i="16"/>
  <c r="X2542" i="16"/>
  <c r="Y2541" i="16"/>
  <c r="Y2542" i="16"/>
  <c r="X2543" i="16"/>
  <c r="X2544" i="16"/>
  <c r="Y2543" i="16"/>
  <c r="X2545" i="16"/>
  <c r="Y2544" i="16"/>
  <c r="Y2545" i="16"/>
  <c r="X2546" i="16"/>
  <c r="Y2546" i="16"/>
  <c r="X2547" i="16"/>
  <c r="X2548" i="16"/>
  <c r="Y2547" i="16"/>
  <c r="Y2548" i="16"/>
  <c r="X2549" i="16"/>
  <c r="X2550" i="16"/>
  <c r="Y2549" i="16"/>
  <c r="X2551" i="16"/>
  <c r="Y2550" i="16"/>
  <c r="Y2551" i="16"/>
  <c r="X2552" i="16"/>
  <c r="Y2552" i="16"/>
  <c r="X2553" i="16"/>
  <c r="X2554" i="16"/>
  <c r="Y2553" i="16"/>
  <c r="X2555" i="16"/>
  <c r="Y2554" i="16"/>
  <c r="X2556" i="16"/>
  <c r="Y2555" i="16"/>
  <c r="X2557" i="16"/>
  <c r="Y2556" i="16"/>
  <c r="Y2557" i="16"/>
  <c r="X2558" i="16"/>
  <c r="Y2558" i="16"/>
  <c r="X2559" i="16"/>
  <c r="Y2559" i="16"/>
  <c r="X2560" i="16"/>
  <c r="Y2560" i="16"/>
  <c r="X2561" i="16"/>
  <c r="X2562" i="16"/>
  <c r="Y2561" i="16"/>
  <c r="X2563" i="16"/>
  <c r="Y2562" i="16"/>
  <c r="X2564" i="16"/>
  <c r="Y2563" i="16"/>
  <c r="Y2564" i="16"/>
  <c r="X2565" i="16"/>
  <c r="X2566" i="16"/>
  <c r="Y2565" i="16"/>
  <c r="Y2566" i="16"/>
  <c r="X2567" i="16"/>
  <c r="X2568" i="16"/>
  <c r="Y2567" i="16"/>
  <c r="Y2568" i="16"/>
  <c r="X2569" i="16"/>
  <c r="X2570" i="16"/>
  <c r="Y2569" i="16"/>
  <c r="X2571" i="16"/>
  <c r="Y2570" i="16"/>
  <c r="Y2571" i="16"/>
  <c r="X2572" i="16"/>
  <c r="Y2572" i="16"/>
  <c r="X2573" i="16"/>
  <c r="X2574" i="16"/>
  <c r="Y2573" i="16"/>
  <c r="Y2574" i="16"/>
  <c r="X2575" i="16"/>
  <c r="X2576" i="16"/>
  <c r="Y2575" i="16"/>
  <c r="Y2576" i="16"/>
  <c r="X2577" i="16"/>
  <c r="X2578" i="16"/>
  <c r="Y2577" i="16"/>
  <c r="X2579" i="16"/>
  <c r="Y2578" i="16"/>
  <c r="Y2579" i="16"/>
  <c r="X2580" i="16"/>
  <c r="Y2580" i="16"/>
  <c r="X2581" i="16"/>
  <c r="X2582" i="16"/>
  <c r="Y2581" i="16"/>
  <c r="Y2582" i="16"/>
  <c r="X2583" i="16"/>
  <c r="X2584" i="16"/>
  <c r="Y2583" i="16"/>
  <c r="Y2584" i="16"/>
  <c r="X2585" i="16"/>
  <c r="X2586" i="16"/>
  <c r="Y2585" i="16"/>
  <c r="X2587" i="16"/>
  <c r="Y2586" i="16"/>
  <c r="Y2587" i="16"/>
  <c r="X2588" i="16"/>
  <c r="Y2588" i="16"/>
  <c r="X2589" i="16"/>
  <c r="Y2589" i="16"/>
  <c r="X2590" i="16"/>
  <c r="X2591" i="16"/>
  <c r="Y2590" i="16"/>
  <c r="Y2591" i="16"/>
  <c r="X2592" i="16"/>
  <c r="X2593" i="16"/>
  <c r="Y2592" i="16"/>
  <c r="Y2593" i="16"/>
  <c r="X2594" i="16"/>
  <c r="X2595" i="16"/>
  <c r="Y2594" i="16"/>
  <c r="X2596" i="16"/>
  <c r="Y2595" i="16"/>
  <c r="Y2596" i="16"/>
  <c r="X2597" i="16"/>
  <c r="Y2597" i="16"/>
  <c r="X2598" i="16"/>
  <c r="Y2598" i="16"/>
  <c r="X2599" i="16"/>
  <c r="Y2599" i="16"/>
  <c r="X2600" i="16"/>
  <c r="Y2600" i="16"/>
  <c r="X2601" i="16"/>
  <c r="Y2601" i="16"/>
  <c r="X2602" i="16"/>
  <c r="X2603" i="16"/>
  <c r="Y2602" i="16"/>
  <c r="Y2603" i="16"/>
  <c r="X2604" i="16"/>
  <c r="X2605" i="16"/>
  <c r="Y2604" i="16"/>
  <c r="Y2605" i="16"/>
  <c r="X2606" i="16"/>
  <c r="X2607" i="16"/>
  <c r="Y2606" i="16"/>
  <c r="X2608" i="16"/>
  <c r="Y2607" i="16"/>
  <c r="X2609" i="16"/>
  <c r="Y2608" i="16"/>
  <c r="Y2609" i="16"/>
  <c r="X2610" i="16"/>
  <c r="Y2610" i="16"/>
  <c r="X2611" i="16"/>
  <c r="Y2611" i="16"/>
  <c r="X2612" i="16"/>
  <c r="Y2612" i="16"/>
  <c r="X2613" i="16"/>
  <c r="Y2613" i="16"/>
  <c r="X2614" i="16"/>
  <c r="Y2614" i="16"/>
  <c r="X2615" i="16"/>
  <c r="X2616" i="16"/>
  <c r="Y2615" i="16"/>
  <c r="X2617" i="16"/>
  <c r="Y2616" i="16"/>
  <c r="X2618" i="16"/>
  <c r="Y2617" i="16"/>
  <c r="X2619" i="16"/>
  <c r="Y2618" i="16"/>
  <c r="Y2619" i="16"/>
  <c r="X2620" i="16"/>
  <c r="X2621" i="16"/>
  <c r="Y2620" i="16"/>
  <c r="X2622" i="16"/>
  <c r="Y2621" i="16"/>
  <c r="Y2622" i="16"/>
  <c r="X2623" i="16"/>
  <c r="X2624" i="16"/>
  <c r="Y2623" i="16"/>
  <c r="Y2624" i="16"/>
  <c r="X2625" i="16"/>
  <c r="Y2625" i="16"/>
  <c r="X2626" i="16"/>
  <c r="Y2626" i="16"/>
  <c r="X2627" i="16"/>
  <c r="Y2627" i="16"/>
  <c r="X2628" i="16"/>
  <c r="Y2628" i="16"/>
  <c r="X2629" i="16"/>
  <c r="X2630" i="16"/>
  <c r="Y2629" i="16"/>
  <c r="Y2630" i="16"/>
  <c r="X2631" i="16"/>
  <c r="X2632" i="16"/>
  <c r="Y2631" i="16"/>
  <c r="Y2632" i="16"/>
  <c r="X2633" i="16"/>
  <c r="Y2633" i="16"/>
  <c r="X2634" i="16"/>
  <c r="X2635" i="16"/>
  <c r="Y2634" i="16"/>
  <c r="X2636" i="16"/>
  <c r="Y2635" i="16"/>
  <c r="Y2636" i="16"/>
  <c r="X2637" i="16"/>
  <c r="X2638" i="16"/>
  <c r="Y2637" i="16"/>
  <c r="Y2638" i="16"/>
  <c r="X2639" i="16"/>
  <c r="X2640" i="16"/>
  <c r="Y2639" i="16"/>
  <c r="X2641" i="16"/>
  <c r="Y2640" i="16"/>
  <c r="Y2641" i="16"/>
  <c r="X2642" i="16"/>
  <c r="Y2642" i="16"/>
  <c r="X2643" i="16"/>
  <c r="Y2643" i="16"/>
  <c r="X2644" i="16"/>
  <c r="X2645" i="16"/>
  <c r="Y2644" i="16"/>
  <c r="X2646" i="16"/>
  <c r="Y2645" i="16"/>
  <c r="X2647" i="16"/>
  <c r="Y2646" i="16"/>
  <c r="Y2647" i="16"/>
  <c r="X2648" i="16"/>
  <c r="X2649" i="16"/>
  <c r="Y2648" i="16"/>
  <c r="X2650" i="16"/>
  <c r="Y2649" i="16"/>
  <c r="X2651" i="16"/>
  <c r="Y2650" i="16"/>
  <c r="X2652" i="16"/>
  <c r="Y2651" i="16"/>
  <c r="X2653" i="16"/>
  <c r="Y2652" i="16"/>
  <c r="Y2653" i="16"/>
  <c r="X2654" i="16"/>
  <c r="Y2654" i="16"/>
  <c r="X2655" i="16"/>
  <c r="X2656" i="16"/>
  <c r="Y2655" i="16"/>
  <c r="X2657" i="16"/>
  <c r="Y2656" i="16"/>
  <c r="X2658" i="16"/>
  <c r="Y2657" i="16"/>
  <c r="X2659" i="16"/>
  <c r="Y2658" i="16"/>
  <c r="Y2659" i="16"/>
  <c r="X2660" i="16"/>
  <c r="Y2660" i="16"/>
  <c r="X2661" i="16"/>
  <c r="X2662" i="16"/>
  <c r="Y2661" i="16"/>
  <c r="X2663" i="16"/>
  <c r="Y2662" i="16"/>
  <c r="Y2663" i="16"/>
  <c r="X2664" i="16"/>
  <c r="Y2664" i="16"/>
  <c r="X2665" i="16"/>
  <c r="Y2665" i="16"/>
  <c r="X2666" i="16"/>
  <c r="X2667" i="16"/>
  <c r="Y2666" i="16"/>
  <c r="Y2667" i="16"/>
  <c r="X2668" i="16"/>
  <c r="Y2668" i="16"/>
  <c r="X2669" i="16"/>
  <c r="X2670" i="16"/>
  <c r="Y2669" i="16"/>
  <c r="X2671" i="16"/>
  <c r="Y2670" i="16"/>
  <c r="Y2671" i="16"/>
  <c r="X2672" i="16"/>
  <c r="X2673" i="16"/>
  <c r="Y2672" i="16"/>
  <c r="X2674" i="16"/>
  <c r="Y2673" i="16"/>
  <c r="Y2674" i="16"/>
  <c r="X2675" i="16"/>
  <c r="Y2675" i="16"/>
  <c r="X2676" i="16"/>
  <c r="X2677" i="16"/>
  <c r="Y2676" i="16"/>
  <c r="Y2677" i="16"/>
  <c r="X2678" i="16"/>
  <c r="Y2678" i="16"/>
  <c r="X2679" i="16"/>
  <c r="Y2679" i="16"/>
  <c r="X2680" i="16"/>
  <c r="Y2680" i="16"/>
  <c r="X2681" i="16"/>
  <c r="X2682" i="16"/>
  <c r="Y2681" i="16"/>
  <c r="Y2682" i="16"/>
  <c r="X2683" i="16"/>
  <c r="X2684" i="16"/>
  <c r="Y2683" i="16"/>
  <c r="Y2684" i="16"/>
  <c r="X2685" i="16"/>
  <c r="X2686" i="16"/>
  <c r="Y2685" i="16"/>
  <c r="Y2686" i="16"/>
  <c r="X2687" i="16"/>
  <c r="X2688" i="16"/>
  <c r="Y2687" i="16"/>
  <c r="X2689" i="16"/>
  <c r="Y2688" i="16"/>
  <c r="Y2689" i="16"/>
  <c r="X2690" i="16"/>
  <c r="X2691" i="16"/>
  <c r="Y2690" i="16"/>
  <c r="Y2691" i="16"/>
  <c r="X2692" i="16"/>
  <c r="X2693" i="16"/>
  <c r="Y2692" i="16"/>
  <c r="X2694" i="16"/>
  <c r="Y2693" i="16"/>
  <c r="X2695" i="16"/>
  <c r="Y2694" i="16"/>
  <c r="Y2695" i="16"/>
  <c r="X2696" i="16"/>
  <c r="Y2696" i="16"/>
  <c r="X2697" i="16"/>
  <c r="X2698" i="16"/>
  <c r="Y2697" i="16"/>
  <c r="X2699" i="16"/>
  <c r="Y2698" i="16"/>
  <c r="X2700" i="16"/>
  <c r="Y2699" i="16"/>
  <c r="Y2700" i="16"/>
  <c r="X2701" i="16"/>
  <c r="X2702" i="16"/>
  <c r="Y2701" i="16"/>
  <c r="Y2702" i="16"/>
  <c r="X2703" i="16"/>
  <c r="Y2703" i="16"/>
  <c r="X2704" i="16"/>
  <c r="Y2704" i="16"/>
  <c r="X2705" i="16"/>
  <c r="X2706" i="16"/>
  <c r="Y2705" i="16"/>
  <c r="X2707" i="16"/>
  <c r="Y2706" i="16"/>
  <c r="X2708" i="16"/>
  <c r="Y2707" i="16"/>
  <c r="X2709" i="16"/>
  <c r="Y2708" i="16"/>
  <c r="X2710" i="16"/>
  <c r="Y2709" i="16"/>
  <c r="Y2710" i="16"/>
  <c r="X2711" i="16"/>
  <c r="X2712" i="16"/>
  <c r="Y2711" i="16"/>
  <c r="X2713" i="16"/>
  <c r="Y2712" i="16"/>
  <c r="X2714" i="16"/>
  <c r="Y2713" i="16"/>
  <c r="Y2714" i="16"/>
  <c r="X2715" i="16"/>
  <c r="Y2715" i="16"/>
  <c r="X2716" i="16"/>
  <c r="Y2716" i="16"/>
  <c r="X2717" i="16"/>
  <c r="X2718" i="16"/>
  <c r="Y2717" i="16"/>
  <c r="X2719" i="16"/>
  <c r="Y2718" i="16"/>
  <c r="Y2719" i="16"/>
  <c r="X2720" i="16"/>
  <c r="Y2720" i="16"/>
  <c r="X2721" i="16"/>
  <c r="Y2721" i="16"/>
  <c r="X2722" i="16"/>
  <c r="X2723" i="16"/>
  <c r="Y2722" i="16"/>
  <c r="X2724" i="16"/>
  <c r="Y2723" i="16"/>
  <c r="Y2724" i="16"/>
  <c r="X2725" i="16"/>
  <c r="X2726" i="16"/>
  <c r="Y2725" i="16"/>
  <c r="Y2726" i="16"/>
  <c r="X2727" i="16"/>
  <c r="Y2727" i="16"/>
  <c r="X2728" i="16"/>
  <c r="Y2728" i="16"/>
  <c r="X2729" i="16"/>
  <c r="X2730" i="16"/>
  <c r="Y2729" i="16"/>
  <c r="X2731" i="16"/>
  <c r="Y2730" i="16"/>
  <c r="Y2731" i="16"/>
  <c r="X2732" i="16"/>
  <c r="Y2732" i="16"/>
  <c r="X2733" i="16"/>
  <c r="X2734" i="16"/>
  <c r="Y2733" i="16"/>
  <c r="Y2734" i="16"/>
  <c r="X2735" i="16"/>
  <c r="X2736" i="16"/>
  <c r="Y2735" i="16"/>
  <c r="Y2736" i="16"/>
  <c r="X2737" i="16"/>
  <c r="X2738" i="16"/>
  <c r="Y2737" i="16"/>
  <c r="Y2738" i="16"/>
  <c r="X2739" i="16"/>
  <c r="Y2739" i="16"/>
  <c r="X2740" i="16"/>
  <c r="X2741" i="16"/>
  <c r="Y2740" i="16"/>
  <c r="Y2741" i="16"/>
  <c r="X2742" i="16"/>
  <c r="Y2742" i="16"/>
  <c r="X2743" i="16"/>
  <c r="Y2743" i="16"/>
  <c r="X2744" i="16"/>
  <c r="X2745" i="16"/>
  <c r="Y2744" i="16"/>
  <c r="X2746" i="16"/>
  <c r="Y2745" i="16"/>
  <c r="Y2746" i="16"/>
  <c r="X2747" i="16"/>
  <c r="Y2747" i="16"/>
  <c r="X2748" i="16"/>
  <c r="X2749" i="16"/>
  <c r="Y2748" i="16"/>
  <c r="Y2749" i="16"/>
  <c r="X2750" i="16"/>
  <c r="X2751" i="16"/>
  <c r="Y2750" i="16"/>
  <c r="X2752" i="16"/>
  <c r="Y2751" i="16"/>
  <c r="Y2752" i="16"/>
  <c r="X2753" i="16"/>
  <c r="X2754" i="16"/>
  <c r="Y2753" i="16"/>
  <c r="X2755" i="16"/>
  <c r="Y2754" i="16"/>
  <c r="Y2755" i="16"/>
  <c r="X2756" i="16"/>
  <c r="X2757" i="16"/>
  <c r="Y2756" i="16"/>
  <c r="Y2757" i="16"/>
  <c r="X2758" i="16"/>
  <c r="Y2758" i="16"/>
  <c r="X2759" i="16"/>
  <c r="Y2759" i="16"/>
  <c r="X2760" i="16"/>
  <c r="Y2760" i="16"/>
  <c r="X2761" i="16"/>
  <c r="X2762" i="16"/>
  <c r="Y2761" i="16"/>
  <c r="Y2762" i="16"/>
  <c r="X2763" i="16"/>
  <c r="X2764" i="16"/>
  <c r="Y2763" i="16"/>
  <c r="Y2764" i="16"/>
  <c r="X2765" i="16"/>
  <c r="Y2765" i="16"/>
  <c r="X2766" i="16"/>
  <c r="X2767" i="16"/>
  <c r="Y2766" i="16"/>
  <c r="Y2767" i="16"/>
  <c r="X2768" i="16"/>
  <c r="X2769" i="16"/>
  <c r="Y2768" i="16"/>
  <c r="Y2769" i="16"/>
  <c r="X2770" i="16"/>
  <c r="Y2770" i="16"/>
  <c r="X2771" i="16"/>
  <c r="X2772" i="16"/>
  <c r="Y2771" i="16"/>
  <c r="X2773" i="16"/>
  <c r="Y2772" i="16"/>
  <c r="Y2773" i="16"/>
  <c r="X2774" i="16"/>
  <c r="X2775" i="16"/>
  <c r="Y2774" i="16"/>
  <c r="Y2775" i="16"/>
  <c r="X2776" i="16"/>
  <c r="Y2776" i="16"/>
  <c r="X2777" i="16"/>
  <c r="X2778" i="16"/>
  <c r="Y2777" i="16"/>
  <c r="Y2778" i="16"/>
  <c r="X2779" i="16"/>
  <c r="X2780" i="16"/>
  <c r="Y2779" i="16"/>
  <c r="Y2780" i="16"/>
  <c r="X2781" i="16"/>
  <c r="X2782" i="16"/>
  <c r="Y2781" i="16"/>
  <c r="Y2782" i="16"/>
  <c r="X2783" i="16"/>
  <c r="Y2783" i="16"/>
  <c r="X2784" i="16"/>
  <c r="Y2784" i="16"/>
  <c r="X2785" i="16"/>
  <c r="Y2785" i="16"/>
  <c r="X2786" i="16"/>
  <c r="X2787" i="16"/>
  <c r="Y2786" i="16"/>
  <c r="X2788" i="16"/>
  <c r="Y2787" i="16"/>
  <c r="Y2788" i="16"/>
  <c r="X2789" i="16"/>
  <c r="X2790" i="16"/>
  <c r="Y2789" i="16"/>
  <c r="Y2790" i="16"/>
  <c r="X2791" i="16"/>
  <c r="Y2791" i="16"/>
  <c r="X2792" i="16"/>
  <c r="Y2792" i="16"/>
  <c r="X2793" i="16"/>
  <c r="X2794" i="16"/>
  <c r="Y2793" i="16"/>
  <c r="X2795" i="16"/>
  <c r="Y2794" i="16"/>
  <c r="Y2795" i="16"/>
  <c r="X2796" i="16"/>
  <c r="X2797" i="16"/>
  <c r="Y2796" i="16"/>
  <c r="Y2797" i="16"/>
  <c r="X2798" i="16"/>
  <c r="X2799" i="16"/>
  <c r="Y2798" i="16"/>
  <c r="Y2799" i="16"/>
  <c r="X2800" i="16"/>
  <c r="Y2800" i="16"/>
  <c r="X2801" i="16"/>
  <c r="X2802" i="16"/>
  <c r="Y2801" i="16"/>
  <c r="X2803" i="16"/>
  <c r="Y2802" i="16"/>
  <c r="Y2803" i="16"/>
  <c r="X2804" i="16"/>
  <c r="X2805" i="16"/>
  <c r="Y2804" i="16"/>
  <c r="Y2805" i="16"/>
  <c r="X2806" i="16"/>
  <c r="Y2806" i="16"/>
  <c r="X2807" i="16"/>
  <c r="Y2807" i="16"/>
  <c r="X2808" i="16"/>
  <c r="Y2808" i="16"/>
  <c r="X2809" i="16"/>
  <c r="Y2809" i="16"/>
  <c r="X2810" i="16"/>
  <c r="Y2810" i="16"/>
  <c r="X2811" i="16"/>
  <c r="Y2811" i="16"/>
  <c r="X2812" i="16"/>
  <c r="X2813" i="16"/>
  <c r="Y2812" i="16"/>
  <c r="Y2813" i="16"/>
  <c r="X2814" i="16"/>
  <c r="X2815" i="16"/>
  <c r="Y2814" i="16"/>
  <c r="Y2815" i="16"/>
  <c r="X2816" i="16"/>
  <c r="X2817" i="16"/>
  <c r="Y2816" i="16"/>
  <c r="Y2817" i="16"/>
  <c r="X2818" i="16"/>
  <c r="X2819" i="16"/>
  <c r="Y2818" i="16"/>
  <c r="X2820" i="16"/>
  <c r="Y2819" i="16"/>
  <c r="Y2820" i="16"/>
  <c r="X2821" i="16"/>
  <c r="Y2821" i="16"/>
  <c r="X2822" i="16"/>
  <c r="Y2822" i="16"/>
  <c r="X2823" i="16"/>
  <c r="Y2823" i="16"/>
  <c r="X2824" i="16"/>
  <c r="X2825" i="16"/>
  <c r="Y2824" i="16"/>
  <c r="Y2825" i="16"/>
  <c r="X2826" i="16"/>
  <c r="Y2826" i="16"/>
  <c r="X2827" i="16"/>
  <c r="Y2827" i="16"/>
  <c r="X2828" i="16"/>
  <c r="X2829" i="16"/>
  <c r="Y2828" i="16"/>
  <c r="X2830" i="16"/>
  <c r="Y2829" i="16"/>
  <c r="Y2830" i="16"/>
  <c r="X2831" i="16"/>
  <c r="X2832" i="16"/>
  <c r="Y2831" i="16"/>
  <c r="X2833" i="16"/>
  <c r="Y2832" i="16"/>
  <c r="X2834" i="16"/>
  <c r="Y2833" i="16"/>
  <c r="X2835" i="16"/>
  <c r="Y2834" i="16"/>
  <c r="Y2835" i="16"/>
  <c r="X2836" i="16"/>
  <c r="X2837" i="16"/>
  <c r="Y2836" i="16"/>
  <c r="Y2837" i="16"/>
  <c r="X2838" i="16"/>
  <c r="Y2838" i="16"/>
  <c r="X2839" i="16"/>
  <c r="Y2839" i="16"/>
  <c r="X2840" i="16"/>
  <c r="X2841" i="16"/>
  <c r="Y2840" i="16"/>
  <c r="X2842" i="16"/>
  <c r="Y2841" i="16"/>
  <c r="X2843" i="16"/>
  <c r="Y2842" i="16"/>
  <c r="X2844" i="16"/>
  <c r="Y2843" i="16"/>
  <c r="X2845" i="16"/>
  <c r="Y2844" i="16"/>
  <c r="X2846" i="16"/>
  <c r="Y2845" i="16"/>
  <c r="X2847" i="16"/>
  <c r="Y2846" i="16"/>
  <c r="X2848" i="16"/>
  <c r="Y2847" i="16"/>
  <c r="Y2848" i="16"/>
  <c r="X2849" i="16"/>
  <c r="Y2849" i="16"/>
  <c r="X2850" i="16"/>
  <c r="X2851" i="16"/>
  <c r="Y2850" i="16"/>
  <c r="X2852" i="16"/>
  <c r="Y2851" i="16"/>
  <c r="X2853" i="16"/>
  <c r="Y2852" i="16"/>
  <c r="X2854" i="16"/>
  <c r="Y2853" i="16"/>
  <c r="X2855" i="16"/>
  <c r="Y2854" i="16"/>
  <c r="Y2855" i="16"/>
  <c r="X2856" i="16"/>
  <c r="X2857" i="16"/>
  <c r="Y2856" i="16"/>
  <c r="Y2857" i="16"/>
  <c r="X2858" i="16"/>
  <c r="Y2858" i="16"/>
  <c r="X2859" i="16"/>
  <c r="Y2859" i="16"/>
  <c r="X2860" i="16"/>
  <c r="X2861" i="16"/>
  <c r="Y2860" i="16"/>
  <c r="Y2861" i="16"/>
  <c r="X2862" i="16"/>
  <c r="X2863" i="16"/>
  <c r="Y2862" i="16"/>
  <c r="Y2863" i="16"/>
  <c r="X2864" i="16"/>
  <c r="Y2864" i="16"/>
  <c r="X2865" i="16"/>
  <c r="Y2865" i="16"/>
  <c r="X2866" i="16"/>
  <c r="Y2866" i="16"/>
  <c r="X2867" i="16"/>
  <c r="X2868" i="16"/>
  <c r="Y2867" i="16"/>
  <c r="Y2868" i="16"/>
  <c r="X2869" i="16"/>
  <c r="Y2869" i="16"/>
  <c r="X2870" i="16"/>
  <c r="Y2870" i="16"/>
  <c r="X2871" i="16"/>
  <c r="X2872" i="16"/>
  <c r="Y2871" i="16"/>
  <c r="X2873" i="16"/>
  <c r="Y2872" i="16"/>
  <c r="X2874" i="16"/>
  <c r="Y2873" i="16"/>
  <c r="Y2874" i="16"/>
  <c r="X2875" i="16"/>
  <c r="X2876" i="16"/>
  <c r="Y2875" i="16"/>
  <c r="Y2876" i="16"/>
  <c r="X2877" i="16"/>
  <c r="Y2877" i="16"/>
  <c r="X2878" i="16"/>
  <c r="Y2878" i="16"/>
  <c r="X2879" i="16"/>
  <c r="Y2879" i="16"/>
  <c r="X2880" i="16"/>
  <c r="X2881" i="16"/>
  <c r="Y2880" i="16"/>
  <c r="Y2881" i="16"/>
  <c r="X2882" i="16"/>
  <c r="Y2882" i="16"/>
  <c r="X2883" i="16"/>
  <c r="X2884" i="16"/>
  <c r="Y2883" i="16"/>
  <c r="X2885" i="16"/>
  <c r="Y2884" i="16"/>
  <c r="Y2885" i="16"/>
  <c r="X2886" i="16"/>
  <c r="X2887" i="16"/>
  <c r="Y2886" i="16"/>
  <c r="Y2887" i="16"/>
  <c r="X2888" i="16"/>
  <c r="Y2888" i="16"/>
  <c r="X2889" i="16"/>
  <c r="X2890" i="16"/>
  <c r="Y2889" i="16"/>
  <c r="Y2890" i="16"/>
  <c r="X2891" i="16"/>
  <c r="X2892" i="16"/>
  <c r="Y2891" i="16"/>
  <c r="X2893" i="16"/>
  <c r="Y2892" i="16"/>
  <c r="X2894" i="16"/>
  <c r="Y2893" i="16"/>
  <c r="X2895" i="16"/>
  <c r="Y2894" i="16"/>
  <c r="Y2895" i="16"/>
  <c r="X2896" i="16"/>
  <c r="Y2896" i="16"/>
  <c r="X2897" i="16"/>
  <c r="X2898" i="16"/>
  <c r="Y2897" i="16"/>
  <c r="X2899" i="16"/>
  <c r="Y2898" i="16"/>
  <c r="X2900" i="16"/>
  <c r="Y2899" i="16"/>
  <c r="Y2900" i="16"/>
  <c r="X2901" i="16"/>
  <c r="X2902" i="16"/>
  <c r="Y2901" i="16"/>
  <c r="X2903" i="16"/>
  <c r="Y2902" i="16"/>
  <c r="X2904" i="16"/>
  <c r="Y2903" i="16"/>
  <c r="X2905" i="16"/>
  <c r="Y2904" i="16"/>
  <c r="Y2905" i="16"/>
  <c r="X2906" i="16"/>
  <c r="X2907" i="16"/>
  <c r="Y2906" i="16"/>
  <c r="X2908" i="16"/>
  <c r="Y2907" i="16"/>
  <c r="X2909" i="16"/>
  <c r="Y2908" i="16"/>
  <c r="X2910" i="16"/>
  <c r="Y2909" i="16"/>
  <c r="X2911" i="16"/>
  <c r="Y2910" i="16"/>
  <c r="Y2911" i="16"/>
  <c r="X2912" i="16"/>
  <c r="X2913" i="16"/>
  <c r="Y2912" i="16"/>
  <c r="Y2913" i="16"/>
  <c r="X2914" i="16"/>
  <c r="X2915" i="16"/>
  <c r="Y2914" i="16"/>
  <c r="Y2915" i="16"/>
  <c r="X2916" i="16"/>
  <c r="X2917" i="16"/>
  <c r="Y2916" i="16"/>
  <c r="Y2917" i="16"/>
  <c r="X2918" i="16"/>
  <c r="Y2918" i="16"/>
  <c r="X2919" i="16"/>
  <c r="X2920" i="16"/>
  <c r="Y2919" i="16"/>
  <c r="Y2920" i="16"/>
  <c r="X2921" i="16"/>
  <c r="X2922" i="16"/>
  <c r="Y2921" i="16"/>
  <c r="X2923" i="16"/>
  <c r="Y2922" i="16"/>
  <c r="Y2923" i="16"/>
  <c r="X2924" i="16"/>
  <c r="Y2924" i="16"/>
  <c r="X2925" i="16"/>
  <c r="Y2925" i="16"/>
  <c r="X2926" i="16"/>
  <c r="X2927" i="16"/>
  <c r="Y2926" i="16"/>
  <c r="Y2927" i="16"/>
  <c r="X2928" i="16"/>
  <c r="X2929" i="16"/>
  <c r="Y2928" i="16"/>
  <c r="Y2929" i="16"/>
  <c r="X2930" i="16"/>
  <c r="Y2930" i="16"/>
  <c r="X2931" i="16"/>
  <c r="Y2931" i="16"/>
  <c r="X2932" i="16"/>
  <c r="X2933" i="16"/>
  <c r="Y2932" i="16"/>
  <c r="X2934" i="16"/>
  <c r="Y2933" i="16"/>
  <c r="X2935" i="16"/>
  <c r="Y2934" i="16"/>
  <c r="X2936" i="16"/>
  <c r="Y2935" i="16"/>
  <c r="X2937" i="16"/>
  <c r="Y2936" i="16"/>
  <c r="X2938" i="16"/>
  <c r="Y2937" i="16"/>
  <c r="X2939" i="16"/>
  <c r="Y2938" i="16"/>
  <c r="X2940" i="16"/>
  <c r="Y2939" i="16"/>
  <c r="X2941" i="16"/>
  <c r="Y2940" i="16"/>
  <c r="Y2941" i="16"/>
  <c r="X2942" i="16"/>
  <c r="X2943" i="16"/>
  <c r="Y2942" i="16"/>
  <c r="Y2943" i="16"/>
  <c r="X2944" i="16"/>
  <c r="Y2944" i="16"/>
  <c r="X2945" i="16"/>
  <c r="Y2945" i="16"/>
  <c r="X2946" i="16"/>
  <c r="X2947" i="16"/>
  <c r="Y2946" i="16"/>
  <c r="Y2947" i="16"/>
  <c r="X2948" i="16"/>
  <c r="Y2948" i="16"/>
  <c r="X2949" i="16"/>
  <c r="Y2949" i="16"/>
  <c r="X2950" i="16"/>
  <c r="Y2950" i="16"/>
  <c r="X2951" i="16"/>
  <c r="X2952" i="16"/>
  <c r="Y2951" i="16"/>
  <c r="Y2952" i="16"/>
  <c r="X2953" i="16"/>
  <c r="X2954" i="16"/>
  <c r="Y2953" i="16"/>
  <c r="Y2954" i="16"/>
  <c r="X2955" i="16"/>
  <c r="X2956" i="16"/>
  <c r="Y2955" i="16"/>
  <c r="X2957" i="16"/>
  <c r="Y2956" i="16"/>
  <c r="X2958" i="16"/>
  <c r="Y2957" i="16"/>
  <c r="Y2958" i="16"/>
  <c r="X2959" i="16"/>
  <c r="X2960" i="16"/>
  <c r="Y2959" i="16"/>
  <c r="Y2960" i="16"/>
  <c r="X2961" i="16"/>
  <c r="Y2961" i="16"/>
  <c r="X2962" i="16"/>
  <c r="X2963" i="16"/>
  <c r="Y2962" i="16"/>
  <c r="Y2963" i="16"/>
  <c r="X2964" i="16"/>
  <c r="Y2964" i="16"/>
  <c r="X2965" i="16"/>
  <c r="Y2965" i="16"/>
  <c r="X2966" i="16"/>
  <c r="X2967" i="16"/>
  <c r="Y2966" i="16"/>
  <c r="X2968" i="16"/>
  <c r="Y2967" i="16"/>
  <c r="X2969" i="16"/>
  <c r="Y2968" i="16"/>
  <c r="Y2969" i="16"/>
  <c r="X2970" i="16"/>
  <c r="Y2970" i="16"/>
  <c r="X2971" i="16"/>
  <c r="Y2971" i="16"/>
  <c r="X2972" i="16"/>
  <c r="Y2972" i="16"/>
  <c r="X2973" i="16"/>
  <c r="X2974" i="16"/>
  <c r="Y2973" i="16"/>
  <c r="Y2974" i="16"/>
  <c r="X2975" i="16"/>
  <c r="X2976" i="16"/>
  <c r="Y2975" i="16"/>
  <c r="X2977" i="16"/>
  <c r="Y2976" i="16"/>
  <c r="X2978" i="16"/>
  <c r="Y2977" i="16"/>
  <c r="Y2978" i="16"/>
  <c r="X2979" i="16"/>
  <c r="X2980" i="16"/>
  <c r="Y2979" i="16"/>
  <c r="Y2980" i="16"/>
  <c r="X2981" i="16"/>
  <c r="X2982" i="16"/>
  <c r="Y2981" i="16"/>
  <c r="X2983" i="16"/>
  <c r="Y2982" i="16"/>
  <c r="X2984" i="16"/>
  <c r="Y2983" i="16"/>
  <c r="X2985" i="16"/>
  <c r="Y2984" i="16"/>
  <c r="X2986" i="16"/>
  <c r="Y2985" i="16"/>
  <c r="X2987" i="16"/>
  <c r="Y2986" i="16"/>
  <c r="Y2987" i="16"/>
  <c r="X2988" i="16"/>
  <c r="Y2988" i="16"/>
  <c r="X2989" i="16"/>
  <c r="X2990" i="16"/>
  <c r="Y2989" i="16"/>
  <c r="X2991" i="16"/>
  <c r="Y2990" i="16"/>
  <c r="X2992" i="16"/>
  <c r="Y2991" i="16"/>
  <c r="Y2992" i="16"/>
  <c r="X2993" i="16"/>
  <c r="X2994" i="16"/>
  <c r="Y2993" i="16"/>
  <c r="Y2994" i="16"/>
  <c r="X2995" i="16"/>
  <c r="X2996" i="16"/>
  <c r="Y2995" i="16"/>
  <c r="Y2996" i="16"/>
  <c r="X2997" i="16"/>
  <c r="X2998" i="16"/>
  <c r="Y2997" i="16"/>
  <c r="Y2998" i="16"/>
  <c r="X2999" i="16"/>
  <c r="X3000" i="16"/>
  <c r="Y2999" i="16"/>
  <c r="Y3000" i="16"/>
  <c r="X3001" i="16"/>
  <c r="X3002" i="16"/>
  <c r="Y3001" i="16"/>
  <c r="X3003" i="16"/>
  <c r="Y3002" i="16"/>
  <c r="Y3003" i="16"/>
  <c r="X3004" i="16"/>
  <c r="X3005" i="16"/>
  <c r="Y3004" i="16"/>
  <c r="Y3005" i="16"/>
  <c r="X3006" i="16"/>
  <c r="X3007" i="16"/>
  <c r="Y3006" i="16"/>
  <c r="X3008" i="16"/>
  <c r="Y3007" i="16"/>
  <c r="X3009" i="16"/>
  <c r="Y3008" i="16"/>
  <c r="X3010" i="16"/>
  <c r="Y3009" i="16"/>
  <c r="Y3010" i="16"/>
  <c r="X3011" i="16"/>
  <c r="Y3011" i="16"/>
  <c r="X3012" i="16"/>
  <c r="Y3012" i="16"/>
  <c r="X3013" i="16"/>
  <c r="X3014" i="16"/>
  <c r="Y3013" i="16"/>
  <c r="Y3014" i="16"/>
  <c r="X3015" i="16"/>
  <c r="Y3015" i="16"/>
  <c r="X3016" i="16"/>
  <c r="X3017" i="16"/>
  <c r="Y3016" i="16"/>
  <c r="Y3017" i="16"/>
  <c r="X3018" i="16"/>
  <c r="Y3018" i="16"/>
  <c r="X3019" i="16"/>
  <c r="Y3019" i="16"/>
  <c r="X3020" i="16"/>
  <c r="Y3020" i="16"/>
  <c r="X3021" i="16"/>
  <c r="Y3021" i="16"/>
  <c r="X3022" i="16"/>
  <c r="Y3022" i="16"/>
  <c r="X3023" i="16"/>
  <c r="X3024" i="16"/>
  <c r="Y3023" i="16"/>
  <c r="X3025" i="16"/>
  <c r="Y3024" i="16"/>
  <c r="Y3025" i="16"/>
  <c r="X3026" i="16"/>
  <c r="Y3026" i="16"/>
  <c r="X3027" i="16"/>
  <c r="Y3027" i="16"/>
  <c r="X3028" i="16"/>
  <c r="X3029" i="16"/>
  <c r="Y3028" i="16"/>
  <c r="X3030" i="16"/>
  <c r="Y3029" i="16"/>
  <c r="Y3030" i="16"/>
  <c r="X3031" i="16"/>
  <c r="Y3031" i="16"/>
  <c r="X3032" i="16"/>
  <c r="Y3032" i="16"/>
  <c r="X3033" i="16"/>
  <c r="Y3033" i="16"/>
  <c r="X3034" i="16"/>
  <c r="Y3034" i="16"/>
  <c r="X3035" i="16"/>
  <c r="Y3035" i="16"/>
  <c r="X3036" i="16"/>
  <c r="Y3036" i="16"/>
  <c r="X3037" i="16"/>
  <c r="Y3037" i="16"/>
  <c r="X3038" i="16"/>
  <c r="X3039" i="16"/>
  <c r="Y3038" i="16"/>
  <c r="Y3039" i="16"/>
  <c r="X3040" i="16"/>
  <c r="X3041" i="16"/>
  <c r="Y3040" i="16"/>
  <c r="X3042" i="16"/>
  <c r="Y3041" i="16"/>
  <c r="Y3042" i="16"/>
  <c r="X3043" i="16"/>
  <c r="X3044" i="16"/>
  <c r="Y3043" i="16"/>
  <c r="Y3044" i="16"/>
  <c r="X3045" i="16"/>
  <c r="X3046" i="16"/>
  <c r="Y3045" i="16"/>
  <c r="X3047" i="16"/>
  <c r="Y3046" i="16"/>
  <c r="Y3047" i="16"/>
  <c r="X3048" i="16"/>
  <c r="X3049" i="16"/>
  <c r="Y3048" i="16"/>
  <c r="Y3049" i="16"/>
  <c r="X3050" i="16"/>
  <c r="X3051" i="16"/>
  <c r="Y3050" i="16"/>
  <c r="X3052" i="16"/>
  <c r="Y3051" i="16"/>
  <c r="Y3052" i="16"/>
  <c r="X3053" i="16"/>
  <c r="X3054" i="16"/>
  <c r="Y3053" i="16"/>
  <c r="Y3054" i="16"/>
  <c r="X3055" i="16"/>
  <c r="Y3055" i="16"/>
  <c r="X3056" i="16"/>
  <c r="Y3056" i="16"/>
  <c r="X3057" i="16"/>
  <c r="X3058" i="16"/>
  <c r="Y3057" i="16"/>
  <c r="Y3058" i="16"/>
  <c r="X3059" i="16"/>
  <c r="Y3059" i="16"/>
  <c r="X3060" i="16"/>
  <c r="X3061" i="16"/>
  <c r="Y3060" i="16"/>
  <c r="Y3061" i="16"/>
  <c r="X3062" i="16"/>
  <c r="Y3062" i="16"/>
  <c r="X3063" i="16"/>
  <c r="X3064" i="16"/>
  <c r="Y3063" i="16"/>
  <c r="Y3064" i="16"/>
  <c r="X3065" i="16"/>
  <c r="X3066" i="16"/>
  <c r="Y3065" i="16"/>
  <c r="Y3066" i="16"/>
  <c r="X3067" i="16"/>
  <c r="X3068" i="16"/>
  <c r="Y3067" i="16"/>
  <c r="X3069" i="16"/>
  <c r="Y3068" i="16"/>
  <c r="X3070" i="16"/>
  <c r="Y3069" i="16"/>
  <c r="X3071" i="16"/>
  <c r="Y3070" i="16"/>
  <c r="Y3071" i="16"/>
  <c r="X3072" i="16"/>
  <c r="Y3072" i="16"/>
  <c r="X3073" i="16"/>
  <c r="X3074" i="16"/>
  <c r="Y3073" i="16"/>
  <c r="Y3074" i="16"/>
  <c r="X3075" i="16"/>
  <c r="Y3075" i="16"/>
  <c r="X3076" i="16"/>
  <c r="Y3076" i="16"/>
  <c r="X3077" i="16"/>
  <c r="X3078" i="16"/>
  <c r="Y3077" i="16"/>
  <c r="Y3078" i="16"/>
  <c r="X3079" i="16"/>
  <c r="Y3079" i="16"/>
  <c r="X3080" i="16"/>
  <c r="Y3080" i="16"/>
  <c r="X3081" i="16"/>
  <c r="Y3081" i="16"/>
  <c r="X3082" i="16"/>
  <c r="Y3082" i="16"/>
  <c r="X3083" i="16"/>
  <c r="X3084" i="16"/>
  <c r="Y3083" i="16"/>
  <c r="X3085" i="16"/>
  <c r="Y3084" i="16"/>
  <c r="Y3085" i="16"/>
  <c r="X3086" i="16"/>
  <c r="Y3086" i="16"/>
  <c r="X3087" i="16"/>
  <c r="Y3087" i="16"/>
  <c r="X3088" i="16"/>
  <c r="X3089" i="16"/>
  <c r="Y3088" i="16"/>
  <c r="X3090" i="16"/>
  <c r="Y3089" i="16"/>
  <c r="Y3090" i="16"/>
  <c r="X3091" i="16"/>
  <c r="Y3091" i="16"/>
  <c r="X3092" i="16"/>
  <c r="Y3092" i="16"/>
  <c r="X3093" i="16"/>
  <c r="Y3093" i="16"/>
  <c r="X3094" i="16"/>
  <c r="Y3094" i="16"/>
  <c r="X3095" i="16"/>
  <c r="X3096" i="16"/>
  <c r="Y3095" i="16"/>
  <c r="Y3096" i="16"/>
  <c r="X3097" i="16"/>
  <c r="X3098" i="16"/>
  <c r="Y3097" i="16"/>
  <c r="Y3098" i="16"/>
  <c r="X3099" i="16"/>
  <c r="X3100" i="16"/>
  <c r="Y3099" i="16"/>
  <c r="X3101" i="16"/>
  <c r="Y3100" i="16"/>
  <c r="X3102" i="16"/>
  <c r="Y3101" i="16"/>
  <c r="Y3102" i="16"/>
  <c r="X3103" i="16"/>
  <c r="X3104" i="16"/>
  <c r="Y3103" i="16"/>
  <c r="X3105" i="16"/>
  <c r="Y3104" i="16"/>
  <c r="X3106" i="16"/>
  <c r="Y3105" i="16"/>
  <c r="Y3106" i="16"/>
  <c r="X3107" i="16"/>
  <c r="X3108" i="16"/>
  <c r="Y3107" i="16"/>
  <c r="X3109" i="16"/>
  <c r="Y3108" i="16"/>
  <c r="Y3109" i="16"/>
  <c r="X3110" i="16"/>
  <c r="Y3110" i="16"/>
  <c r="X3111" i="16"/>
  <c r="X3112" i="16"/>
  <c r="Y3111" i="16"/>
  <c r="X3113" i="16"/>
  <c r="Y3112" i="16"/>
  <c r="X3114" i="16"/>
  <c r="Y3113" i="16"/>
  <c r="X3115" i="16"/>
  <c r="Y3114" i="16"/>
  <c r="X3116" i="16"/>
  <c r="Y3115" i="16"/>
  <c r="Y3116" i="16"/>
  <c r="X3117" i="16"/>
  <c r="Y3117" i="16"/>
  <c r="X3118" i="16"/>
  <c r="X3119" i="16"/>
  <c r="Y3118" i="16"/>
  <c r="X3120" i="16"/>
  <c r="Y3119" i="16"/>
  <c r="Y3120" i="16"/>
  <c r="X3121" i="16"/>
  <c r="Y3121" i="16"/>
  <c r="X3122" i="16"/>
  <c r="Y3122" i="16"/>
  <c r="X3123" i="16"/>
  <c r="Y3123" i="16"/>
  <c r="X3124" i="16"/>
  <c r="X3125" i="16"/>
  <c r="Y3124" i="16"/>
  <c r="Y3125" i="16"/>
  <c r="X3126" i="16"/>
  <c r="Y3126" i="16"/>
  <c r="X3127" i="16"/>
  <c r="X3128" i="16"/>
  <c r="Y3127" i="16"/>
  <c r="Y3128" i="16"/>
  <c r="X3129" i="16"/>
  <c r="X3130" i="16"/>
  <c r="Y3129" i="16"/>
  <c r="X3131" i="16"/>
  <c r="Y3130" i="16"/>
  <c r="Y3131" i="16"/>
  <c r="X3132" i="16"/>
  <c r="X3133" i="16"/>
  <c r="Y3132" i="16"/>
  <c r="Y3133" i="16"/>
  <c r="X3134" i="16"/>
  <c r="Y3134" i="16"/>
  <c r="X3135" i="16"/>
  <c r="Y3135" i="16"/>
  <c r="X3136" i="16"/>
  <c r="X3137" i="16"/>
  <c r="Y3136" i="16"/>
  <c r="X3138" i="16"/>
  <c r="Y3137" i="16"/>
  <c r="Y3138" i="16"/>
  <c r="X3139" i="16"/>
  <c r="Y3139" i="16"/>
  <c r="X3140" i="16"/>
  <c r="Y3140" i="16"/>
  <c r="X3141" i="16"/>
  <c r="Y3141" i="16"/>
  <c r="X3142" i="16"/>
  <c r="Y3142" i="16"/>
  <c r="X3143" i="16"/>
  <c r="X3144" i="16"/>
  <c r="Y3143" i="16"/>
  <c r="X3145" i="16"/>
  <c r="Y3144" i="16"/>
  <c r="X3146" i="16"/>
  <c r="Y3145" i="16"/>
  <c r="Y3146" i="16"/>
  <c r="X3147" i="16"/>
  <c r="Y3147" i="16"/>
  <c r="X3148" i="16"/>
  <c r="Y3148" i="16"/>
  <c r="X3149" i="16"/>
  <c r="Y3149" i="16"/>
  <c r="X3150" i="16"/>
  <c r="X3151" i="16"/>
  <c r="Y3150" i="16"/>
  <c r="Y3151" i="16"/>
  <c r="X3152" i="16"/>
  <c r="X3153" i="16"/>
  <c r="Y3152" i="16"/>
  <c r="X3154" i="16"/>
  <c r="Y3153" i="16"/>
  <c r="Y3154" i="16"/>
  <c r="X3155" i="16"/>
  <c r="X3156" i="16"/>
  <c r="Y3155" i="16"/>
  <c r="X3157" i="16"/>
  <c r="Y3156" i="16"/>
  <c r="Y3157" i="16"/>
  <c r="X3158" i="16"/>
  <c r="X3159" i="16"/>
  <c r="Y3158" i="16"/>
  <c r="X3160" i="16"/>
  <c r="Y3159" i="16"/>
  <c r="X3161" i="16"/>
  <c r="Y3160" i="16"/>
  <c r="Y3161" i="16"/>
  <c r="X3162" i="16"/>
  <c r="Y3162" i="16"/>
  <c r="X3163" i="16"/>
  <c r="Y3163" i="16"/>
  <c r="X3164" i="16"/>
  <c r="X3165" i="16"/>
  <c r="Y3164" i="16"/>
  <c r="Y3165" i="16"/>
  <c r="X3166" i="16"/>
  <c r="X3167" i="16"/>
  <c r="Y3166" i="16"/>
  <c r="Y3167" i="16"/>
  <c r="X3168" i="16"/>
  <c r="Y3168" i="16"/>
  <c r="X3169" i="16"/>
  <c r="Y3169" i="16"/>
  <c r="X3170" i="16"/>
  <c r="Y3170" i="16"/>
  <c r="X3171" i="16"/>
  <c r="X3172" i="16"/>
  <c r="Y3171" i="16"/>
  <c r="X3173" i="16"/>
  <c r="Y3172" i="16"/>
  <c r="Y3173" i="16"/>
  <c r="X3174" i="16"/>
  <c r="Y3174" i="16"/>
  <c r="X3175" i="16"/>
  <c r="X3176" i="16"/>
  <c r="Y3175" i="16"/>
  <c r="X3177" i="16"/>
  <c r="Y3176" i="16"/>
  <c r="X3178" i="16"/>
  <c r="Y3177" i="16"/>
  <c r="Y3178" i="16"/>
  <c r="X3179" i="16"/>
  <c r="X3180" i="16"/>
  <c r="Y3179" i="16"/>
  <c r="Y3180" i="16"/>
  <c r="X3181" i="16"/>
  <c r="X3182" i="16"/>
  <c r="Y3181" i="16"/>
  <c r="Y3182" i="16"/>
  <c r="X3183" i="16"/>
  <c r="Y3183" i="16"/>
  <c r="X3184" i="16"/>
  <c r="Y3184" i="16"/>
  <c r="X3185" i="16"/>
  <c r="Y3185" i="16"/>
  <c r="X3186" i="16"/>
  <c r="X3187" i="16"/>
  <c r="Y3186" i="16"/>
  <c r="Y3187" i="16"/>
  <c r="X3188" i="16"/>
  <c r="Y3188" i="16"/>
  <c r="X3189" i="16"/>
  <c r="Y3189" i="16"/>
  <c r="X3190" i="16"/>
  <c r="Y3190" i="16"/>
  <c r="X3191" i="16"/>
  <c r="Y3191" i="16"/>
  <c r="X3192" i="16"/>
  <c r="X3193" i="16"/>
  <c r="Y3192" i="16"/>
  <c r="X3194" i="16"/>
  <c r="Y3193" i="16"/>
  <c r="X3195" i="16"/>
  <c r="Y3194" i="16"/>
  <c r="X3196" i="16"/>
  <c r="Y3195" i="16"/>
  <c r="X3197" i="16"/>
  <c r="Y3196" i="16"/>
  <c r="X3198" i="16"/>
  <c r="Y3197" i="16"/>
  <c r="Y3198" i="16"/>
  <c r="X3199" i="16"/>
  <c r="Y3199" i="16"/>
  <c r="X3200" i="16"/>
  <c r="Y3200" i="16"/>
  <c r="X3201" i="16"/>
  <c r="X3202" i="16"/>
  <c r="Y3201" i="16"/>
  <c r="X3203" i="16"/>
  <c r="Y3202" i="16"/>
  <c r="Y3203" i="16"/>
  <c r="X3204" i="16"/>
  <c r="X3205" i="16"/>
  <c r="Y3204" i="16"/>
  <c r="X3206" i="16"/>
  <c r="Y3205" i="16"/>
  <c r="X3207" i="16"/>
  <c r="Y3206" i="16"/>
  <c r="X3208" i="16"/>
  <c r="Y3207" i="16"/>
  <c r="X3209" i="16"/>
  <c r="Y3208" i="16"/>
  <c r="Y3209" i="16"/>
  <c r="X3210" i="16"/>
  <c r="Y3210" i="16"/>
  <c r="X3211" i="16"/>
  <c r="X3212" i="16"/>
  <c r="Y3211" i="16"/>
  <c r="Y3212" i="16"/>
  <c r="X3213" i="16"/>
  <c r="X3214" i="16"/>
  <c r="Y3213" i="16"/>
  <c r="X3215" i="16"/>
  <c r="Y3214" i="16"/>
  <c r="Y3215" i="16"/>
  <c r="X3216" i="16"/>
  <c r="Y3216" i="16"/>
  <c r="X3217" i="16"/>
  <c r="X3218" i="16"/>
  <c r="Y3217" i="16"/>
  <c r="Y3218" i="16"/>
  <c r="X3219" i="16"/>
  <c r="Y3219" i="16"/>
  <c r="X3220" i="16"/>
  <c r="Y3220" i="16"/>
  <c r="X3221" i="16"/>
  <c r="X3222" i="16"/>
  <c r="Y3221" i="16"/>
  <c r="Y3222" i="16"/>
  <c r="X3223" i="16"/>
  <c r="X3224" i="16"/>
  <c r="Y3223" i="16"/>
  <c r="Y3224" i="16"/>
  <c r="X3225" i="16"/>
  <c r="X3226" i="16"/>
  <c r="Y3225" i="16"/>
  <c r="X3227" i="16"/>
  <c r="Y3226" i="16"/>
  <c r="Y3227" i="16"/>
  <c r="X3228" i="16"/>
  <c r="X3229" i="16"/>
  <c r="Y3228" i="16"/>
  <c r="X3230" i="16"/>
  <c r="Y3229" i="16"/>
  <c r="Y3230" i="16"/>
  <c r="X3231" i="16"/>
  <c r="Y3231" i="16"/>
  <c r="X3232" i="16"/>
  <c r="X3233" i="16"/>
  <c r="Y3232" i="16"/>
  <c r="Y3233" i="16"/>
  <c r="X3234" i="16"/>
  <c r="X3235" i="16"/>
  <c r="Y3234" i="16"/>
  <c r="Y3235" i="16"/>
  <c r="X3236" i="16"/>
  <c r="X3237" i="16"/>
  <c r="Y3236" i="16"/>
  <c r="X3238" i="16"/>
  <c r="Y3237" i="16"/>
  <c r="Y3238" i="16"/>
  <c r="X3239" i="16"/>
  <c r="Y3239" i="16"/>
  <c r="X3240" i="16"/>
  <c r="Y3240" i="16"/>
  <c r="X3241" i="16"/>
  <c r="X3242" i="16"/>
  <c r="Y3241" i="16"/>
  <c r="X3243" i="16"/>
  <c r="Y3242" i="16"/>
  <c r="X3244" i="16"/>
  <c r="Y3243" i="16"/>
  <c r="X3245" i="16"/>
  <c r="Y3244" i="16"/>
  <c r="X3246" i="16"/>
  <c r="Y3245" i="16"/>
  <c r="X3247" i="16"/>
  <c r="Y3246" i="16"/>
  <c r="X3248" i="16"/>
  <c r="Y3247" i="16"/>
  <c r="Y3248" i="16"/>
  <c r="X3249" i="16"/>
  <c r="Y3249" i="16"/>
  <c r="X3250" i="16"/>
  <c r="Y3250" i="16"/>
  <c r="X3251" i="16"/>
  <c r="X3252" i="16"/>
  <c r="Y3251" i="16"/>
  <c r="X3253" i="16"/>
  <c r="Y3252" i="16"/>
  <c r="Y3253" i="16"/>
  <c r="X3254" i="16"/>
  <c r="X3255" i="16"/>
  <c r="Y3254" i="16"/>
  <c r="Y3255" i="16"/>
  <c r="X3256" i="16"/>
  <c r="Y3256" i="16"/>
  <c r="X3257" i="16"/>
  <c r="X3258" i="16"/>
  <c r="Y3257" i="16"/>
  <c r="X3259" i="16"/>
  <c r="Y3258" i="16"/>
  <c r="Y3259" i="16"/>
  <c r="X3260" i="16"/>
  <c r="X3261" i="16"/>
  <c r="Y3260" i="16"/>
  <c r="X3262" i="16"/>
  <c r="Y3261" i="16"/>
  <c r="X3263" i="16"/>
  <c r="Y3262" i="16"/>
  <c r="Y3263" i="16"/>
  <c r="X3264" i="16"/>
  <c r="Y3264" i="16"/>
  <c r="X3265" i="16"/>
  <c r="X3266" i="16"/>
  <c r="Y3265" i="16"/>
  <c r="Y3266" i="16"/>
  <c r="X3267" i="16"/>
  <c r="X3268" i="16"/>
  <c r="Y3267" i="16"/>
  <c r="X3269" i="16"/>
  <c r="Y3268" i="16"/>
  <c r="Y3269" i="16"/>
  <c r="X3270" i="16"/>
  <c r="X3271" i="16"/>
  <c r="Y3270" i="16"/>
  <c r="Y3271" i="16"/>
  <c r="X3272" i="16"/>
  <c r="Y3272" i="16"/>
  <c r="X3273" i="16"/>
  <c r="X3274" i="16"/>
  <c r="Y3273" i="16"/>
  <c r="X3275" i="16"/>
  <c r="Y3274" i="16"/>
  <c r="X3276" i="16"/>
  <c r="Y3275" i="16"/>
  <c r="Y3276" i="16"/>
  <c r="X3277" i="16"/>
  <c r="Y3277" i="16"/>
  <c r="X3278" i="16"/>
  <c r="X3279" i="16"/>
  <c r="Y3278" i="16"/>
  <c r="Y3279" i="16"/>
  <c r="X3280" i="16"/>
  <c r="Y3280" i="16"/>
  <c r="X3281" i="16"/>
  <c r="X3282" i="16"/>
  <c r="Y3281" i="16"/>
  <c r="Y3282" i="16"/>
  <c r="X3283" i="16"/>
  <c r="X3284" i="16"/>
  <c r="Y3283" i="16"/>
  <c r="Y3284" i="16"/>
  <c r="X3285" i="16"/>
  <c r="X3286" i="16"/>
  <c r="Y3285" i="16"/>
  <c r="X3287" i="16"/>
  <c r="Y3286" i="16"/>
  <c r="Y3287" i="16"/>
  <c r="X3288" i="16"/>
  <c r="Y3288" i="16"/>
  <c r="X3289" i="16"/>
  <c r="Y3289" i="16"/>
  <c r="X3290" i="16"/>
  <c r="Y3290" i="16"/>
  <c r="X3291" i="16"/>
  <c r="Y3291" i="16"/>
  <c r="X3292" i="16"/>
  <c r="Y3292" i="16"/>
  <c r="X3293" i="16"/>
  <c r="Y3293" i="16"/>
  <c r="X3294" i="16"/>
  <c r="Y3294" i="16"/>
  <c r="X3295" i="16"/>
  <c r="X3296" i="16"/>
  <c r="Y3295" i="16"/>
  <c r="X3297" i="16"/>
  <c r="Y3296" i="16"/>
  <c r="Y3297" i="16"/>
  <c r="X3298" i="16"/>
  <c r="X3299" i="16"/>
  <c r="Y3298" i="16"/>
  <c r="X3300" i="16"/>
  <c r="Y3299" i="16"/>
  <c r="Y3300" i="16"/>
  <c r="X3301" i="16"/>
  <c r="X3302" i="16"/>
  <c r="Y3301" i="16"/>
  <c r="X3303" i="16"/>
  <c r="Y3302" i="16"/>
  <c r="Y3303" i="16"/>
  <c r="X3304" i="16"/>
  <c r="Y3304" i="16"/>
  <c r="X3305" i="16"/>
  <c r="X3306" i="16"/>
  <c r="Y3305" i="16"/>
  <c r="X3307" i="16"/>
  <c r="Y3306" i="16"/>
  <c r="X3308" i="16"/>
  <c r="Y3307" i="16"/>
  <c r="Y3308" i="16"/>
  <c r="X3309" i="16"/>
  <c r="X3310" i="16"/>
  <c r="Y3309" i="16"/>
  <c r="Y3310" i="16"/>
  <c r="X3311" i="16"/>
  <c r="X3312" i="16"/>
  <c r="Y3311" i="16"/>
  <c r="Y3312" i="16"/>
  <c r="X3313" i="16"/>
  <c r="X3314" i="16"/>
  <c r="Y3313" i="16"/>
  <c r="X3315" i="16"/>
  <c r="Y3314" i="16"/>
  <c r="Y3315" i="16"/>
  <c r="X3316" i="16"/>
  <c r="Y3316" i="16"/>
  <c r="X3317" i="16"/>
  <c r="Y3317" i="16"/>
  <c r="X3318" i="16"/>
  <c r="X3319" i="16"/>
  <c r="Y3318" i="16"/>
  <c r="X3320" i="16"/>
  <c r="Y3319" i="16"/>
  <c r="Y3320" i="16"/>
  <c r="X3321" i="16"/>
  <c r="X3322" i="16"/>
  <c r="Y3321" i="16"/>
  <c r="Y3322" i="16"/>
  <c r="X3323" i="16"/>
  <c r="Y3323" i="16"/>
  <c r="X3324" i="16"/>
  <c r="X3325" i="16"/>
  <c r="Y3324" i="16"/>
  <c r="Y3325" i="16"/>
  <c r="X3326" i="16"/>
  <c r="X3327" i="16"/>
  <c r="Y3326" i="16"/>
  <c r="X3328" i="16"/>
  <c r="Y3327" i="16"/>
  <c r="Y3328" i="16"/>
  <c r="X3329" i="16"/>
  <c r="Y3329" i="16"/>
  <c r="X3330" i="16"/>
  <c r="X3331" i="16"/>
  <c r="Y3330" i="16"/>
  <c r="X3332" i="16"/>
  <c r="Y3331" i="16"/>
  <c r="Y3332" i="16"/>
  <c r="X3333" i="16"/>
  <c r="X3334" i="16"/>
  <c r="Y3333" i="16"/>
  <c r="Y3334" i="16"/>
  <c r="X3335" i="16"/>
  <c r="X3336" i="16"/>
  <c r="Y3335" i="16"/>
  <c r="X3337" i="16"/>
  <c r="Y3336" i="16"/>
  <c r="Y3337" i="16"/>
  <c r="X3338" i="16"/>
  <c r="Y3338" i="16"/>
  <c r="X3339" i="16"/>
  <c r="Y3339" i="16"/>
  <c r="X3340" i="16"/>
  <c r="X3341" i="16"/>
  <c r="Y3340" i="16"/>
  <c r="X3342" i="16"/>
  <c r="Y3341" i="16"/>
  <c r="Y3342" i="16"/>
  <c r="X3343" i="16"/>
  <c r="Y3343" i="16"/>
  <c r="X3344" i="16"/>
  <c r="Y3344" i="16"/>
  <c r="X3345" i="16"/>
  <c r="X3346" i="16"/>
  <c r="Y3345" i="16"/>
  <c r="Y3346" i="16"/>
  <c r="X3347" i="16"/>
  <c r="Y3347" i="16"/>
  <c r="X3348" i="16"/>
  <c r="Y3348" i="16"/>
  <c r="X3349" i="16"/>
  <c r="X3350" i="16"/>
  <c r="Y3349" i="16"/>
  <c r="Y3350" i="16"/>
  <c r="X3351" i="16"/>
  <c r="Y3351" i="16"/>
  <c r="X3352" i="16"/>
  <c r="X3353" i="16"/>
  <c r="Y3352" i="16"/>
  <c r="Y3353" i="16"/>
  <c r="X3354" i="16"/>
  <c r="X3355" i="16"/>
  <c r="Y3354" i="16"/>
  <c r="Y3355" i="16"/>
  <c r="X3356" i="16"/>
  <c r="Y3356" i="16"/>
  <c r="X3357" i="16"/>
  <c r="Y3357" i="16"/>
  <c r="X3358" i="16"/>
  <c r="X3359" i="16"/>
  <c r="Y3358" i="16"/>
  <c r="X3360" i="16"/>
  <c r="Y3359" i="16"/>
  <c r="Y3360" i="16"/>
  <c r="X3361" i="16"/>
  <c r="Y3361" i="16"/>
  <c r="X3362" i="16"/>
  <c r="X3363" i="16"/>
  <c r="Y3362" i="16"/>
  <c r="Y3363" i="16"/>
  <c r="X3364" i="16"/>
  <c r="Y3364" i="16"/>
  <c r="X3365" i="16"/>
  <c r="Y3365" i="16"/>
  <c r="X3366" i="16"/>
  <c r="X3367" i="16"/>
  <c r="Y3366" i="16"/>
  <c r="X3368" i="16"/>
  <c r="Y3367" i="16"/>
  <c r="X3369" i="16"/>
  <c r="Y3368" i="16"/>
  <c r="X3370" i="16"/>
  <c r="Y3369" i="16"/>
  <c r="Y3370" i="16"/>
  <c r="X3371" i="16"/>
  <c r="X3372" i="16"/>
  <c r="Y3371" i="16"/>
  <c r="X3373" i="16"/>
  <c r="Y3372" i="16"/>
  <c r="Y3373" i="16"/>
  <c r="X3374" i="16"/>
  <c r="X3375" i="16"/>
  <c r="Y3374" i="16"/>
  <c r="X3376" i="16"/>
  <c r="Y3375" i="16"/>
  <c r="Y3376" i="16"/>
  <c r="X3377" i="16"/>
  <c r="X3378" i="16"/>
  <c r="Y3377" i="16"/>
  <c r="X3379" i="16"/>
  <c r="Y3378" i="16"/>
  <c r="Y3379" i="16"/>
  <c r="X3380" i="16"/>
  <c r="Y3380" i="16"/>
  <c r="X3381" i="16"/>
  <c r="Y3381" i="16"/>
  <c r="X3382" i="16"/>
  <c r="Y3382" i="16"/>
  <c r="X3383" i="16"/>
  <c r="X3384" i="16"/>
  <c r="Y3383" i="16"/>
  <c r="Y3384" i="16"/>
  <c r="X3385" i="16"/>
  <c r="Y3385" i="16"/>
  <c r="X3386" i="16"/>
  <c r="Y3386" i="16"/>
  <c r="X3387" i="16"/>
  <c r="Y3387" i="16"/>
  <c r="X3388" i="16"/>
  <c r="X3389" i="16"/>
  <c r="Y3388" i="16"/>
  <c r="Y3389" i="16"/>
  <c r="X3390" i="16"/>
  <c r="X3391" i="16"/>
  <c r="Y3390" i="16"/>
  <c r="Y3391" i="16"/>
  <c r="X3392" i="16"/>
  <c r="Y3392" i="16"/>
  <c r="X3393" i="16"/>
  <c r="X3394" i="16"/>
  <c r="Y3393" i="16"/>
  <c r="Y3394" i="16"/>
  <c r="X3395" i="16"/>
  <c r="X3396" i="16"/>
  <c r="Y3395" i="16"/>
  <c r="X3397" i="16"/>
  <c r="Y3396" i="16"/>
  <c r="Y3397" i="16"/>
  <c r="X3398" i="16"/>
  <c r="X3399" i="16"/>
  <c r="Y3398" i="16"/>
  <c r="X3400" i="16"/>
  <c r="Y3399" i="16"/>
  <c r="X3401" i="16"/>
  <c r="Y3400" i="16"/>
  <c r="X3402" i="16"/>
  <c r="Y3401" i="16"/>
  <c r="Y3402" i="16"/>
  <c r="X3403" i="16"/>
  <c r="X3404" i="16"/>
  <c r="Y3403" i="16"/>
  <c r="X3405" i="16"/>
  <c r="Y3404" i="16"/>
  <c r="X3406" i="16"/>
  <c r="Y3405" i="16"/>
  <c r="Y3406" i="16"/>
  <c r="X3407" i="16"/>
  <c r="Y3407" i="16"/>
  <c r="X3408" i="16"/>
  <c r="X3409" i="16"/>
  <c r="Y3408" i="16"/>
  <c r="Y3409" i="16"/>
  <c r="X3410" i="16"/>
  <c r="Y3410" i="16"/>
  <c r="X3411" i="16"/>
  <c r="X3412" i="16"/>
  <c r="Y3411" i="16"/>
  <c r="X3413" i="16"/>
  <c r="Y3412" i="16"/>
  <c r="Y3413" i="16"/>
  <c r="X3414" i="16"/>
  <c r="Y3414" i="16"/>
  <c r="X3415" i="16"/>
  <c r="X3416" i="16"/>
  <c r="Y3415" i="16"/>
  <c r="X3417" i="16"/>
  <c r="Y3416" i="16"/>
  <c r="Y3417" i="16"/>
  <c r="X3418" i="16"/>
  <c r="X3419" i="16"/>
  <c r="Y3418" i="16"/>
  <c r="X3420" i="16"/>
  <c r="Y3419" i="16"/>
  <c r="Y3420" i="16"/>
  <c r="X3421" i="16"/>
  <c r="X3422" i="16"/>
  <c r="Y3421" i="16"/>
  <c r="X3423" i="16"/>
  <c r="Y3422" i="16"/>
  <c r="X3424" i="16"/>
  <c r="Y3423" i="16"/>
  <c r="X3425" i="16"/>
  <c r="Y3424" i="16"/>
  <c r="Y3425" i="16"/>
  <c r="X3426" i="16"/>
  <c r="X3427" i="16"/>
  <c r="Y3426" i="16"/>
  <c r="Y3427" i="16"/>
  <c r="X3428" i="16"/>
  <c r="X3429" i="16"/>
  <c r="Y3428" i="16"/>
  <c r="X3430" i="16"/>
  <c r="Y3429" i="16"/>
  <c r="X3431" i="16"/>
  <c r="Y3430" i="16"/>
  <c r="X3432" i="16"/>
  <c r="Y3431" i="16"/>
  <c r="X3433" i="16"/>
  <c r="Y3432" i="16"/>
  <c r="X3434" i="16"/>
  <c r="Y3433" i="16"/>
  <c r="Y3434" i="16"/>
  <c r="X3435" i="16"/>
  <c r="Y3435" i="16"/>
  <c r="X3436" i="16"/>
  <c r="X3437" i="16"/>
  <c r="Y3436" i="16"/>
  <c r="Y3437" i="16"/>
  <c r="X3438" i="16"/>
  <c r="Y3438" i="16"/>
  <c r="X3439" i="16"/>
  <c r="X3440" i="16"/>
  <c r="Y3439" i="16"/>
  <c r="X3441" i="16"/>
  <c r="Y3440" i="16"/>
  <c r="X3442" i="16"/>
  <c r="Y3441" i="16"/>
  <c r="Y3442" i="16"/>
  <c r="X3443" i="16"/>
  <c r="X3444" i="16"/>
  <c r="Y3443" i="16"/>
  <c r="Y3444" i="16"/>
  <c r="X3445" i="16"/>
  <c r="X3446" i="16"/>
  <c r="Y3445" i="16"/>
  <c r="X3447" i="16"/>
  <c r="Y3446" i="16"/>
  <c r="X3448" i="16"/>
  <c r="Y3447" i="16"/>
  <c r="X3449" i="16"/>
  <c r="Y3448" i="16"/>
  <c r="Y3449" i="16"/>
  <c r="X3450" i="16"/>
  <c r="X3451" i="16"/>
  <c r="Y3450" i="16"/>
  <c r="Y3451" i="16"/>
  <c r="X3452" i="16"/>
  <c r="Y3452" i="16"/>
  <c r="X3453" i="16"/>
  <c r="Y3453" i="16"/>
  <c r="X3454" i="16"/>
  <c r="X3455" i="16"/>
  <c r="Y3454" i="16"/>
  <c r="X3456" i="16"/>
  <c r="Y3455" i="16"/>
  <c r="Y3456" i="16"/>
  <c r="X3457" i="16"/>
  <c r="Y3457" i="16"/>
  <c r="X3458" i="16"/>
  <c r="Y3458" i="16"/>
  <c r="X3459" i="16"/>
  <c r="Y3459" i="16"/>
  <c r="X3460" i="16"/>
  <c r="Y3460" i="16"/>
  <c r="X3461" i="16"/>
  <c r="X3462" i="16"/>
  <c r="Y3461" i="16"/>
  <c r="X3463" i="16"/>
  <c r="Y3462" i="16"/>
  <c r="X3464" i="16"/>
  <c r="Y3463" i="16"/>
  <c r="X3465" i="16"/>
  <c r="Y3464" i="16"/>
  <c r="Y3465" i="16"/>
  <c r="X3466" i="16"/>
  <c r="X3467" i="16"/>
  <c r="Y3466" i="16"/>
  <c r="Y3467" i="16"/>
  <c r="X3468" i="16"/>
  <c r="Y3468" i="16"/>
  <c r="X3469" i="16"/>
  <c r="Y3469" i="16"/>
  <c r="X3470" i="16"/>
  <c r="Y3470" i="16"/>
  <c r="X3471" i="16"/>
  <c r="Y3471" i="16"/>
  <c r="X3472" i="16"/>
  <c r="X3473" i="16"/>
  <c r="Y3472" i="16"/>
  <c r="X3474" i="16"/>
  <c r="Y3473" i="16"/>
  <c r="X3475" i="16"/>
  <c r="Y3474" i="16"/>
  <c r="X3476" i="16"/>
  <c r="Y3475" i="16"/>
  <c r="X3477" i="16"/>
  <c r="Y3476" i="16"/>
  <c r="X3478" i="16"/>
  <c r="Y3477" i="16"/>
  <c r="X3479" i="16"/>
  <c r="Y3478" i="16"/>
  <c r="X3480" i="16"/>
  <c r="Y3479" i="16"/>
  <c r="X3481" i="16"/>
  <c r="Y3480" i="16"/>
  <c r="X3482" i="16"/>
  <c r="Y3481" i="16"/>
  <c r="Y3482" i="16"/>
  <c r="X3483" i="16"/>
  <c r="X3484" i="16"/>
  <c r="Y3483" i="16"/>
  <c r="Y3484" i="16"/>
  <c r="X3485" i="16"/>
  <c r="Y3485" i="16"/>
  <c r="X3486" i="16"/>
  <c r="Y3486" i="16"/>
  <c r="X3487" i="16"/>
  <c r="X3488" i="16"/>
  <c r="Y3487" i="16"/>
  <c r="X3489" i="16"/>
  <c r="Y3488" i="16"/>
  <c r="Y3489" i="16"/>
  <c r="X3490" i="16"/>
  <c r="X3491" i="16"/>
  <c r="Y3490" i="16"/>
  <c r="X3492" i="16"/>
  <c r="Y3491" i="16"/>
  <c r="X3493" i="16"/>
  <c r="Y3492" i="16"/>
  <c r="Y3493" i="16"/>
  <c r="X3494" i="16"/>
  <c r="X3495" i="16"/>
  <c r="Y3494" i="16"/>
  <c r="Y3495" i="16"/>
  <c r="X3496" i="16"/>
  <c r="Y3496" i="16"/>
  <c r="X3497" i="16"/>
  <c r="X3498" i="16"/>
  <c r="Y3497" i="16"/>
  <c r="X3499" i="16"/>
  <c r="Y3498" i="16"/>
  <c r="X3500" i="16"/>
  <c r="Y3499" i="16"/>
  <c r="X3501" i="16"/>
  <c r="Y3500" i="16"/>
  <c r="Y3501" i="16"/>
  <c r="X3502" i="16"/>
  <c r="X3503" i="16"/>
  <c r="Y3502" i="16"/>
  <c r="X3504" i="16"/>
  <c r="Y3503" i="16"/>
  <c r="Y3504" i="16"/>
  <c r="X3505" i="16"/>
  <c r="Y3505" i="16"/>
  <c r="X3506" i="16"/>
  <c r="Y3506" i="16"/>
  <c r="X3507" i="16"/>
  <c r="Y3507" i="16"/>
  <c r="X3508" i="16"/>
  <c r="Y3508" i="16"/>
  <c r="X3509" i="16"/>
  <c r="X3510" i="16"/>
  <c r="Y3509" i="16"/>
  <c r="X3511" i="16"/>
  <c r="Y3510" i="16"/>
  <c r="X3512" i="16"/>
  <c r="Y3511" i="16"/>
  <c r="Y3512" i="16"/>
  <c r="X3513" i="16"/>
  <c r="Y3513" i="16"/>
  <c r="X3514" i="16"/>
  <c r="Y3514" i="16"/>
  <c r="X3515" i="16"/>
  <c r="X3516" i="16"/>
  <c r="Y3515" i="16"/>
  <c r="X3517" i="16"/>
  <c r="Y3516" i="16"/>
  <c r="X3518" i="16"/>
  <c r="Y3517" i="16"/>
  <c r="Y3518" i="16"/>
  <c r="X3519" i="16"/>
  <c r="X3520" i="16"/>
  <c r="Y3519" i="16"/>
  <c r="Y3520" i="16"/>
  <c r="X3521" i="16"/>
  <c r="Y3521" i="16"/>
  <c r="X3522" i="16"/>
  <c r="Y3522" i="16"/>
  <c r="X3523" i="16"/>
  <c r="Y3523" i="16"/>
  <c r="X3524" i="16"/>
  <c r="Y3524" i="16"/>
  <c r="X3525" i="16"/>
  <c r="X3526" i="16"/>
  <c r="Y3525" i="16"/>
  <c r="X3527" i="16"/>
  <c r="Y3526" i="16"/>
  <c r="Y3527" i="16"/>
  <c r="X3528" i="16"/>
  <c r="Y3528" i="16"/>
  <c r="X3529" i="16"/>
  <c r="X3530" i="16"/>
  <c r="Y3529" i="16"/>
  <c r="X3531" i="16"/>
  <c r="Y3530" i="16"/>
  <c r="X3532" i="16"/>
  <c r="Y3531" i="16"/>
  <c r="Y3532" i="16"/>
  <c r="X3533" i="16"/>
  <c r="Y3533" i="16"/>
  <c r="X3534" i="16"/>
  <c r="Y3534" i="16"/>
  <c r="X3535" i="16"/>
  <c r="X3536" i="16"/>
  <c r="Y3535" i="16"/>
  <c r="Y3536" i="16"/>
  <c r="X3537" i="16"/>
  <c r="Y3537" i="16"/>
  <c r="X3538" i="16"/>
  <c r="Y3538" i="16"/>
  <c r="X3539" i="16"/>
  <c r="Y3539" i="16"/>
  <c r="X3540" i="16"/>
  <c r="X3541" i="16"/>
  <c r="Y3540" i="16"/>
  <c r="Y3541" i="16"/>
  <c r="X3542" i="16"/>
  <c r="Y3542" i="16"/>
  <c r="X3543" i="16"/>
  <c r="Y3543" i="16"/>
  <c r="X3544" i="16"/>
  <c r="X3545" i="16"/>
  <c r="Y3544" i="16"/>
  <c r="X3546" i="16"/>
  <c r="Y3545" i="16"/>
  <c r="Y3546" i="16"/>
  <c r="X3547" i="16"/>
  <c r="X3548" i="16"/>
  <c r="Y3547" i="16"/>
  <c r="X3549" i="16"/>
  <c r="Y3548" i="16"/>
  <c r="X3550" i="16"/>
  <c r="Y3549" i="16"/>
  <c r="X3551" i="16"/>
  <c r="Y3550" i="16"/>
  <c r="X3552" i="16"/>
  <c r="Y3551" i="16"/>
  <c r="E11" i="5" l="1"/>
  <c r="E12" i="5"/>
  <c r="P24" i="5"/>
  <c r="E9" i="5"/>
  <c r="E14" i="5"/>
  <c r="E13" i="5"/>
  <c r="E10" i="5"/>
  <c r="E3" i="5"/>
  <c r="E6" i="5"/>
  <c r="E4" i="5"/>
  <c r="E7" i="5"/>
  <c r="E2" i="5"/>
  <c r="E8" i="5"/>
  <c r="E5" i="5"/>
  <c r="D7" i="6"/>
  <c r="D8" i="6"/>
  <c r="D20" i="6"/>
  <c r="D9" i="5"/>
  <c r="D10" i="5"/>
  <c r="D11" i="5"/>
  <c r="D12" i="5"/>
  <c r="D13" i="5"/>
  <c r="D6" i="6"/>
  <c r="Y3552" i="16"/>
  <c r="K3" i="7"/>
  <c r="K2" i="7"/>
  <c r="F3" i="5"/>
  <c r="K5" i="7"/>
  <c r="F8" i="5"/>
  <c r="Y34" i="16"/>
  <c r="F7" i="5"/>
  <c r="F2" i="5"/>
  <c r="K4" i="7"/>
  <c r="K7" i="7"/>
  <c r="D21" i="5" a="1"/>
  <c r="F4" i="5"/>
  <c r="K8" i="7"/>
  <c r="F5" i="5"/>
  <c r="L14" i="5"/>
  <c r="F14" i="5"/>
  <c r="G14" i="5"/>
  <c r="F6" i="5"/>
  <c r="K6" i="7"/>
  <c r="B1" i="6"/>
  <c r="K9" i="7"/>
  <c r="D9" i="6" l="1"/>
  <c r="D16" i="6"/>
  <c r="C22" i="5"/>
  <c r="C21" i="5"/>
  <c r="D22" i="5"/>
  <c r="D21" i="5"/>
  <c r="C23" i="5"/>
  <c r="D23" i="5"/>
  <c r="C24" i="5" l="1"/>
  <c r="D24" i="5"/>
  <c r="F12" i="5"/>
  <c r="R24" i="5"/>
  <c r="G3" i="5"/>
  <c r="M13" i="5"/>
  <c r="H23" i="5"/>
  <c r="L10" i="5"/>
  <c r="G6" i="5"/>
  <c r="M23" i="5"/>
  <c r="F13" i="5"/>
  <c r="F11" i="5"/>
  <c r="F9" i="5"/>
  <c r="L4" i="5"/>
  <c r="M12" i="5"/>
  <c r="M21" i="5"/>
  <c r="Q24" i="5"/>
  <c r="G9" i="5"/>
  <c r="G13" i="5"/>
  <c r="G12" i="5"/>
  <c r="F10" i="5"/>
  <c r="G4" i="5"/>
  <c r="H22" i="5"/>
  <c r="G10" i="5"/>
  <c r="L23" i="5"/>
  <c r="G5" i="5"/>
  <c r="G22" i="5"/>
  <c r="G21" i="5"/>
  <c r="L6" i="5"/>
  <c r="M7" i="5"/>
  <c r="M5" i="5"/>
  <c r="L12" i="5"/>
  <c r="G2" i="5"/>
  <c r="M22" i="5"/>
  <c r="L22" i="5"/>
  <c r="L13" i="5"/>
  <c r="G7" i="5"/>
  <c r="G23" i="5"/>
  <c r="L9" i="5"/>
  <c r="M6" i="5"/>
  <c r="M2" i="5"/>
  <c r="G8" i="5"/>
  <c r="M8" i="5"/>
  <c r="L11" i="5"/>
  <c r="M3" i="5"/>
  <c r="H21" i="5"/>
  <c r="L7" i="5"/>
  <c r="M11" i="5"/>
  <c r="L8" i="5"/>
  <c r="G11" i="5"/>
  <c r="L5" i="5"/>
  <c r="M10" i="5"/>
  <c r="L2" i="5"/>
  <c r="L21" i="5"/>
  <c r="M4" i="5"/>
  <c r="M9" i="5"/>
  <c r="L3" i="5"/>
  <c r="P22" i="5" l="1"/>
  <c r="P23" i="5"/>
  <c r="P21" i="5"/>
  <c r="C25" i="5"/>
  <c r="D25" i="5"/>
  <c r="M19" i="16" a="1"/>
  <c r="L24" i="5"/>
  <c r="M24" i="5"/>
  <c r="Q22" i="5"/>
  <c r="H24" i="5"/>
  <c r="R22" i="5"/>
  <c r="Q23" i="5"/>
  <c r="Q21" i="5"/>
  <c r="R23" i="5"/>
  <c r="R21" i="5"/>
  <c r="C26" i="5" l="1"/>
  <c r="D26" i="5"/>
  <c r="M26" i="16"/>
  <c r="M27" i="16"/>
  <c r="M19" i="16"/>
  <c r="M23" i="16"/>
  <c r="M30" i="16"/>
  <c r="M25" i="16"/>
  <c r="M22" i="16"/>
  <c r="M21" i="16"/>
  <c r="M28" i="16"/>
  <c r="M29" i="16"/>
  <c r="M20" i="16"/>
  <c r="M24" i="16"/>
  <c r="N26" i="16"/>
  <c r="O26" i="16"/>
  <c r="P26" i="16"/>
  <c r="N27" i="16"/>
  <c r="O27" i="16"/>
  <c r="P27" i="16"/>
  <c r="N19" i="16"/>
  <c r="P23" i="16"/>
  <c r="N23" i="16"/>
  <c r="O23" i="16"/>
  <c r="G25" i="5"/>
  <c r="P29" i="16"/>
  <c r="N29" i="16"/>
  <c r="O29" i="16"/>
  <c r="N30" i="16"/>
  <c r="O30" i="16"/>
  <c r="P30" i="16"/>
  <c r="M25" i="5"/>
  <c r="N25" i="16"/>
  <c r="O25" i="16"/>
  <c r="P25" i="16"/>
  <c r="O22" i="16"/>
  <c r="P22" i="16"/>
  <c r="N22" i="16"/>
  <c r="N21" i="16"/>
  <c r="O21" i="16"/>
  <c r="P21" i="16"/>
  <c r="P20" i="16"/>
  <c r="N20" i="16"/>
  <c r="O20" i="16"/>
  <c r="O28" i="16"/>
  <c r="P28" i="16"/>
  <c r="N28" i="16"/>
  <c r="L25" i="5"/>
  <c r="N24" i="16"/>
  <c r="O24" i="16"/>
  <c r="P24" i="16"/>
  <c r="H25" i="5"/>
  <c r="P25" i="5" l="1"/>
  <c r="C27" i="5"/>
  <c r="D27" i="5"/>
  <c r="M26" i="5"/>
  <c r="H26" i="5"/>
  <c r="L26" i="5"/>
  <c r="Q25" i="5"/>
  <c r="G26" i="5"/>
  <c r="R25" i="5"/>
  <c r="P26" i="5" l="1"/>
  <c r="C28" i="5"/>
  <c r="D28" i="5"/>
  <c r="M27" i="5"/>
  <c r="H27" i="5"/>
  <c r="R26" i="5"/>
  <c r="G27" i="5"/>
  <c r="Q26" i="5"/>
  <c r="L27" i="5"/>
  <c r="P27" i="5" l="1"/>
  <c r="C29" i="5"/>
  <c r="D29" i="5"/>
  <c r="R27" i="5"/>
  <c r="Q27" i="5"/>
  <c r="M28" i="5"/>
  <c r="G28" i="5"/>
  <c r="L28" i="5"/>
  <c r="H28" i="5"/>
  <c r="P28" i="5" l="1"/>
  <c r="C30" i="5"/>
  <c r="D30" i="5"/>
  <c r="M29" i="5"/>
  <c r="H29" i="5"/>
  <c r="R28" i="5"/>
  <c r="Q28" i="5"/>
  <c r="G29" i="5"/>
  <c r="L29" i="5"/>
  <c r="P29" i="5" l="1"/>
  <c r="C31" i="5"/>
  <c r="D31" i="5"/>
  <c r="Q29" i="5"/>
  <c r="R29" i="5"/>
  <c r="H30" i="5"/>
  <c r="L30" i="5"/>
  <c r="M30" i="5"/>
  <c r="G30" i="5"/>
  <c r="P30" i="5" l="1"/>
  <c r="C32" i="5"/>
  <c r="D32" i="5"/>
  <c r="R30" i="5"/>
  <c r="L31" i="5"/>
  <c r="Q30" i="5"/>
  <c r="G31" i="5"/>
  <c r="H31" i="5"/>
  <c r="M31" i="5"/>
  <c r="P31" i="5" l="1"/>
  <c r="C33" i="5"/>
  <c r="D33" i="5"/>
  <c r="C34" i="5"/>
  <c r="D34" i="5"/>
  <c r="G32" i="5"/>
  <c r="Q31" i="5"/>
  <c r="H32" i="5"/>
  <c r="L32" i="5"/>
  <c r="M32" i="5"/>
  <c r="R31" i="5"/>
  <c r="P32" i="5" l="1"/>
  <c r="C35" i="5"/>
  <c r="D35" i="5"/>
  <c r="H33" i="5"/>
  <c r="G33" i="5"/>
  <c r="R32" i="5"/>
  <c r="M34" i="5"/>
  <c r="L34" i="5"/>
  <c r="L33" i="5"/>
  <c r="Q32" i="5"/>
  <c r="G34" i="5"/>
  <c r="M33" i="5"/>
  <c r="H34" i="5"/>
  <c r="P33" i="5" l="1"/>
  <c r="P34" i="5"/>
  <c r="C36" i="5"/>
  <c r="D36" i="5"/>
  <c r="H35" i="5"/>
  <c r="R34" i="5"/>
  <c r="Q34" i="5"/>
  <c r="L35" i="5"/>
  <c r="G35" i="5"/>
  <c r="R33" i="5"/>
  <c r="Q33" i="5"/>
  <c r="M35" i="5"/>
  <c r="P35" i="5" l="1"/>
  <c r="C37" i="5"/>
  <c r="D37" i="5"/>
  <c r="L36" i="5"/>
  <c r="Q35" i="5"/>
  <c r="H36" i="5"/>
  <c r="G36" i="5"/>
  <c r="R35" i="5"/>
  <c r="M36" i="5"/>
  <c r="P36" i="5" l="1"/>
  <c r="C38" i="5"/>
  <c r="D38" i="5"/>
  <c r="M37" i="5"/>
  <c r="L37" i="5"/>
  <c r="G37" i="5"/>
  <c r="Q36" i="5"/>
  <c r="R36" i="5"/>
  <c r="H37" i="5"/>
  <c r="P37" i="5" l="1"/>
  <c r="C39" i="5"/>
  <c r="D39" i="5"/>
  <c r="Q37" i="5"/>
  <c r="G38" i="5"/>
  <c r="M38" i="5"/>
  <c r="L38" i="5"/>
  <c r="R37" i="5"/>
  <c r="H38" i="5"/>
  <c r="P38" i="5" l="1"/>
  <c r="C40" i="5"/>
  <c r="D40" i="5"/>
  <c r="M39" i="5"/>
  <c r="R38" i="5"/>
  <c r="L39" i="5"/>
  <c r="H39" i="5"/>
  <c r="G39" i="5"/>
  <c r="Q38" i="5"/>
  <c r="P39" i="5" l="1"/>
  <c r="C41" i="5"/>
  <c r="D41" i="5"/>
  <c r="Q39" i="5"/>
  <c r="M40" i="5"/>
  <c r="R39" i="5"/>
  <c r="H40" i="5"/>
  <c r="L40" i="5"/>
  <c r="G40" i="5"/>
  <c r="P40" i="5" l="1"/>
  <c r="C42" i="5"/>
  <c r="D42" i="5"/>
  <c r="Q40" i="5"/>
  <c r="M41" i="5"/>
  <c r="G41" i="5"/>
  <c r="H41" i="5"/>
  <c r="L41" i="5"/>
  <c r="R40" i="5"/>
  <c r="P41" i="5" l="1"/>
  <c r="C43" i="5"/>
  <c r="D43" i="5"/>
  <c r="L42" i="5"/>
  <c r="Q41" i="5"/>
  <c r="R41" i="5"/>
  <c r="M42" i="5"/>
  <c r="H42" i="5"/>
  <c r="G42" i="5"/>
  <c r="P42" i="5" l="1"/>
  <c r="C44" i="5"/>
  <c r="D44" i="5"/>
  <c r="G43" i="5"/>
  <c r="M43" i="5"/>
  <c r="H43" i="5"/>
  <c r="L43" i="5"/>
  <c r="R42" i="5"/>
  <c r="Q42" i="5"/>
  <c r="P43" i="5" l="1"/>
  <c r="C45" i="5"/>
  <c r="D45" i="5"/>
  <c r="M44" i="5"/>
  <c r="L44" i="5"/>
  <c r="R43" i="5"/>
  <c r="G44" i="5"/>
  <c r="H44" i="5"/>
  <c r="Q43" i="5"/>
  <c r="P44" i="5" l="1"/>
  <c r="C46" i="5"/>
  <c r="D46" i="5"/>
  <c r="G45" i="5"/>
  <c r="Q44" i="5"/>
  <c r="L45" i="5"/>
  <c r="M45" i="5"/>
  <c r="H45" i="5"/>
  <c r="R44" i="5"/>
  <c r="P45" i="5" l="1"/>
  <c r="C47" i="5"/>
  <c r="D47" i="5"/>
  <c r="R45" i="5"/>
  <c r="L46" i="5"/>
  <c r="M46" i="5"/>
  <c r="H46" i="5"/>
  <c r="G46" i="5"/>
  <c r="Q45" i="5"/>
  <c r="P46" i="5" l="1"/>
  <c r="C48" i="5"/>
  <c r="D48" i="5"/>
  <c r="Q46" i="5"/>
  <c r="H47" i="5"/>
  <c r="G47" i="5"/>
  <c r="R46" i="5"/>
  <c r="M47" i="5"/>
  <c r="L47" i="5"/>
  <c r="P47" i="5" l="1"/>
  <c r="C49" i="5"/>
  <c r="D49" i="5"/>
  <c r="R47" i="5"/>
  <c r="L48" i="5"/>
  <c r="H48" i="5"/>
  <c r="M48" i="5"/>
  <c r="Q47" i="5"/>
  <c r="G48" i="5"/>
  <c r="P48" i="5" l="1"/>
  <c r="C50" i="5"/>
  <c r="D50" i="5"/>
  <c r="H49" i="5"/>
  <c r="M49" i="5"/>
  <c r="L49" i="5"/>
  <c r="R48" i="5"/>
  <c r="Q48" i="5"/>
  <c r="G49" i="5"/>
  <c r="P49" i="5" l="1"/>
  <c r="C51" i="5"/>
  <c r="D51" i="5"/>
  <c r="M50" i="5"/>
  <c r="L50" i="5"/>
  <c r="H50" i="5"/>
  <c r="Q49" i="5"/>
  <c r="G50" i="5"/>
  <c r="R49" i="5"/>
  <c r="P50" i="5" l="1"/>
  <c r="C52" i="5"/>
  <c r="D52" i="5"/>
  <c r="Q50" i="5"/>
  <c r="L51" i="5"/>
  <c r="R50" i="5"/>
  <c r="M51" i="5"/>
  <c r="H51" i="5"/>
  <c r="G51" i="5"/>
  <c r="P51" i="5" l="1"/>
  <c r="C53" i="5"/>
  <c r="D53" i="5"/>
  <c r="Q51" i="5"/>
  <c r="H52" i="5"/>
  <c r="M52" i="5"/>
  <c r="R51" i="5"/>
  <c r="G52" i="5"/>
  <c r="L52" i="5"/>
  <c r="P52" i="5" l="1"/>
  <c r="C54" i="5"/>
  <c r="D54" i="5"/>
  <c r="C55" i="5"/>
  <c r="D55" i="5"/>
  <c r="L53" i="5"/>
  <c r="R52" i="5"/>
  <c r="H53" i="5"/>
  <c r="G53" i="5"/>
  <c r="Q52" i="5"/>
  <c r="M53" i="5"/>
  <c r="P53" i="5" l="1"/>
  <c r="C56" i="5"/>
  <c r="D56" i="5"/>
  <c r="M55" i="5"/>
  <c r="R53" i="5"/>
  <c r="H54" i="5"/>
  <c r="Q53" i="5"/>
  <c r="H55" i="5"/>
  <c r="G55" i="5"/>
  <c r="L54" i="5"/>
  <c r="M54" i="5"/>
  <c r="L55" i="5"/>
  <c r="G54" i="5"/>
  <c r="P55" i="5" l="1"/>
  <c r="P54" i="5"/>
  <c r="C57" i="5"/>
  <c r="D57" i="5"/>
  <c r="Q55" i="5"/>
  <c r="M56" i="5"/>
  <c r="H56" i="5"/>
  <c r="G56" i="5"/>
  <c r="R54" i="5"/>
  <c r="Q54" i="5"/>
  <c r="L56" i="5"/>
  <c r="R55" i="5"/>
  <c r="P56" i="5" l="1"/>
  <c r="C58" i="5"/>
  <c r="D58" i="5"/>
  <c r="C59" i="5"/>
  <c r="D59" i="5"/>
  <c r="C60" i="5"/>
  <c r="D60" i="5"/>
  <c r="Q56" i="5"/>
  <c r="G57" i="5"/>
  <c r="M57" i="5"/>
  <c r="L57" i="5"/>
  <c r="R56" i="5"/>
  <c r="H57" i="5"/>
  <c r="P57" i="5" l="1"/>
  <c r="C61" i="5"/>
  <c r="D61" i="5"/>
  <c r="C62" i="5"/>
  <c r="D62" i="5"/>
  <c r="G60" i="5"/>
  <c r="M58" i="5"/>
  <c r="Q57" i="5"/>
  <c r="H59" i="5"/>
  <c r="L58" i="5"/>
  <c r="R57" i="5"/>
  <c r="H58" i="5"/>
  <c r="H60" i="5"/>
  <c r="M59" i="5"/>
  <c r="M60" i="5"/>
  <c r="L59" i="5"/>
  <c r="G59" i="5"/>
  <c r="G58" i="5"/>
  <c r="L60" i="5"/>
  <c r="P60" i="5" l="1"/>
  <c r="P59" i="5"/>
  <c r="P58" i="5"/>
  <c r="E63" i="5"/>
  <c r="E64" i="5"/>
  <c r="E65" i="5"/>
  <c r="E66" i="5"/>
  <c r="E67" i="5"/>
  <c r="E68" i="5"/>
  <c r="E69" i="5"/>
  <c r="B70" i="5"/>
  <c r="C70" i="5"/>
  <c r="B71" i="5"/>
  <c r="C71" i="5"/>
  <c r="F64" i="5"/>
  <c r="F68" i="5"/>
  <c r="F65" i="5"/>
  <c r="F69" i="5"/>
  <c r="F66" i="5"/>
  <c r="F63" i="5"/>
  <c r="F67" i="5"/>
  <c r="G63" i="5"/>
  <c r="G68" i="5"/>
  <c r="L65" i="5"/>
  <c r="H65" i="5"/>
  <c r="H69" i="5"/>
  <c r="G66" i="5"/>
  <c r="Q58" i="5"/>
  <c r="L62" i="5"/>
  <c r="R59" i="5"/>
  <c r="G69" i="5"/>
  <c r="M67" i="5"/>
  <c r="M65" i="5"/>
  <c r="L61" i="5"/>
  <c r="M64" i="5"/>
  <c r="L69" i="5"/>
  <c r="L64" i="5"/>
  <c r="L63" i="5"/>
  <c r="Q60" i="5"/>
  <c r="G67" i="5"/>
  <c r="M61" i="5"/>
  <c r="H62" i="5"/>
  <c r="L66" i="5"/>
  <c r="H68" i="5"/>
  <c r="M62" i="5"/>
  <c r="H66" i="5"/>
  <c r="R60" i="5"/>
  <c r="L68" i="5"/>
  <c r="G61" i="5"/>
  <c r="M68" i="5"/>
  <c r="G62" i="5"/>
  <c r="G65" i="5"/>
  <c r="M66" i="5"/>
  <c r="H67" i="5"/>
  <c r="M69" i="5"/>
  <c r="Q59" i="5"/>
  <c r="H64" i="5"/>
  <c r="L67" i="5"/>
  <c r="H61" i="5"/>
  <c r="H63" i="5"/>
  <c r="M63" i="5"/>
  <c r="G64" i="5"/>
  <c r="R58" i="5"/>
  <c r="P62" i="5" l="1"/>
  <c r="P61" i="5"/>
  <c r="B72" i="5"/>
  <c r="C72" i="5"/>
  <c r="G70" i="5"/>
  <c r="M70" i="5"/>
  <c r="R61" i="5"/>
  <c r="R62" i="5"/>
  <c r="M71" i="5"/>
  <c r="G71" i="5"/>
  <c r="Q61" i="5"/>
  <c r="H70" i="5"/>
  <c r="L71" i="5"/>
  <c r="H71" i="5"/>
  <c r="Q62" i="5"/>
  <c r="L70" i="5"/>
  <c r="B73" i="5" l="1"/>
  <c r="C73" i="5"/>
  <c r="B74" i="5"/>
  <c r="C74" i="5"/>
  <c r="G72" i="5"/>
  <c r="M72" i="5"/>
  <c r="L72" i="5"/>
  <c r="H72" i="5"/>
  <c r="B75" i="5" l="1"/>
  <c r="C75" i="5"/>
  <c r="M74" i="5"/>
  <c r="L74" i="5"/>
  <c r="L73" i="5"/>
  <c r="G74" i="5"/>
  <c r="G73" i="5"/>
  <c r="H73" i="5"/>
  <c r="H74" i="5"/>
  <c r="M73" i="5"/>
  <c r="B76" i="5" l="1"/>
  <c r="C76" i="5"/>
  <c r="B77" i="5"/>
  <c r="C77" i="5"/>
  <c r="M75" i="5"/>
  <c r="L75" i="5"/>
  <c r="G75" i="5"/>
  <c r="H75" i="5"/>
  <c r="B78" i="5" l="1"/>
  <c r="C78" i="5"/>
  <c r="G77" i="5"/>
  <c r="G76" i="5"/>
  <c r="H77" i="5"/>
  <c r="L76" i="5"/>
  <c r="L77" i="5"/>
  <c r="M77" i="5"/>
  <c r="H76" i="5"/>
  <c r="M76" i="5"/>
  <c r="B79" i="5" l="1"/>
  <c r="C79" i="5"/>
  <c r="B80" i="5"/>
  <c r="C80" i="5"/>
  <c r="B81" i="5"/>
  <c r="C81" i="5"/>
  <c r="H78" i="5"/>
  <c r="G78" i="5"/>
  <c r="M78" i="5"/>
  <c r="L78" i="5"/>
  <c r="B82" i="5" l="1"/>
  <c r="C82" i="5"/>
  <c r="M81" i="5"/>
  <c r="G80" i="5"/>
  <c r="M80" i="5"/>
  <c r="M79" i="5"/>
  <c r="L79" i="5"/>
  <c r="L81" i="5"/>
  <c r="L80" i="5"/>
  <c r="G81" i="5"/>
  <c r="H81" i="5"/>
  <c r="H79" i="5"/>
  <c r="G79" i="5"/>
  <c r="H80" i="5"/>
  <c r="B83" i="5" l="1"/>
  <c r="C83" i="5"/>
  <c r="M82" i="5"/>
  <c r="L82" i="5"/>
  <c r="H82" i="5"/>
  <c r="G82" i="5"/>
  <c r="B84" i="5" l="1"/>
  <c r="C84" i="5"/>
  <c r="B85" i="5"/>
  <c r="C85" i="5"/>
  <c r="B86" i="5"/>
  <c r="C86" i="5"/>
  <c r="L83" i="5"/>
  <c r="H83" i="5"/>
  <c r="G83" i="5"/>
  <c r="M83" i="5"/>
  <c r="B87" i="5" l="1"/>
  <c r="C87" i="5"/>
  <c r="G85" i="5"/>
  <c r="H85" i="5"/>
  <c r="H84" i="5"/>
  <c r="M84" i="5"/>
  <c r="M86" i="5"/>
  <c r="M85" i="5"/>
  <c r="L86" i="5"/>
  <c r="L84" i="5"/>
  <c r="H86" i="5"/>
  <c r="L85" i="5"/>
  <c r="G84" i="5"/>
  <c r="G86" i="5"/>
  <c r="B88" i="5" l="1"/>
  <c r="C88" i="5"/>
  <c r="B89" i="5"/>
  <c r="C89" i="5"/>
  <c r="G87" i="5"/>
  <c r="L87" i="5"/>
  <c r="H87" i="5"/>
  <c r="M87" i="5"/>
  <c r="B90" i="5" l="1"/>
  <c r="C90" i="5"/>
  <c r="H89" i="5"/>
  <c r="G88" i="5"/>
  <c r="M89" i="5"/>
  <c r="H88" i="5"/>
  <c r="M88" i="5"/>
  <c r="G89" i="5"/>
  <c r="L88" i="5"/>
  <c r="L89" i="5"/>
  <c r="B91" i="5" l="1"/>
  <c r="C91" i="5"/>
  <c r="M90" i="5"/>
  <c r="H90" i="5"/>
  <c r="L90" i="5"/>
  <c r="G90" i="5"/>
  <c r="B92" i="5" l="1"/>
  <c r="C92" i="5"/>
  <c r="G91" i="5"/>
  <c r="L91" i="5"/>
  <c r="M91" i="5"/>
  <c r="H91" i="5"/>
  <c r="B93" i="5" l="1"/>
  <c r="C93" i="5"/>
  <c r="B94" i="5"/>
  <c r="C94" i="5"/>
  <c r="L92" i="5"/>
  <c r="H92" i="5"/>
  <c r="G92" i="5"/>
  <c r="M92" i="5"/>
  <c r="B95" i="5" l="1"/>
  <c r="C95" i="5"/>
  <c r="L94" i="5"/>
  <c r="G94" i="5"/>
  <c r="M94" i="5"/>
  <c r="M93" i="5"/>
  <c r="G93" i="5"/>
  <c r="H94" i="5"/>
  <c r="H93" i="5"/>
  <c r="L93" i="5"/>
  <c r="B96" i="5" l="1"/>
  <c r="C96" i="5"/>
  <c r="G95" i="5"/>
  <c r="L95" i="5"/>
  <c r="H95" i="5"/>
  <c r="M95" i="5"/>
  <c r="B97" i="5" l="1"/>
  <c r="C97" i="5"/>
  <c r="B98" i="5"/>
  <c r="C98" i="5"/>
  <c r="B99" i="5"/>
  <c r="C99" i="5"/>
  <c r="L96" i="5"/>
  <c r="M96" i="5"/>
  <c r="G96" i="5"/>
  <c r="H96" i="5"/>
  <c r="B100" i="5" l="1"/>
  <c r="C100" i="5"/>
  <c r="L99" i="5"/>
  <c r="G97" i="5"/>
  <c r="H99" i="5"/>
  <c r="G99" i="5"/>
  <c r="L97" i="5"/>
  <c r="M98" i="5"/>
  <c r="L98" i="5"/>
  <c r="G98" i="5"/>
  <c r="M99" i="5"/>
  <c r="H98" i="5"/>
  <c r="M97" i="5"/>
  <c r="H97" i="5"/>
  <c r="B101" i="5" l="1"/>
  <c r="C101" i="5"/>
  <c r="L100" i="5"/>
  <c r="M100" i="5"/>
  <c r="H100" i="5"/>
  <c r="G100" i="5"/>
  <c r="B102" i="5" l="1"/>
  <c r="C102" i="5"/>
  <c r="B103" i="5"/>
  <c r="C103" i="5"/>
  <c r="B104" i="5"/>
  <c r="C104" i="5"/>
  <c r="B105" i="5"/>
  <c r="C105" i="5"/>
  <c r="M101" i="5"/>
  <c r="G101" i="5"/>
  <c r="L101" i="5"/>
  <c r="H101" i="5"/>
  <c r="B106" i="5" l="1"/>
  <c r="C106" i="5"/>
  <c r="B107" i="5"/>
  <c r="C107" i="5"/>
  <c r="L104" i="5"/>
  <c r="G105" i="5"/>
  <c r="G104" i="5"/>
  <c r="H104" i="5"/>
  <c r="L105" i="5"/>
  <c r="M105" i="5"/>
  <c r="L102" i="5"/>
  <c r="H103" i="5"/>
  <c r="G103" i="5"/>
  <c r="M102" i="5"/>
  <c r="M104" i="5"/>
  <c r="H102" i="5"/>
  <c r="H105" i="5"/>
  <c r="L103" i="5"/>
  <c r="M103" i="5"/>
  <c r="G102" i="5"/>
  <c r="B108" i="5" l="1"/>
  <c r="C108" i="5"/>
  <c r="G106" i="5"/>
  <c r="H107" i="5"/>
  <c r="L106" i="5"/>
  <c r="G107" i="5"/>
  <c r="H106" i="5"/>
  <c r="M106" i="5"/>
  <c r="M107" i="5"/>
  <c r="L107" i="5"/>
  <c r="B109" i="5" l="1"/>
  <c r="C109" i="5"/>
  <c r="M108" i="5"/>
  <c r="M79" i="16" a="1"/>
  <c r="L108" i="5"/>
  <c r="H108" i="5"/>
  <c r="G108" i="5"/>
  <c r="Q79" i="16" a="1"/>
  <c r="B110" i="5" l="1"/>
  <c r="C110" i="5"/>
  <c r="Q82" i="16"/>
  <c r="Q81" i="16"/>
  <c r="Q79" i="16"/>
  <c r="Q93" i="16"/>
  <c r="Q91" i="16"/>
  <c r="M106" i="16"/>
  <c r="M88" i="16"/>
  <c r="Q100" i="16"/>
  <c r="M93" i="16"/>
  <c r="Q80" i="16"/>
  <c r="Q92" i="16"/>
  <c r="M96" i="16"/>
  <c r="Q103" i="16"/>
  <c r="M84" i="16"/>
  <c r="M82" i="16"/>
  <c r="Q111" i="16"/>
  <c r="Q110" i="16"/>
  <c r="M105" i="16"/>
  <c r="M81" i="16"/>
  <c r="Q97" i="16"/>
  <c r="M115" i="16"/>
  <c r="Q107" i="16"/>
  <c r="M100" i="16"/>
  <c r="Q114" i="16"/>
  <c r="Q115" i="16"/>
  <c r="Q85" i="16"/>
  <c r="M86" i="16"/>
  <c r="Q112" i="16"/>
  <c r="M109" i="16"/>
  <c r="M113" i="16"/>
  <c r="Q84" i="16"/>
  <c r="M91" i="16"/>
  <c r="M89" i="16"/>
  <c r="M112" i="16"/>
  <c r="Q87" i="16"/>
  <c r="M104" i="16"/>
  <c r="Q109" i="16"/>
  <c r="M94" i="16"/>
  <c r="Q98" i="16"/>
  <c r="Q96" i="16"/>
  <c r="M79" i="16"/>
  <c r="M110" i="16"/>
  <c r="Q106" i="16"/>
  <c r="M102" i="16"/>
  <c r="Q102" i="16"/>
  <c r="Q108" i="16"/>
  <c r="Q105" i="16"/>
  <c r="Q90" i="16"/>
  <c r="M111" i="16"/>
  <c r="M87" i="16"/>
  <c r="M95" i="16"/>
  <c r="M80" i="16"/>
  <c r="M101" i="16"/>
  <c r="Q94" i="16"/>
  <c r="Q101" i="16"/>
  <c r="Q83" i="16"/>
  <c r="M83" i="16"/>
  <c r="M114" i="16"/>
  <c r="M103" i="16"/>
  <c r="M108" i="16"/>
  <c r="M99" i="16"/>
  <c r="M90" i="16"/>
  <c r="M97" i="16"/>
  <c r="M107" i="16"/>
  <c r="Q89" i="16"/>
  <c r="Q86" i="16"/>
  <c r="M98" i="16"/>
  <c r="Q113" i="16"/>
  <c r="Q104" i="16"/>
  <c r="Q95" i="16"/>
  <c r="Q99" i="16"/>
  <c r="Q88" i="16"/>
  <c r="M92" i="16"/>
  <c r="M85" i="16"/>
  <c r="G109" i="5"/>
  <c r="L109" i="5"/>
  <c r="H109" i="5"/>
  <c r="M109" i="5"/>
  <c r="B111" i="5" l="1"/>
  <c r="C111" i="5"/>
  <c r="G110" i="5"/>
  <c r="H110" i="5"/>
  <c r="M110" i="5"/>
  <c r="L110" i="5"/>
  <c r="B112" i="5" l="1"/>
  <c r="C112" i="5"/>
  <c r="G111" i="5"/>
  <c r="L111" i="5"/>
  <c r="M111" i="5"/>
  <c r="H111" i="5"/>
  <c r="B113" i="5" l="1"/>
  <c r="C113" i="5"/>
  <c r="M112" i="5"/>
  <c r="G112" i="5"/>
  <c r="H112" i="5"/>
  <c r="L112" i="5"/>
  <c r="B114" i="5" l="1"/>
  <c r="C114" i="5"/>
  <c r="G113" i="5"/>
  <c r="M113" i="5"/>
  <c r="H113" i="5"/>
  <c r="L113" i="5"/>
  <c r="B115" i="5" l="1"/>
  <c r="C115" i="5"/>
  <c r="G114" i="5"/>
  <c r="M114" i="5"/>
  <c r="H114" i="5"/>
  <c r="L114" i="5"/>
  <c r="B116" i="5" l="1"/>
  <c r="C116" i="5"/>
  <c r="M115" i="5"/>
  <c r="L115" i="5"/>
  <c r="H115" i="5"/>
  <c r="G115" i="5"/>
  <c r="B117" i="5" l="1"/>
  <c r="C117" i="5"/>
  <c r="H116" i="5"/>
  <c r="M116" i="5"/>
  <c r="G116" i="5"/>
  <c r="L116" i="5"/>
  <c r="B118" i="5" l="1"/>
  <c r="C118" i="5"/>
  <c r="H117" i="5"/>
  <c r="L117" i="5"/>
  <c r="M117" i="5"/>
  <c r="G117" i="5"/>
  <c r="B119" i="5" l="1"/>
  <c r="C119" i="5"/>
  <c r="H118" i="5"/>
  <c r="G118" i="5"/>
  <c r="L118" i="5"/>
  <c r="M118" i="5"/>
  <c r="B120" i="5" l="1"/>
  <c r="C120" i="5"/>
  <c r="H119" i="5"/>
  <c r="M119" i="5"/>
  <c r="L119" i="5"/>
  <c r="G119" i="5"/>
  <c r="B121" i="5" l="1"/>
  <c r="C121" i="5"/>
  <c r="H120" i="5"/>
  <c r="L120" i="5"/>
  <c r="M120" i="5"/>
  <c r="G120" i="5"/>
  <c r="B122" i="5" l="1"/>
  <c r="C122" i="5"/>
  <c r="L121" i="5"/>
  <c r="M121" i="5"/>
  <c r="G121" i="5"/>
  <c r="H121" i="5"/>
  <c r="B123" i="5" l="1"/>
  <c r="C123" i="5"/>
  <c r="H122" i="5"/>
  <c r="L122" i="5"/>
  <c r="G122" i="5"/>
  <c r="M122" i="5"/>
  <c r="B124" i="5" l="1"/>
  <c r="C124" i="5"/>
  <c r="H123" i="5"/>
  <c r="L123" i="5"/>
  <c r="M123" i="5"/>
  <c r="G123" i="5"/>
  <c r="B125" i="5" l="1"/>
  <c r="C125" i="5"/>
  <c r="H124" i="5"/>
  <c r="L124" i="5"/>
  <c r="M124" i="5"/>
  <c r="G124" i="5"/>
  <c r="B126" i="5" l="1"/>
  <c r="C126" i="5"/>
  <c r="G125" i="5"/>
  <c r="H125" i="5"/>
  <c r="L125" i="5"/>
  <c r="M125" i="5"/>
  <c r="B127" i="5" l="1"/>
  <c r="C127" i="5"/>
  <c r="H126" i="5"/>
  <c r="M126" i="5"/>
  <c r="G126" i="5"/>
  <c r="L126" i="5"/>
  <c r="B128" i="5" l="1"/>
  <c r="C128" i="5"/>
  <c r="H127" i="5"/>
  <c r="M127" i="5"/>
  <c r="G127" i="5"/>
  <c r="L127" i="5"/>
  <c r="B129" i="5" l="1"/>
  <c r="C129" i="5"/>
  <c r="G128" i="5"/>
  <c r="H128" i="5"/>
  <c r="M128" i="5"/>
  <c r="L128" i="5"/>
  <c r="B130" i="5" l="1"/>
  <c r="C130" i="5"/>
  <c r="H129" i="5"/>
  <c r="L129" i="5"/>
  <c r="G129" i="5"/>
  <c r="M129" i="5"/>
  <c r="B131" i="5" l="1"/>
  <c r="C131" i="5"/>
  <c r="L130" i="5"/>
  <c r="M130" i="5"/>
  <c r="G130" i="5"/>
  <c r="H130" i="5"/>
  <c r="B132" i="5" l="1"/>
  <c r="C132" i="5"/>
  <c r="G131" i="5"/>
  <c r="H131" i="5"/>
  <c r="M131" i="5"/>
  <c r="L131" i="5"/>
  <c r="B133" i="5" l="1"/>
  <c r="C133" i="5"/>
  <c r="H132" i="5"/>
  <c r="L132" i="5"/>
  <c r="M132" i="5"/>
  <c r="G132" i="5"/>
  <c r="B134" i="5" l="1"/>
  <c r="C134" i="5"/>
  <c r="M133" i="5"/>
  <c r="L133" i="5"/>
  <c r="H133" i="5"/>
  <c r="G133" i="5"/>
  <c r="B135" i="5" l="1"/>
  <c r="C135" i="5"/>
  <c r="H134" i="5"/>
  <c r="L134" i="5"/>
  <c r="M134" i="5"/>
  <c r="G134" i="5"/>
  <c r="B136" i="5" l="1"/>
  <c r="C136" i="5"/>
  <c r="H135" i="5"/>
  <c r="M135" i="5"/>
  <c r="L135" i="5"/>
  <c r="G135" i="5"/>
  <c r="B137" i="5" l="1"/>
  <c r="C137" i="5"/>
  <c r="L136" i="5"/>
  <c r="G136" i="5"/>
  <c r="H136" i="5"/>
  <c r="M136" i="5"/>
  <c r="B138" i="5" l="1"/>
  <c r="C138" i="5"/>
  <c r="H137" i="5"/>
  <c r="M137" i="5"/>
  <c r="G137" i="5"/>
  <c r="L137" i="5"/>
  <c r="B139" i="5" l="1"/>
  <c r="C139" i="5"/>
  <c r="G138" i="5"/>
  <c r="L138" i="5"/>
  <c r="H138" i="5"/>
  <c r="M138" i="5"/>
  <c r="B140" i="5" l="1"/>
  <c r="C140" i="5"/>
  <c r="M139" i="5"/>
  <c r="G139" i="5"/>
  <c r="H139" i="5"/>
  <c r="L139" i="5"/>
  <c r="B141" i="5" l="1"/>
  <c r="C141" i="5"/>
  <c r="L140" i="5"/>
  <c r="G140" i="5"/>
  <c r="M140" i="5"/>
  <c r="H140" i="5"/>
  <c r="B142" i="5" l="1"/>
  <c r="C142" i="5"/>
  <c r="G141" i="5"/>
  <c r="H141" i="5"/>
  <c r="M141" i="5"/>
  <c r="L141" i="5"/>
  <c r="B143" i="5" l="1"/>
  <c r="C143" i="5"/>
  <c r="H143" i="5"/>
  <c r="M142" i="5"/>
  <c r="L142" i="5"/>
  <c r="G142" i="5"/>
  <c r="G143" i="5"/>
  <c r="D2" i="4" a="1"/>
  <c r="M143" i="5"/>
  <c r="H142" i="5"/>
  <c r="L143"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J2" i="11"/>
  <c r="I2" i="4"/>
  <c r="I10" i="4"/>
  <c r="I18" i="4"/>
  <c r="I26" i="4"/>
  <c r="I34" i="4"/>
  <c r="I42" i="4"/>
  <c r="I50" i="4"/>
  <c r="I58" i="4"/>
  <c r="I66" i="4"/>
  <c r="I74" i="4"/>
  <c r="I82" i="4"/>
  <c r="I90" i="4"/>
  <c r="I98" i="4"/>
  <c r="I106" i="4"/>
  <c r="I114" i="4"/>
  <c r="I122" i="4"/>
  <c r="I3" i="4"/>
  <c r="I11" i="4"/>
  <c r="I19" i="4"/>
  <c r="I27" i="4"/>
  <c r="I35" i="4"/>
  <c r="I43" i="4"/>
  <c r="I51" i="4"/>
  <c r="I59" i="4"/>
  <c r="I67" i="4"/>
  <c r="I75" i="4"/>
  <c r="I83" i="4"/>
  <c r="I91" i="4"/>
  <c r="I99" i="4"/>
  <c r="I107" i="4"/>
  <c r="I115" i="4"/>
  <c r="I123" i="4"/>
  <c r="I93" i="4"/>
  <c r="I125" i="4"/>
  <c r="I14" i="4"/>
  <c r="I62" i="4"/>
  <c r="I102" i="4"/>
  <c r="I126" i="4"/>
  <c r="I15" i="4"/>
  <c r="I23" i="4"/>
  <c r="I31" i="4"/>
  <c r="I39" i="4"/>
  <c r="I47" i="4"/>
  <c r="I55" i="4"/>
  <c r="I71" i="4"/>
  <c r="I87" i="4"/>
  <c r="I103" i="4"/>
  <c r="I119" i="4"/>
  <c r="I8" i="4"/>
  <c r="I16" i="4"/>
  <c r="I24" i="4"/>
  <c r="I32" i="4"/>
  <c r="I40" i="4"/>
  <c r="I48" i="4"/>
  <c r="I56" i="4"/>
  <c r="I64" i="4"/>
  <c r="I72" i="4"/>
  <c r="I80" i="4"/>
  <c r="I88" i="4"/>
  <c r="I96" i="4"/>
  <c r="I104" i="4"/>
  <c r="I112" i="4"/>
  <c r="I120" i="4"/>
  <c r="I9" i="4"/>
  <c r="I17" i="4"/>
  <c r="I25" i="4"/>
  <c r="I33" i="4"/>
  <c r="I41" i="4"/>
  <c r="I49" i="4"/>
  <c r="I57" i="4"/>
  <c r="I65" i="4"/>
  <c r="I73" i="4"/>
  <c r="I81" i="4"/>
  <c r="I89" i="4"/>
  <c r="I97" i="4"/>
  <c r="I105" i="4"/>
  <c r="I113" i="4"/>
  <c r="I121" i="4"/>
  <c r="I4" i="4"/>
  <c r="I12" i="4"/>
  <c r="I20" i="4"/>
  <c r="I28" i="4"/>
  <c r="I36" i="4"/>
  <c r="I44" i="4"/>
  <c r="I52" i="4"/>
  <c r="I60" i="4"/>
  <c r="I68" i="4"/>
  <c r="I76" i="4"/>
  <c r="I84" i="4"/>
  <c r="I92" i="4"/>
  <c r="I100" i="4"/>
  <c r="I108" i="4"/>
  <c r="I116" i="4"/>
  <c r="I124" i="4"/>
  <c r="I5" i="4"/>
  <c r="I13" i="4"/>
  <c r="I21" i="4"/>
  <c r="I29" i="4"/>
  <c r="I37" i="4"/>
  <c r="I45" i="4"/>
  <c r="I53" i="4"/>
  <c r="I61" i="4"/>
  <c r="I69" i="4"/>
  <c r="I77" i="4"/>
  <c r="I85" i="4"/>
  <c r="I101" i="4"/>
  <c r="I109" i="4"/>
  <c r="I117" i="4"/>
  <c r="I6" i="4"/>
  <c r="I22" i="4"/>
  <c r="I30" i="4"/>
  <c r="I38" i="4"/>
  <c r="I46" i="4"/>
  <c r="I54" i="4"/>
  <c r="I70" i="4"/>
  <c r="I78" i="4"/>
  <c r="I86" i="4"/>
  <c r="I94" i="4"/>
  <c r="I110" i="4"/>
  <c r="I118" i="4"/>
  <c r="I7" i="4"/>
  <c r="I63" i="4"/>
  <c r="I79" i="4"/>
  <c r="I95" i="4"/>
  <c r="I111" i="4"/>
  <c r="F69" i="4"/>
  <c r="G24" i="4"/>
  <c r="G48" i="4"/>
  <c r="E67" i="4"/>
  <c r="F51" i="4"/>
  <c r="H123" i="4"/>
  <c r="E22" i="4"/>
  <c r="E28" i="4"/>
  <c r="G84" i="4"/>
  <c r="G114" i="4"/>
  <c r="E41" i="4"/>
  <c r="H118" i="4"/>
  <c r="F12" i="4"/>
  <c r="G2" i="4"/>
  <c r="F103" i="4"/>
  <c r="F102" i="4"/>
  <c r="H91" i="4"/>
  <c r="E31" i="4"/>
  <c r="G69" i="4"/>
  <c r="H63" i="4"/>
  <c r="F34" i="4"/>
  <c r="G19" i="4"/>
  <c r="G54" i="4"/>
  <c r="E74" i="4"/>
  <c r="F15" i="4"/>
  <c r="E63" i="4"/>
  <c r="H39" i="4"/>
  <c r="M69" i="16" a="1"/>
  <c r="G44" i="4"/>
  <c r="E43" i="4"/>
  <c r="G31" i="4"/>
  <c r="E100" i="4"/>
  <c r="G111" i="4"/>
  <c r="H40" i="4"/>
  <c r="G37" i="4"/>
  <c r="E78" i="4"/>
  <c r="H19" i="4"/>
  <c r="E25" i="4"/>
  <c r="H106" i="4"/>
  <c r="G3" i="4"/>
  <c r="H64" i="4"/>
  <c r="F94" i="4"/>
  <c r="E121" i="4"/>
  <c r="G61" i="4"/>
  <c r="F116" i="4"/>
  <c r="E14" i="4"/>
  <c r="F9" i="4"/>
  <c r="G30" i="4"/>
  <c r="H75" i="4"/>
  <c r="G66" i="4"/>
  <c r="E83" i="4"/>
  <c r="G67" i="4"/>
  <c r="F42" i="4"/>
  <c r="G27" i="4"/>
  <c r="F95" i="4"/>
  <c r="F48" i="4"/>
  <c r="E53" i="4"/>
  <c r="E60" i="4"/>
  <c r="H4" i="4"/>
  <c r="E94" i="4"/>
  <c r="F39" i="4"/>
  <c r="F72" i="4"/>
  <c r="F40" i="4"/>
  <c r="F6" i="4"/>
  <c r="H15" i="4"/>
  <c r="F77" i="4"/>
  <c r="E23" i="4"/>
  <c r="F56" i="4"/>
  <c r="E106" i="4"/>
  <c r="H61" i="4"/>
  <c r="F120" i="4"/>
  <c r="E96" i="4"/>
  <c r="H79" i="4"/>
  <c r="H9" i="4"/>
  <c r="H97" i="4"/>
  <c r="G43" i="4"/>
  <c r="F115" i="4"/>
  <c r="H32" i="4"/>
  <c r="F41" i="4"/>
  <c r="G103" i="4"/>
  <c r="H51" i="4"/>
  <c r="G94" i="4"/>
  <c r="E62" i="4"/>
  <c r="G40" i="4"/>
  <c r="E77" i="4"/>
  <c r="E86" i="4"/>
  <c r="E110" i="4"/>
  <c r="H108" i="4"/>
  <c r="H53" i="4"/>
  <c r="E64" i="4"/>
  <c r="H48" i="4"/>
  <c r="E24" i="4"/>
  <c r="G12" i="4"/>
  <c r="E76" i="4"/>
  <c r="G106" i="4"/>
  <c r="E99" i="4"/>
  <c r="E40" i="4"/>
  <c r="H107" i="4"/>
  <c r="H3" i="4"/>
  <c r="G36" i="4"/>
  <c r="E37" i="4"/>
  <c r="E89" i="4"/>
  <c r="H94" i="4"/>
  <c r="G73" i="4"/>
  <c r="H103" i="4"/>
  <c r="H93" i="4"/>
  <c r="G107" i="4"/>
  <c r="H104" i="4"/>
  <c r="G92" i="4"/>
  <c r="E105" i="4"/>
  <c r="H122" i="4"/>
  <c r="G35" i="4"/>
  <c r="H74" i="4"/>
  <c r="E10" i="4"/>
  <c r="E84" i="4"/>
  <c r="G65" i="4"/>
  <c r="E116" i="4"/>
  <c r="H22" i="4"/>
  <c r="G60" i="4"/>
  <c r="G55" i="4"/>
  <c r="F44" i="4"/>
  <c r="E52" i="4"/>
  <c r="F79" i="4"/>
  <c r="F46" i="4"/>
  <c r="F98" i="4"/>
  <c r="H18" i="4"/>
  <c r="E72" i="4"/>
  <c r="F32" i="4"/>
  <c r="G115" i="4"/>
  <c r="F24" i="4"/>
  <c r="G80" i="4"/>
  <c r="F70" i="4"/>
  <c r="E51" i="4"/>
  <c r="G57" i="4"/>
  <c r="G34" i="4"/>
  <c r="F126" i="4"/>
  <c r="H114" i="4"/>
  <c r="E30" i="4"/>
  <c r="H120" i="4"/>
  <c r="F91" i="4"/>
  <c r="G16" i="4"/>
  <c r="H55" i="4"/>
  <c r="H83" i="4"/>
  <c r="F19" i="4"/>
  <c r="F81" i="4"/>
  <c r="E3" i="4"/>
  <c r="G77" i="4"/>
  <c r="E16" i="4"/>
  <c r="H59" i="4"/>
  <c r="G74" i="4"/>
  <c r="E65" i="4"/>
  <c r="F93" i="4"/>
  <c r="H43" i="4"/>
  <c r="G8" i="4"/>
  <c r="E48" i="4"/>
  <c r="F108" i="4"/>
  <c r="F59" i="4"/>
  <c r="G18" i="4"/>
  <c r="F88" i="4"/>
  <c r="F101" i="4"/>
  <c r="E12" i="4"/>
  <c r="E88" i="4"/>
  <c r="G70" i="4"/>
  <c r="G5" i="4"/>
  <c r="H35" i="4"/>
  <c r="G39" i="4"/>
  <c r="F100" i="4"/>
  <c r="G78" i="4"/>
  <c r="G83" i="4"/>
  <c r="F28" i="4"/>
  <c r="H54" i="4"/>
  <c r="H84" i="4"/>
  <c r="H89" i="4"/>
  <c r="G50" i="4"/>
  <c r="F57" i="4"/>
  <c r="G96" i="4"/>
  <c r="G76" i="4"/>
  <c r="F33" i="4"/>
  <c r="E98" i="4"/>
  <c r="G68" i="4"/>
  <c r="E21" i="4"/>
  <c r="F27" i="4"/>
  <c r="G63" i="4"/>
  <c r="F25" i="4"/>
  <c r="E109" i="4"/>
  <c r="H50" i="4"/>
  <c r="E113" i="4"/>
  <c r="F52" i="4"/>
  <c r="E47" i="4"/>
  <c r="F67" i="4"/>
  <c r="F96" i="4"/>
  <c r="G17" i="4"/>
  <c r="G87" i="4"/>
  <c r="F85" i="4"/>
  <c r="F61" i="4"/>
  <c r="G28" i="4"/>
  <c r="H88" i="4"/>
  <c r="G42" i="4"/>
  <c r="F80" i="4"/>
  <c r="H90" i="4"/>
  <c r="H99" i="4"/>
  <c r="F111" i="4"/>
  <c r="F74" i="4"/>
  <c r="F55" i="4"/>
  <c r="G108" i="4"/>
  <c r="F47" i="4"/>
  <c r="H87" i="4"/>
  <c r="H2" i="4"/>
  <c r="E56" i="4"/>
  <c r="E75" i="4"/>
  <c r="H82" i="4"/>
  <c r="F64" i="4"/>
  <c r="F82" i="4"/>
  <c r="G90" i="4"/>
  <c r="H96" i="4"/>
  <c r="G52" i="4"/>
  <c r="E50" i="4"/>
  <c r="G120" i="4"/>
  <c r="G88" i="4"/>
  <c r="F50" i="4"/>
  <c r="G13" i="4"/>
  <c r="H85" i="4"/>
  <c r="H72" i="4"/>
  <c r="H21" i="4"/>
  <c r="E92" i="4"/>
  <c r="H115" i="4"/>
  <c r="G58" i="4"/>
  <c r="E17" i="4"/>
  <c r="E79" i="4"/>
  <c r="G38" i="4"/>
  <c r="F43" i="4"/>
  <c r="F114" i="4"/>
  <c r="H67" i="4"/>
  <c r="H31" i="4"/>
  <c r="H78" i="4"/>
  <c r="G72" i="4"/>
  <c r="E20" i="4"/>
  <c r="G22" i="4"/>
  <c r="F18" i="4"/>
  <c r="H8" i="4"/>
  <c r="G97" i="4"/>
  <c r="E103" i="4"/>
  <c r="G95" i="4"/>
  <c r="F36" i="4"/>
  <c r="H100" i="4"/>
  <c r="F10" i="4"/>
  <c r="F97" i="4"/>
  <c r="H86" i="4"/>
  <c r="F23" i="4"/>
  <c r="H56" i="4"/>
  <c r="H76" i="4"/>
  <c r="H34" i="4"/>
  <c r="H17" i="4"/>
  <c r="F119" i="4"/>
  <c r="F86" i="4"/>
  <c r="E26" i="4"/>
  <c r="G32" i="4"/>
  <c r="E5" i="4"/>
  <c r="G29" i="4"/>
  <c r="H33" i="4"/>
  <c r="E11" i="4"/>
  <c r="H57" i="4"/>
  <c r="H10" i="4"/>
  <c r="H125" i="4"/>
  <c r="F92" i="4"/>
  <c r="G56" i="4"/>
  <c r="F122" i="4"/>
  <c r="H46" i="4"/>
  <c r="E27" i="4"/>
  <c r="G46" i="4"/>
  <c r="H113" i="4"/>
  <c r="G86" i="4"/>
  <c r="F118" i="4"/>
  <c r="E111" i="4"/>
  <c r="H5" i="4"/>
  <c r="F124" i="4"/>
  <c r="G118" i="4"/>
  <c r="E97" i="4"/>
  <c r="E68" i="4"/>
  <c r="E107" i="4"/>
  <c r="E45" i="4"/>
  <c r="G51" i="4"/>
  <c r="H98" i="4"/>
  <c r="G9" i="4"/>
  <c r="H7" i="4"/>
  <c r="F29" i="4"/>
  <c r="F5" i="4"/>
  <c r="G20" i="4"/>
  <c r="F22" i="4"/>
  <c r="G117" i="4"/>
  <c r="F17" i="4"/>
  <c r="H124" i="4"/>
  <c r="F75" i="4"/>
  <c r="G6" i="4"/>
  <c r="F117" i="4"/>
  <c r="F112" i="4"/>
  <c r="H44" i="4"/>
  <c r="E38" i="4"/>
  <c r="G121" i="4"/>
  <c r="H126" i="4"/>
  <c r="E101" i="4"/>
  <c r="E46" i="4"/>
  <c r="G82" i="4"/>
  <c r="F7" i="4"/>
  <c r="F109" i="4"/>
  <c r="E119" i="4"/>
  <c r="K2" i="11"/>
  <c r="F123" i="4"/>
  <c r="F62" i="4"/>
  <c r="G119" i="4"/>
  <c r="H42" i="4"/>
  <c r="H70" i="4"/>
  <c r="F78" i="4"/>
  <c r="G23" i="4"/>
  <c r="F110" i="4"/>
  <c r="E4" i="4"/>
  <c r="G98" i="4"/>
  <c r="F45" i="4"/>
  <c r="H26" i="4"/>
  <c r="G21" i="4"/>
  <c r="G49" i="4"/>
  <c r="H16" i="4"/>
  <c r="E122" i="4"/>
  <c r="E117" i="4"/>
  <c r="F20" i="4"/>
  <c r="G79" i="4"/>
  <c r="F3" i="4"/>
  <c r="H62" i="4"/>
  <c r="F66" i="4"/>
  <c r="F99" i="4"/>
  <c r="E29" i="4"/>
  <c r="H77" i="4"/>
  <c r="E71" i="4"/>
  <c r="G113" i="4"/>
  <c r="F105" i="4"/>
  <c r="H27" i="4"/>
  <c r="G101" i="4"/>
  <c r="G62" i="4"/>
  <c r="F76" i="4"/>
  <c r="H117" i="4"/>
  <c r="G112" i="4"/>
  <c r="E66" i="4"/>
  <c r="H111" i="4"/>
  <c r="H92" i="4"/>
  <c r="F60" i="4"/>
  <c r="G47" i="4"/>
  <c r="F58" i="4"/>
  <c r="H68" i="4"/>
  <c r="E124" i="4"/>
  <c r="E95" i="4"/>
  <c r="H28" i="4"/>
  <c r="G99" i="4"/>
  <c r="G10" i="4"/>
  <c r="H71" i="4"/>
  <c r="F13" i="4"/>
  <c r="G26" i="4"/>
  <c r="H109" i="4"/>
  <c r="F63" i="4"/>
  <c r="H101" i="4"/>
  <c r="E33" i="4"/>
  <c r="F121" i="4"/>
  <c r="G45" i="4"/>
  <c r="G14" i="4"/>
  <c r="E44" i="4"/>
  <c r="E73" i="4"/>
  <c r="H6" i="4"/>
  <c r="H60" i="4"/>
  <c r="H105" i="4"/>
  <c r="E114" i="4"/>
  <c r="F8" i="4"/>
  <c r="E18" i="4"/>
  <c r="H81" i="4"/>
  <c r="F87" i="4"/>
  <c r="G7" i="4"/>
  <c r="H30" i="4"/>
  <c r="F4" i="4"/>
  <c r="E2" i="4"/>
  <c r="G116" i="4"/>
  <c r="E15" i="4"/>
  <c r="F53" i="4"/>
  <c r="F113" i="4"/>
  <c r="G109" i="4"/>
  <c r="H24" i="4"/>
  <c r="E126" i="4"/>
  <c r="H119" i="4"/>
  <c r="E49" i="4"/>
  <c r="E58" i="4"/>
  <c r="E55" i="4"/>
  <c r="E81" i="4"/>
  <c r="G85" i="4"/>
  <c r="E91" i="4"/>
  <c r="H110" i="4"/>
  <c r="H95" i="4"/>
  <c r="G81" i="4"/>
  <c r="H38" i="4"/>
  <c r="F73" i="4"/>
  <c r="G93" i="4"/>
  <c r="E35" i="4"/>
  <c r="E39" i="4"/>
  <c r="E80" i="4"/>
  <c r="H116" i="4"/>
  <c r="F11" i="4"/>
  <c r="H13" i="4"/>
  <c r="H102" i="4"/>
  <c r="H80" i="4"/>
  <c r="E32" i="4"/>
  <c r="G110" i="4"/>
  <c r="H65" i="4"/>
  <c r="E6" i="4"/>
  <c r="G124" i="4"/>
  <c r="E8" i="4"/>
  <c r="E82" i="4"/>
  <c r="F54" i="4"/>
  <c r="F84" i="4"/>
  <c r="H25" i="4"/>
  <c r="E108" i="4"/>
  <c r="H52" i="4"/>
  <c r="F90" i="4"/>
  <c r="G15" i="4"/>
  <c r="H14" i="4"/>
  <c r="E102" i="4"/>
  <c r="G104" i="4"/>
  <c r="F106" i="4"/>
  <c r="G41" i="4"/>
  <c r="E118" i="4"/>
  <c r="H112" i="4"/>
  <c r="F71" i="4"/>
  <c r="G11" i="4"/>
  <c r="G102" i="4"/>
  <c r="E112" i="4"/>
  <c r="G125" i="4"/>
  <c r="F38" i="4"/>
  <c r="G122" i="4"/>
  <c r="F21" i="4"/>
  <c r="F107" i="4"/>
  <c r="G25" i="4"/>
  <c r="G71" i="4"/>
  <c r="G91" i="4"/>
  <c r="F65" i="4"/>
  <c r="G4" i="4"/>
  <c r="H73" i="4"/>
  <c r="E57" i="4"/>
  <c r="E115" i="4"/>
  <c r="G100" i="4"/>
  <c r="E42" i="4"/>
  <c r="H69" i="4"/>
  <c r="H45" i="4"/>
  <c r="H37" i="4"/>
  <c r="E69" i="4"/>
  <c r="H58" i="4"/>
  <c r="F2" i="4"/>
  <c r="E19" i="4"/>
  <c r="E34" i="4"/>
  <c r="F104" i="4"/>
  <c r="F30" i="4"/>
  <c r="F26" i="4"/>
  <c r="E104" i="4"/>
  <c r="H66" i="4"/>
  <c r="E36" i="4"/>
  <c r="H47" i="4"/>
  <c r="E93" i="4"/>
  <c r="G53" i="4"/>
  <c r="E9" i="4"/>
  <c r="F89" i="4"/>
  <c r="F49" i="4"/>
  <c r="G33" i="4"/>
  <c r="G105" i="4"/>
  <c r="G126" i="4"/>
  <c r="E61" i="4"/>
  <c r="E120" i="4"/>
  <c r="E59" i="4"/>
  <c r="H41" i="4"/>
  <c r="H29" i="4"/>
  <c r="G123" i="4"/>
  <c r="F83" i="4"/>
  <c r="E90" i="4"/>
  <c r="F31" i="4"/>
  <c r="G89" i="4"/>
  <c r="E54" i="4"/>
  <c r="H11" i="4"/>
  <c r="E123" i="4"/>
  <c r="H36" i="4"/>
  <c r="G75" i="4"/>
  <c r="H12" i="4"/>
  <c r="H49" i="4"/>
  <c r="E87" i="4"/>
  <c r="H20" i="4"/>
  <c r="F16" i="4"/>
  <c r="F14" i="4"/>
  <c r="F35" i="4"/>
  <c r="F125" i="4"/>
  <c r="E7" i="4"/>
  <c r="E70" i="4"/>
  <c r="F37" i="4"/>
  <c r="E125" i="4"/>
  <c r="E85" i="4"/>
  <c r="E13" i="4"/>
  <c r="G64" i="4"/>
  <c r="H23" i="4"/>
  <c r="G59" i="4"/>
  <c r="F68" i="4"/>
  <c r="H121" i="4"/>
  <c r="M75" i="16" l="1"/>
  <c r="M74" i="16"/>
  <c r="M70" i="16"/>
  <c r="M71" i="16"/>
  <c r="M73" i="16"/>
  <c r="M72" i="16"/>
  <c r="M76" i="16"/>
  <c r="M69" i="16"/>
  <c r="O89" i="16"/>
  <c r="O115" i="16"/>
  <c r="N89" i="16"/>
  <c r="P74" i="16"/>
  <c r="N96" i="16"/>
  <c r="O70" i="16"/>
  <c r="O113" i="16"/>
  <c r="N94" i="16"/>
  <c r="N98" i="16"/>
  <c r="O111" i="16"/>
  <c r="P76" i="16"/>
  <c r="N86" i="16"/>
  <c r="N71" i="16"/>
  <c r="N88" i="16"/>
  <c r="O103" i="16"/>
  <c r="O80" i="16"/>
  <c r="O99" i="16"/>
  <c r="O86" i="16"/>
  <c r="N99" i="16"/>
  <c r="N113" i="16"/>
  <c r="O92" i="16"/>
  <c r="O83" i="16"/>
  <c r="N108" i="16"/>
  <c r="N76" i="16"/>
  <c r="M33" i="16" a="1"/>
  <c r="N84" i="16"/>
  <c r="P75" i="16"/>
  <c r="N104" i="16"/>
  <c r="N81" i="16"/>
  <c r="P69" i="16"/>
  <c r="O81" i="16"/>
  <c r="N109" i="16"/>
  <c r="O101" i="16"/>
  <c r="O71" i="16"/>
  <c r="N72" i="16"/>
  <c r="O69" i="16"/>
  <c r="O100" i="16"/>
  <c r="O108" i="16"/>
  <c r="N74" i="16"/>
  <c r="N82" i="16"/>
  <c r="N97" i="16"/>
  <c r="N105" i="16"/>
  <c r="N87" i="16"/>
  <c r="N110" i="16"/>
  <c r="O105" i="16"/>
  <c r="N103" i="16"/>
  <c r="O73" i="16"/>
  <c r="N91" i="16"/>
  <c r="C25" i="6"/>
  <c r="O75" i="16"/>
  <c r="N114" i="16"/>
  <c r="O110" i="16"/>
  <c r="O114" i="16"/>
  <c r="O95" i="16"/>
  <c r="O102" i="16"/>
  <c r="N83" i="16"/>
  <c r="N93" i="16"/>
  <c r="O104" i="16"/>
  <c r="O82" i="16"/>
  <c r="O94" i="16"/>
  <c r="O91" i="16"/>
  <c r="O98" i="16"/>
  <c r="N102" i="16"/>
  <c r="N92" i="16"/>
  <c r="O84" i="16"/>
  <c r="O88" i="16"/>
  <c r="O79" i="16"/>
  <c r="N111" i="16"/>
  <c r="O96" i="16"/>
  <c r="N85" i="16"/>
  <c r="O106" i="16"/>
  <c r="O19" i="16"/>
  <c r="N73" i="16"/>
  <c r="N79" i="16"/>
  <c r="P70" i="16"/>
  <c r="O85" i="16"/>
  <c r="P73" i="16"/>
  <c r="N106" i="16"/>
  <c r="P19" i="16"/>
  <c r="O72" i="16"/>
  <c r="N70" i="16"/>
  <c r="N95" i="16"/>
  <c r="P71" i="16"/>
  <c r="O97" i="16"/>
  <c r="N112" i="16"/>
  <c r="N107" i="16"/>
  <c r="N101" i="16"/>
  <c r="O74" i="16"/>
  <c r="N100" i="16"/>
  <c r="O93" i="16"/>
  <c r="O90" i="16"/>
  <c r="O112" i="16"/>
  <c r="O76" i="16"/>
  <c r="N80" i="16"/>
  <c r="N115" i="16"/>
  <c r="N75" i="16"/>
  <c r="O87" i="16"/>
  <c r="P72" i="16"/>
  <c r="N90" i="16"/>
  <c r="N69" i="16"/>
  <c r="O109" i="16"/>
  <c r="O107" i="16"/>
  <c r="M34" i="16" l="1"/>
  <c r="M41" i="16"/>
  <c r="M45" i="16"/>
  <c r="M57" i="16"/>
  <c r="M49" i="16"/>
  <c r="M53" i="16"/>
  <c r="M40" i="16"/>
  <c r="M61" i="16"/>
  <c r="M46" i="16"/>
  <c r="M36" i="16"/>
  <c r="M54" i="16"/>
  <c r="M50" i="16"/>
  <c r="M62" i="16"/>
  <c r="M58" i="16"/>
  <c r="M39" i="16"/>
  <c r="M66" i="16"/>
  <c r="M47" i="16"/>
  <c r="M35" i="16"/>
  <c r="M55" i="16"/>
  <c r="M59" i="16"/>
  <c r="M42" i="16"/>
  <c r="M65" i="16"/>
  <c r="M48" i="16"/>
  <c r="M56" i="16"/>
  <c r="M64" i="16"/>
  <c r="M38" i="16"/>
  <c r="M33" i="16"/>
  <c r="M43" i="16"/>
  <c r="M51" i="16"/>
  <c r="M63" i="16"/>
  <c r="M44" i="16"/>
  <c r="M52" i="16"/>
  <c r="M60" i="16"/>
  <c r="M37" i="16"/>
  <c r="P42" i="16"/>
  <c r="N49" i="16"/>
  <c r="P43" i="16"/>
  <c r="P37" i="16"/>
  <c r="P41" i="16"/>
  <c r="P57" i="16"/>
  <c r="P60" i="16"/>
  <c r="O36" i="16"/>
  <c r="N65" i="16"/>
  <c r="N37" i="16"/>
  <c r="N63" i="16"/>
  <c r="N58" i="16"/>
  <c r="P47" i="16"/>
  <c r="D14" i="6"/>
  <c r="P115" i="16"/>
  <c r="P91" i="16"/>
  <c r="P81" i="16"/>
  <c r="P84" i="16"/>
  <c r="P38" i="16"/>
  <c r="O60" i="16"/>
  <c r="O49" i="16"/>
  <c r="P52" i="16"/>
  <c r="P102" i="16"/>
  <c r="P89" i="16"/>
  <c r="P87" i="16"/>
  <c r="N47" i="16"/>
  <c r="O65" i="16"/>
  <c r="P62" i="16"/>
  <c r="P50" i="16"/>
  <c r="N53" i="16"/>
  <c r="P92" i="16"/>
  <c r="P93" i="16"/>
  <c r="P110" i="16"/>
  <c r="N44" i="16"/>
  <c r="N56" i="16"/>
  <c r="P53" i="16"/>
  <c r="N60" i="16"/>
  <c r="J1" i="4" a="1"/>
  <c r="P83" i="16"/>
  <c r="P96" i="16"/>
  <c r="N45" i="16"/>
  <c r="P55" i="16"/>
  <c r="P45" i="16"/>
  <c r="P58" i="16"/>
  <c r="C24" i="6"/>
  <c r="N36" i="16"/>
  <c r="O37" i="16"/>
  <c r="P34" i="16"/>
  <c r="P63" i="16"/>
  <c r="P111" i="16"/>
  <c r="O44" i="16"/>
  <c r="N48" i="16"/>
  <c r="O50" i="16"/>
  <c r="O39" i="16"/>
  <c r="O41" i="16"/>
  <c r="O53" i="16"/>
  <c r="O40" i="16"/>
  <c r="P61" i="16"/>
  <c r="N57" i="16"/>
  <c r="N41" i="16"/>
  <c r="N50" i="16"/>
  <c r="N52" i="16"/>
  <c r="Y16" i="16"/>
  <c r="R87" i="16"/>
  <c r="P112" i="16"/>
  <c r="P108" i="16"/>
  <c r="P95" i="16"/>
  <c r="P80" i="16"/>
  <c r="R74" i="16"/>
  <c r="R44" i="16"/>
  <c r="R76" i="16"/>
  <c r="R53" i="16"/>
  <c r="N43" i="16"/>
  <c r="O52" i="16"/>
  <c r="R52" i="16" s="1"/>
  <c r="O66" i="16"/>
  <c r="O45" i="16"/>
  <c r="O58" i="16"/>
  <c r="N40" i="16"/>
  <c r="N51" i="16"/>
  <c r="N61" i="16"/>
  <c r="N66" i="16"/>
  <c r="P48" i="16"/>
  <c r="O56" i="16"/>
  <c r="O35" i="16"/>
  <c r="R114" i="16"/>
  <c r="R105" i="16"/>
  <c r="R94" i="16"/>
  <c r="P105" i="16"/>
  <c r="R84" i="16"/>
  <c r="R19" i="16"/>
  <c r="R81" i="16"/>
  <c r="N34" i="16"/>
  <c r="N62" i="16"/>
  <c r="P49" i="16"/>
  <c r="N59" i="16"/>
  <c r="N55" i="16"/>
  <c r="O48" i="16"/>
  <c r="O64" i="16"/>
  <c r="O61" i="16"/>
  <c r="R61" i="16" s="1"/>
  <c r="O33" i="16"/>
  <c r="R106" i="16"/>
  <c r="R111" i="16"/>
  <c r="P106" i="16"/>
  <c r="P79" i="16"/>
  <c r="R89" i="16"/>
  <c r="R88" i="16"/>
  <c r="N38" i="16"/>
  <c r="N54" i="16"/>
  <c r="P64" i="16"/>
  <c r="O51" i="16"/>
  <c r="O47" i="16"/>
  <c r="R109" i="16"/>
  <c r="P114" i="16"/>
  <c r="P103" i="16"/>
  <c r="R97" i="16"/>
  <c r="R71" i="16"/>
  <c r="P51" i="16"/>
  <c r="P40" i="16"/>
  <c r="P33" i="16"/>
  <c r="P44" i="16"/>
  <c r="R107" i="16"/>
  <c r="P97" i="16"/>
  <c r="R39" i="16"/>
  <c r="R58" i="16"/>
  <c r="R75" i="16"/>
  <c r="R66" i="16"/>
  <c r="P36" i="16"/>
  <c r="O55" i="16"/>
  <c r="P66" i="16"/>
  <c r="O59" i="16"/>
  <c r="O63" i="16"/>
  <c r="R63" i="16" s="1"/>
  <c r="R108" i="16"/>
  <c r="P107" i="16"/>
  <c r="P82" i="16"/>
  <c r="Z19" i="16" a="1"/>
  <c r="R72" i="16"/>
  <c r="P54" i="16"/>
  <c r="P39" i="16"/>
  <c r="O57" i="16"/>
  <c r="R57" i="16" s="1"/>
  <c r="P65" i="16"/>
  <c r="R33" i="16"/>
  <c r="P98" i="16"/>
  <c r="P113" i="16"/>
  <c r="R100" i="16"/>
  <c r="R36" i="16"/>
  <c r="R48" i="16"/>
  <c r="R40" i="16"/>
  <c r="R92" i="16"/>
  <c r="N46" i="16"/>
  <c r="O62" i="16"/>
  <c r="O38" i="16"/>
  <c r="Z16" i="16"/>
  <c r="R50" i="16"/>
  <c r="D15" i="6"/>
  <c r="R99" i="16"/>
  <c r="R47" i="16"/>
  <c r="N35" i="16"/>
  <c r="P56" i="16"/>
  <c r="N33" i="16"/>
  <c r="O42" i="16"/>
  <c r="P59" i="16"/>
  <c r="P88" i="16"/>
  <c r="J23" i="16"/>
  <c r="P90" i="16"/>
  <c r="R80" i="16"/>
  <c r="O46" i="16"/>
  <c r="P46" i="16"/>
  <c r="O34" i="16"/>
  <c r="N42" i="16"/>
  <c r="R101" i="16"/>
  <c r="R45" i="16"/>
  <c r="P104" i="16"/>
  <c r="R41" i="16"/>
  <c r="R65" i="16"/>
  <c r="O43" i="16"/>
  <c r="R43" i="16" s="1"/>
  <c r="O54" i="16"/>
  <c r="R54" i="16" s="1"/>
  <c r="P35" i="16"/>
  <c r="N39" i="16"/>
  <c r="N64" i="16"/>
  <c r="P100" i="16"/>
  <c r="R34" i="16"/>
  <c r="P101" i="16"/>
  <c r="R73" i="16"/>
  <c r="R60" i="16"/>
  <c r="R49" i="16"/>
  <c r="P94" i="16"/>
  <c r="P99" i="16"/>
  <c r="P86" i="16"/>
  <c r="P109" i="16"/>
  <c r="P85" i="16"/>
  <c r="R103" i="16"/>
  <c r="R115" i="16"/>
  <c r="R91" i="16"/>
  <c r="R42" i="16"/>
  <c r="R112" i="16"/>
  <c r="R56" i="16"/>
  <c r="R38" i="16"/>
  <c r="R70" i="16"/>
  <c r="R95" i="16"/>
  <c r="R86" i="16"/>
  <c r="R46" i="16"/>
  <c r="R83" i="16"/>
  <c r="R82" i="16"/>
  <c r="R85" i="16"/>
  <c r="R64" i="16"/>
  <c r="R110" i="16"/>
  <c r="R90" i="16"/>
  <c r="R55" i="16"/>
  <c r="R98" i="16"/>
  <c r="R79" i="16"/>
  <c r="R59" i="16"/>
  <c r="R96" i="16"/>
  <c r="R93" i="16"/>
  <c r="R62" i="16"/>
  <c r="R51" i="16"/>
  <c r="R35" i="16"/>
  <c r="R113" i="16"/>
  <c r="R37" i="16"/>
  <c r="R102" i="16"/>
  <c r="R104" i="16"/>
  <c r="R26" i="16"/>
  <c r="R23" i="16"/>
  <c r="R29" i="16"/>
  <c r="R21" i="16"/>
  <c r="R20" i="16"/>
  <c r="R28" i="16"/>
  <c r="R22" i="16"/>
  <c r="R24" i="16"/>
  <c r="S23" i="16"/>
  <c r="S26" i="16"/>
  <c r="R25" i="16"/>
  <c r="R30" i="16"/>
  <c r="S20" i="16"/>
  <c r="R27" i="16"/>
  <c r="S25" i="16"/>
  <c r="S28" i="16"/>
  <c r="T28" i="16" l="1"/>
  <c r="T25" i="16"/>
  <c r="T20" i="16"/>
  <c r="T26" i="16"/>
  <c r="T23" i="16"/>
  <c r="Z304" i="16"/>
  <c r="Z60" i="16"/>
  <c r="Z1426" i="16"/>
  <c r="Z1609" i="16"/>
  <c r="Z66" i="16"/>
  <c r="Z969" i="16"/>
  <c r="Z1428" i="16"/>
  <c r="Z1399" i="16"/>
  <c r="Z2895" i="16"/>
  <c r="Z708" i="16"/>
  <c r="Z676" i="16"/>
  <c r="Z185" i="16"/>
  <c r="Z2881" i="16"/>
  <c r="Z2461" i="16"/>
  <c r="Z1442" i="16"/>
  <c r="Z3548" i="16"/>
  <c r="Z1225" i="16"/>
  <c r="Z273" i="16"/>
  <c r="Z845" i="16"/>
  <c r="Z1962" i="16"/>
  <c r="Z730" i="16"/>
  <c r="Z377" i="16"/>
  <c r="Z2236" i="16"/>
  <c r="Z1713" i="16"/>
  <c r="Z661" i="16"/>
  <c r="Z2024" i="16"/>
  <c r="Z3399" i="16"/>
  <c r="Z1464" i="16"/>
  <c r="Z3077" i="16"/>
  <c r="Z603" i="16"/>
  <c r="Z2609" i="16"/>
  <c r="Z1058" i="16"/>
  <c r="Z910" i="16"/>
  <c r="Z1519" i="16"/>
  <c r="Z2617" i="16"/>
  <c r="Z3520" i="16"/>
  <c r="Z3410" i="16"/>
  <c r="Z796" i="16"/>
  <c r="Z567" i="16"/>
  <c r="Z388" i="16"/>
  <c r="Z1490" i="16"/>
  <c r="Z537" i="16"/>
  <c r="Z296" i="16"/>
  <c r="Z1664" i="16"/>
  <c r="Z2128" i="16"/>
  <c r="Z1271" i="16"/>
  <c r="Z342" i="16"/>
  <c r="Z460" i="16"/>
  <c r="Z201" i="16"/>
  <c r="Z600" i="16"/>
  <c r="Z1192" i="16"/>
  <c r="Z3540" i="16"/>
  <c r="Z804" i="16"/>
  <c r="Z958" i="16"/>
  <c r="Z2444" i="16"/>
  <c r="Z364" i="16"/>
  <c r="Z1184" i="16"/>
  <c r="Z2283" i="16"/>
  <c r="Z1385" i="16"/>
  <c r="Z873" i="16"/>
  <c r="Z858" i="16"/>
  <c r="Z74" i="16"/>
  <c r="Z1620" i="16"/>
  <c r="Z2063" i="16"/>
  <c r="Z2697" i="16"/>
  <c r="Z697" i="16"/>
  <c r="Z67" i="16"/>
  <c r="Z3279" i="16"/>
  <c r="Z2048" i="16"/>
  <c r="Z2338" i="16"/>
  <c r="Z2381" i="16"/>
  <c r="Z2083" i="16"/>
  <c r="Z686" i="16"/>
  <c r="Z900" i="16"/>
  <c r="Z2873" i="16"/>
  <c r="Z2922" i="16"/>
  <c r="Z3128" i="16"/>
  <c r="Z2142" i="16"/>
  <c r="Z852" i="16"/>
  <c r="Z1047" i="16"/>
  <c r="Z629" i="16"/>
  <c r="Z1631" i="16"/>
  <c r="Z2369" i="16"/>
  <c r="Z3081" i="16"/>
  <c r="Z2923" i="16"/>
  <c r="Z81" i="16"/>
  <c r="Z1677" i="16"/>
  <c r="Z2927" i="16"/>
  <c r="Z943" i="16"/>
  <c r="Z738" i="16"/>
  <c r="Z2042" i="16"/>
  <c r="Z2955" i="16"/>
  <c r="Z1119" i="16"/>
  <c r="Z1284" i="16"/>
  <c r="Z337" i="16"/>
  <c r="Z3207" i="16"/>
  <c r="Z1194" i="16"/>
  <c r="Z1872" i="16"/>
  <c r="Z1535" i="16"/>
  <c r="Z2707" i="16"/>
  <c r="Z775" i="16"/>
  <c r="Z909" i="16"/>
  <c r="Z3388" i="16"/>
  <c r="Z1763" i="16"/>
  <c r="Z1554" i="16"/>
  <c r="Z1761" i="16"/>
  <c r="Z3255" i="16"/>
  <c r="Z1644" i="16"/>
  <c r="Z1489" i="16"/>
  <c r="Z1090" i="16"/>
  <c r="Z3507" i="16"/>
  <c r="Z248" i="16"/>
  <c r="Z286" i="16"/>
  <c r="Z860" i="16"/>
  <c r="Z3135" i="16"/>
  <c r="Z2214" i="16"/>
  <c r="Z2803" i="16"/>
  <c r="Z1213" i="16"/>
  <c r="Z947" i="16"/>
  <c r="Z2607" i="16"/>
  <c r="Z3350" i="16"/>
  <c r="Z1193" i="16"/>
  <c r="Z1700" i="16"/>
  <c r="Z146" i="16"/>
  <c r="Z455" i="16"/>
  <c r="Z357" i="16"/>
  <c r="Z789" i="16"/>
  <c r="Z3395" i="16"/>
  <c r="Z2268" i="16"/>
  <c r="Z2638" i="16"/>
  <c r="Z2051" i="16"/>
  <c r="Z3428" i="16"/>
  <c r="Z2160" i="16"/>
  <c r="Z1776" i="16"/>
  <c r="Z2054" i="16"/>
  <c r="Z2819" i="16"/>
  <c r="Z2396" i="16"/>
  <c r="Z3098" i="16"/>
  <c r="Z1154" i="16"/>
  <c r="Z2131" i="16"/>
  <c r="Z1995" i="16"/>
  <c r="Z1942" i="16"/>
  <c r="Z1765" i="16"/>
  <c r="Z503" i="16"/>
  <c r="Z53" i="16"/>
  <c r="Z458" i="16"/>
  <c r="Z2785" i="16"/>
  <c r="Z2725" i="16"/>
  <c r="Z744" i="16"/>
  <c r="Z856" i="16"/>
  <c r="Z3498" i="16"/>
  <c r="Z3420" i="16"/>
  <c r="Z1531" i="16"/>
  <c r="Z3066" i="16"/>
  <c r="Z2103" i="16"/>
  <c r="Z2432" i="16"/>
  <c r="Z2067" i="16"/>
  <c r="Z3476" i="16"/>
  <c r="Z3463" i="16"/>
  <c r="Z1599" i="16"/>
  <c r="Z97" i="16"/>
  <c r="Z83" i="16"/>
  <c r="Z1813" i="16"/>
  <c r="Z58" i="16"/>
  <c r="Z2791" i="16"/>
  <c r="Z1952" i="16"/>
  <c r="Z1024" i="16"/>
  <c r="Z1124" i="16"/>
  <c r="Z2367" i="16"/>
  <c r="Z1053" i="16"/>
  <c r="Z984" i="16"/>
  <c r="Z1693" i="16"/>
  <c r="Z893" i="16"/>
  <c r="Z3275" i="16"/>
  <c r="Z1354" i="16"/>
  <c r="Z624" i="16"/>
  <c r="Z2660" i="16"/>
  <c r="Z990" i="16"/>
  <c r="Z2260" i="16"/>
  <c r="Z647" i="16"/>
  <c r="Z1410" i="16"/>
  <c r="Z583" i="16"/>
  <c r="Z2163" i="16"/>
  <c r="Z1451" i="16"/>
  <c r="Z748" i="16"/>
  <c r="Z2965" i="16"/>
  <c r="Z2675" i="16"/>
  <c r="Z3071" i="16"/>
  <c r="Z539" i="16"/>
  <c r="Z3228" i="16"/>
  <c r="Z2437" i="16"/>
  <c r="Z1618" i="16"/>
  <c r="Z653" i="16"/>
  <c r="Z3417" i="16"/>
  <c r="Z1551" i="16"/>
  <c r="Z2177" i="16"/>
  <c r="Z3455" i="16"/>
  <c r="Z1126" i="16"/>
  <c r="Z3254" i="16"/>
  <c r="Z3537" i="16"/>
  <c r="Z3051" i="16"/>
  <c r="Z1310" i="16"/>
  <c r="Z2479" i="16"/>
  <c r="Z2788" i="16"/>
  <c r="Z1643" i="16"/>
  <c r="Z1084" i="16"/>
  <c r="Z2898" i="16"/>
  <c r="Z2985" i="16"/>
  <c r="Z2752" i="16"/>
  <c r="Z1398" i="16"/>
  <c r="Z2405" i="16"/>
  <c r="Z2427" i="16"/>
  <c r="Z2892" i="16"/>
  <c r="Z565" i="16"/>
  <c r="Z1097" i="16"/>
  <c r="Z3136" i="16"/>
  <c r="Z215" i="16"/>
  <c r="Z2121" i="16"/>
  <c r="Z2506" i="16"/>
  <c r="Z184" i="16"/>
  <c r="Z374" i="16"/>
  <c r="Z3492" i="16"/>
  <c r="Z2354" i="16"/>
  <c r="Z3418" i="16"/>
  <c r="Z1736" i="16"/>
  <c r="Z2022" i="16"/>
  <c r="Z898" i="16"/>
  <c r="Z2317" i="16"/>
  <c r="Z2315" i="16"/>
  <c r="Z1321" i="16"/>
  <c r="Z341" i="16"/>
  <c r="Z70" i="16"/>
  <c r="Z1737" i="16"/>
  <c r="Z2999" i="16"/>
  <c r="Z391" i="16"/>
  <c r="Z2714" i="16"/>
  <c r="Z2172" i="16"/>
  <c r="Z2862" i="16"/>
  <c r="Z3444" i="16"/>
  <c r="Z2677" i="16"/>
  <c r="Z1790" i="16"/>
  <c r="Z1420" i="16"/>
  <c r="Z1139" i="16"/>
  <c r="Z1162" i="16"/>
  <c r="Z2033" i="16"/>
  <c r="Z2404" i="16"/>
  <c r="Z257" i="16"/>
  <c r="Z131" i="16"/>
  <c r="Z1188" i="16"/>
  <c r="Z77" i="16"/>
  <c r="Z897" i="16"/>
  <c r="Z1070" i="16"/>
  <c r="Z1783" i="16"/>
  <c r="Z980" i="16"/>
  <c r="Z2760" i="16"/>
  <c r="Z1948" i="16"/>
  <c r="Z631" i="16"/>
  <c r="Z2456" i="16"/>
  <c r="Z2871" i="16"/>
  <c r="Z3457" i="16"/>
  <c r="Z883" i="16"/>
  <c r="Z3432" i="16"/>
  <c r="Z2287" i="16"/>
  <c r="Z2538" i="16"/>
  <c r="Z386" i="16"/>
  <c r="Z206" i="16"/>
  <c r="Z623" i="16"/>
  <c r="Z2750" i="16"/>
  <c r="Z2634" i="16"/>
  <c r="Z1460" i="16"/>
  <c r="Z155" i="16"/>
  <c r="Z2377" i="16"/>
  <c r="Z1669" i="16"/>
  <c r="Z3334" i="16"/>
  <c r="Z2669" i="16"/>
  <c r="Z162" i="16"/>
  <c r="Z335" i="16"/>
  <c r="Z3147" i="16"/>
  <c r="Z801" i="16"/>
  <c r="Z2650" i="16"/>
  <c r="Z2904" i="16"/>
  <c r="Z36" i="16"/>
  <c r="Z427" i="16"/>
  <c r="Z2225" i="16"/>
  <c r="Z822" i="16"/>
  <c r="Z232" i="16"/>
  <c r="Z640" i="16"/>
  <c r="Z2724" i="16"/>
  <c r="Z2096" i="16"/>
  <c r="Z3176" i="16"/>
  <c r="Z1923" i="16"/>
  <c r="Z340" i="16"/>
  <c r="Z2997" i="16"/>
  <c r="Z788" i="16"/>
  <c r="Z770" i="16"/>
  <c r="Z2991" i="16"/>
  <c r="Z2592" i="16"/>
  <c r="Z2939" i="16"/>
  <c r="Z3032" i="16"/>
  <c r="Z2339" i="16"/>
  <c r="Z3055" i="16"/>
  <c r="Z1821" i="16"/>
  <c r="Z1494" i="16"/>
  <c r="Z1352" i="16"/>
  <c r="Z3398" i="16"/>
  <c r="Z1902" i="16"/>
  <c r="Z1256" i="16"/>
  <c r="Z1374" i="16"/>
  <c r="Z2191" i="16"/>
  <c r="Z2017" i="16"/>
  <c r="Z3222" i="16"/>
  <c r="Z3425" i="16"/>
  <c r="Z2588" i="16"/>
  <c r="Z3201" i="16"/>
  <c r="Z1658" i="16"/>
  <c r="Z3513" i="16"/>
  <c r="Z1580" i="16"/>
  <c r="Z217" i="16"/>
  <c r="Z1269" i="16"/>
  <c r="Z328" i="16"/>
  <c r="Z3079" i="16"/>
  <c r="Z1044" i="16"/>
  <c r="Z1708" i="16"/>
  <c r="Z2505" i="16"/>
  <c r="Z2061" i="16"/>
  <c r="Z1463" i="16"/>
  <c r="Z1589" i="16"/>
  <c r="Z2931" i="16"/>
  <c r="Z3030" i="16"/>
  <c r="Z2056" i="16"/>
  <c r="Z557" i="16"/>
  <c r="Z1304" i="16"/>
  <c r="Z2772" i="16"/>
  <c r="Z2914" i="16"/>
  <c r="Z3352" i="16"/>
  <c r="Z1744" i="16"/>
  <c r="Z92" i="16"/>
  <c r="Z759" i="16"/>
  <c r="Z1721" i="16"/>
  <c r="Z3229" i="16"/>
  <c r="Z1095" i="16"/>
  <c r="Z966" i="16"/>
  <c r="Z1741" i="16"/>
  <c r="Z2792" i="16"/>
  <c r="Z144" i="16"/>
  <c r="Z148" i="16"/>
  <c r="Z301" i="16"/>
  <c r="Z3441" i="16"/>
  <c r="Z553" i="16"/>
  <c r="Z954" i="16"/>
  <c r="Z2275" i="16"/>
  <c r="Z3008" i="16"/>
  <c r="Z2355" i="16"/>
  <c r="Z1686" i="16"/>
  <c r="Z3130" i="16"/>
  <c r="Z2110" i="16"/>
  <c r="Z1179" i="16"/>
  <c r="Z2629" i="16"/>
  <c r="Z3009" i="16"/>
  <c r="Z269" i="16"/>
  <c r="Z2562" i="16"/>
  <c r="Z3337" i="16"/>
  <c r="Z2496" i="16"/>
  <c r="Z1182" i="16"/>
  <c r="Z2969" i="16"/>
  <c r="Z1278" i="16"/>
  <c r="Z642" i="16"/>
  <c r="Z203" i="16"/>
  <c r="Z774" i="16"/>
  <c r="Z829" i="16"/>
  <c r="Z1734" i="16"/>
  <c r="Z951" i="16"/>
  <c r="Z1532" i="16"/>
  <c r="Z109" i="16"/>
  <c r="Z2219" i="16"/>
  <c r="Z1794" i="16"/>
  <c r="Z3519" i="16"/>
  <c r="Z3318" i="16"/>
  <c r="Z995" i="16"/>
  <c r="Z723" i="16"/>
  <c r="Z1929" i="16"/>
  <c r="Z475" i="16"/>
  <c r="Z664" i="16"/>
  <c r="Z1218" i="16"/>
  <c r="Z1171" i="16"/>
  <c r="Z1005" i="16"/>
  <c r="Z1505" i="16"/>
  <c r="Z59" i="16"/>
  <c r="Z889" i="16"/>
  <c r="Z734" i="16"/>
  <c r="Z1488" i="16"/>
  <c r="Z1292" i="16"/>
  <c r="Z2434" i="16"/>
  <c r="Z612" i="16"/>
  <c r="Z2002" i="16"/>
  <c r="Z3171" i="16"/>
  <c r="Z1413" i="16"/>
  <c r="Z1347" i="16"/>
  <c r="Z1386" i="16"/>
  <c r="Z2730" i="16"/>
  <c r="Z3225" i="16"/>
  <c r="Z891" i="16"/>
  <c r="Z620" i="16"/>
  <c r="Z3263" i="16"/>
  <c r="Z44" i="16"/>
  <c r="Z1411" i="16"/>
  <c r="Z254" i="16"/>
  <c r="Z2794" i="16"/>
  <c r="Z2648" i="16"/>
  <c r="Z2872" i="16"/>
  <c r="Z922" i="16"/>
  <c r="Z384" i="16"/>
  <c r="Z3256" i="16"/>
  <c r="Z110" i="16"/>
  <c r="Z102" i="16"/>
  <c r="Z1152" i="16"/>
  <c r="Z3280" i="16"/>
  <c r="Z367" i="16"/>
  <c r="Z613" i="16"/>
  <c r="Z1533" i="16"/>
  <c r="Z3524" i="16"/>
  <c r="Z1400" i="16"/>
  <c r="Z303" i="16"/>
  <c r="Z1678" i="16"/>
  <c r="Z1753" i="16"/>
  <c r="Z108" i="16"/>
  <c r="Z2615" i="16"/>
  <c r="Z94" i="16"/>
  <c r="Z1246" i="16"/>
  <c r="Z103" i="16"/>
  <c r="Z2551" i="16"/>
  <c r="Z3160" i="16"/>
  <c r="Z98" i="16"/>
  <c r="Z3458" i="16"/>
  <c r="Z3320" i="16"/>
  <c r="Z149" i="16"/>
  <c r="Z709" i="16"/>
  <c r="Z1074" i="16"/>
  <c r="Z3549" i="16"/>
  <c r="Z973" i="16"/>
  <c r="Z2418" i="16"/>
  <c r="Z2467" i="16"/>
  <c r="Z874" i="16"/>
  <c r="Z1209" i="16"/>
  <c r="Z1823" i="16"/>
  <c r="Z2078" i="16"/>
  <c r="Z2352" i="16"/>
  <c r="Z1465" i="16"/>
  <c r="Z2916" i="16"/>
  <c r="Z2993" i="16"/>
  <c r="Z1105" i="16"/>
  <c r="Z1540" i="16"/>
  <c r="Z461" i="16"/>
  <c r="Z2155" i="16"/>
  <c r="Z2560" i="16"/>
  <c r="Z2594" i="16"/>
  <c r="Z481" i="16"/>
  <c r="Z1461" i="16"/>
  <c r="Z1212" i="16"/>
  <c r="Z305" i="16"/>
  <c r="Z3181" i="16"/>
  <c r="Z1922" i="16"/>
  <c r="Z749" i="16"/>
  <c r="Z720" i="16"/>
  <c r="Z408" i="16"/>
  <c r="Z2105" i="16"/>
  <c r="Z1888" i="16"/>
  <c r="Z533" i="16"/>
  <c r="Z3153" i="16"/>
  <c r="Z2135" i="16"/>
  <c r="Z1941" i="16"/>
  <c r="Z2423" i="16"/>
  <c r="Z3413" i="16"/>
  <c r="Z175" i="16"/>
  <c r="Z1100" i="16"/>
  <c r="Z3013" i="16"/>
  <c r="Z3366" i="16"/>
  <c r="Z588" i="16"/>
  <c r="Z2975" i="16"/>
  <c r="Z956" i="16"/>
  <c r="Z685" i="16"/>
  <c r="Z3148" i="16"/>
  <c r="Z2156" i="16"/>
  <c r="Z3552" i="16"/>
  <c r="Z1509" i="16"/>
  <c r="Z3485" i="16"/>
  <c r="Z1728" i="16"/>
  <c r="Z2732" i="16"/>
  <c r="Z994" i="16"/>
  <c r="Z3379" i="16"/>
  <c r="Z776" i="16"/>
  <c r="Z531" i="16"/>
  <c r="Z118" i="16"/>
  <c r="Z2891" i="16"/>
  <c r="Z1153" i="16"/>
  <c r="Z3527" i="16"/>
  <c r="Z2057" i="16"/>
  <c r="Z1749" i="16"/>
  <c r="Z3203" i="16"/>
  <c r="Z1550" i="16"/>
  <c r="Z1330" i="16"/>
  <c r="Z68" i="16"/>
  <c r="Z2718" i="16"/>
  <c r="Z1141" i="16"/>
  <c r="Z949" i="16"/>
  <c r="Z277" i="16"/>
  <c r="Z660" i="16"/>
  <c r="Z880" i="16"/>
  <c r="Z161" i="16"/>
  <c r="Z2836" i="16"/>
  <c r="Z1498" i="16"/>
  <c r="Z3347" i="16"/>
  <c r="Z1963" i="16"/>
  <c r="Z2401" i="16"/>
  <c r="Z3100" i="16"/>
  <c r="Z3287" i="16"/>
  <c r="Z3063" i="16"/>
  <c r="Z2199" i="16"/>
  <c r="Z387" i="16"/>
  <c r="Z55" i="16"/>
  <c r="Z3506" i="16"/>
  <c r="Z2963" i="16"/>
  <c r="Z1315" i="16"/>
  <c r="Z1989" i="16"/>
  <c r="Z2234" i="16"/>
  <c r="Z1820" i="16"/>
  <c r="Z265" i="16"/>
  <c r="Z2178" i="16"/>
  <c r="Z3421" i="16"/>
  <c r="Z705" i="16"/>
  <c r="Z418" i="16"/>
  <c r="Z3246" i="16"/>
  <c r="Z728" i="16"/>
  <c r="Z1118" i="16"/>
  <c r="Z48" i="16"/>
  <c r="Z3450" i="16"/>
  <c r="Z1046" i="16"/>
  <c r="Z2894" i="16"/>
  <c r="Z1342" i="16"/>
  <c r="Z221" i="16"/>
  <c r="Z1029" i="16"/>
  <c r="Z3120" i="16"/>
  <c r="Z3024" i="16"/>
  <c r="Z1940" i="16"/>
  <c r="Z1123" i="16"/>
  <c r="Z1261" i="16"/>
  <c r="Z3178" i="16"/>
  <c r="Z242" i="16"/>
  <c r="Z1538" i="16"/>
  <c r="Z1865" i="16"/>
  <c r="Z1357" i="16"/>
  <c r="Z1534" i="16"/>
  <c r="Z1174" i="16"/>
  <c r="Z411" i="16"/>
  <c r="Z2858" i="16"/>
  <c r="Z2445" i="16"/>
  <c r="Z1990" i="16"/>
  <c r="Z756" i="16"/>
  <c r="Z280" i="16"/>
  <c r="Z35" i="16"/>
  <c r="Z1349" i="16"/>
  <c r="Z2065" i="16"/>
  <c r="Z2679" i="16"/>
  <c r="Z3400" i="16"/>
  <c r="Z2465" i="16"/>
  <c r="Z2209" i="16"/>
  <c r="Z2653" i="16"/>
  <c r="Z3390" i="16"/>
  <c r="Z1971" i="16"/>
  <c r="Z1558" i="16"/>
  <c r="Z1014" i="16"/>
  <c r="Z530" i="16"/>
  <c r="Z285" i="16"/>
  <c r="Z1467" i="16"/>
  <c r="Z1381" i="16"/>
  <c r="Z3014" i="16"/>
  <c r="Z2412" i="16"/>
  <c r="Z2032" i="16"/>
  <c r="Z1169" i="16"/>
  <c r="Z2088" i="16"/>
  <c r="Z2578" i="16"/>
  <c r="Z330" i="16"/>
  <c r="Z2005" i="16"/>
  <c r="Z1927" i="16"/>
  <c r="Z1695" i="16"/>
  <c r="Z2068" i="16"/>
  <c r="Z1944" i="16"/>
  <c r="Z2957" i="16"/>
  <c r="Z559" i="16"/>
  <c r="Z618" i="16"/>
  <c r="Z2694" i="16"/>
  <c r="Z2837" i="16"/>
  <c r="Z1208" i="16"/>
  <c r="Z1038" i="16"/>
  <c r="Z1666" i="16"/>
  <c r="Z1367" i="16"/>
  <c r="Z902" i="16"/>
  <c r="Z3300" i="16"/>
  <c r="Z3500" i="16"/>
  <c r="Z1096" i="16"/>
  <c r="Z226" i="16"/>
  <c r="Z706" i="16"/>
  <c r="Z1709" i="16"/>
  <c r="Z1103" i="16"/>
  <c r="Z135" i="16"/>
  <c r="Z727" i="16"/>
  <c r="Z3369" i="16"/>
  <c r="Z766" i="16"/>
  <c r="Z2058" i="16"/>
  <c r="Z792" i="16"/>
  <c r="Z172" i="16"/>
  <c r="Z2471" i="16"/>
  <c r="Z959" i="16"/>
  <c r="Z2824" i="16"/>
  <c r="Z1596" i="16"/>
  <c r="Z3297" i="16"/>
  <c r="Z2655" i="16"/>
  <c r="Z3045" i="16"/>
  <c r="Z936" i="16"/>
  <c r="Z2889" i="16"/>
  <c r="Z1214" i="16"/>
  <c r="Z1938" i="16"/>
  <c r="Z1841" i="16"/>
  <c r="Z495" i="16"/>
  <c r="Z34" i="16"/>
  <c r="Z2910" i="16"/>
  <c r="Z1440" i="16"/>
  <c r="Z143" i="16"/>
  <c r="Z1181" i="16"/>
  <c r="Z2956" i="16"/>
  <c r="Z831" i="16"/>
  <c r="Z2364" i="16"/>
  <c r="Z3437" i="16"/>
  <c r="Z2138" i="16"/>
  <c r="Z95" i="16"/>
  <c r="Z2426" i="16"/>
  <c r="Z501" i="16"/>
  <c r="Z663" i="16"/>
  <c r="Z1740" i="16"/>
  <c r="Z446" i="16"/>
  <c r="Z2589" i="16"/>
  <c r="Z666" i="16"/>
  <c r="Z955" i="16"/>
  <c r="Z1720" i="16"/>
  <c r="Z1724" i="16"/>
  <c r="Z2102" i="16"/>
  <c r="Z3321" i="16"/>
  <c r="Z3179" i="16"/>
  <c r="Z1655" i="16"/>
  <c r="Z229" i="16"/>
  <c r="Z953" i="16"/>
  <c r="Z1092" i="16"/>
  <c r="Z2754" i="16"/>
  <c r="Z2876" i="16"/>
  <c r="Z1972" i="16"/>
  <c r="Z737" i="16"/>
  <c r="Z1632" i="16"/>
  <c r="Z1110" i="16"/>
  <c r="Z698" i="16"/>
  <c r="Z2429" i="16"/>
  <c r="Z2703" i="16"/>
  <c r="Z2768" i="16"/>
  <c r="Z1359" i="16"/>
  <c r="Z421" i="16"/>
  <c r="Z1949" i="16"/>
  <c r="Z2037" i="16"/>
  <c r="Z2804" i="16"/>
  <c r="Z2144" i="16"/>
  <c r="Z3121" i="16"/>
  <c r="Z373" i="16"/>
  <c r="Z2685" i="16"/>
  <c r="Z3168" i="16"/>
  <c r="Z1712" i="16"/>
  <c r="Z1598" i="16"/>
  <c r="Z932" i="16"/>
  <c r="Z1296" i="16"/>
  <c r="Z2026" i="16"/>
  <c r="Z2611" i="16"/>
  <c r="Z2814" i="16"/>
  <c r="Z2810" i="16"/>
  <c r="Z992" i="16"/>
  <c r="Z1577" i="16"/>
  <c r="Z3309" i="16"/>
  <c r="Z313" i="16"/>
  <c r="Z1343" i="16"/>
  <c r="Z72" i="16"/>
  <c r="Z1657" i="16"/>
  <c r="Z3072" i="16"/>
  <c r="Z1320" i="16"/>
  <c r="Z3082" i="16"/>
  <c r="Z2173" i="16"/>
  <c r="Z1335" i="16"/>
  <c r="Z2224" i="16"/>
  <c r="Z154" i="16"/>
  <c r="Z1231" i="16"/>
  <c r="Z1176" i="16"/>
  <c r="Z3167" i="16"/>
  <c r="Z3151" i="16"/>
  <c r="Z782" i="16"/>
  <c r="Z1376" i="16"/>
  <c r="Z493" i="16"/>
  <c r="Z2184" i="16"/>
  <c r="Z117" i="16"/>
  <c r="Z3092" i="16"/>
  <c r="Z1128" i="16"/>
  <c r="Z2092" i="16"/>
  <c r="Z3393" i="16"/>
  <c r="Z828" i="16"/>
  <c r="Z2885" i="16"/>
  <c r="Z548" i="16"/>
  <c r="Z2800" i="16"/>
  <c r="Z1934" i="16"/>
  <c r="Z3479" i="16"/>
  <c r="Z2380" i="16"/>
  <c r="Z1018" i="16"/>
  <c r="Z662" i="16"/>
  <c r="Z157" i="16"/>
  <c r="Z1112" i="16"/>
  <c r="Z1545" i="16"/>
  <c r="Z1480" i="16"/>
  <c r="Z2232" i="16"/>
  <c r="Z2854" i="16"/>
  <c r="Z808" i="16"/>
  <c r="Z3377" i="16"/>
  <c r="Z3477" i="16"/>
  <c r="Z2905" i="16"/>
  <c r="Z2899" i="16"/>
  <c r="Z3219" i="16"/>
  <c r="Z3139" i="16"/>
  <c r="Z3314" i="16"/>
  <c r="Z492" i="16"/>
  <c r="Z837" i="16"/>
  <c r="Z3258" i="16"/>
  <c r="Z132" i="16"/>
  <c r="Z1882" i="16"/>
  <c r="Z815" i="16"/>
  <c r="Z582" i="16"/>
  <c r="Z3349" i="16"/>
  <c r="Z1144" i="16"/>
  <c r="Z2515" i="16"/>
  <c r="Z982" i="16"/>
  <c r="Z2141" i="16"/>
  <c r="Z1207" i="16"/>
  <c r="Z2569" i="16"/>
  <c r="Z1468" i="16"/>
  <c r="Z2510" i="16"/>
  <c r="Z410" i="16"/>
  <c r="Z1125" i="16"/>
  <c r="Z510" i="16"/>
  <c r="Z2676" i="16"/>
  <c r="Z2712" i="16"/>
  <c r="Z2977" i="16"/>
  <c r="Z3102" i="16"/>
  <c r="Z3235" i="16"/>
  <c r="Z2116" i="16"/>
  <c r="Z1245" i="16"/>
  <c r="Z300" i="16"/>
  <c r="Z971" i="16"/>
  <c r="Z695" i="16"/>
  <c r="Z2190" i="16"/>
  <c r="Z2622" i="16"/>
  <c r="Z424" i="16"/>
  <c r="Z2817" i="16"/>
  <c r="Z3329" i="16"/>
  <c r="Z216" i="16"/>
  <c r="Z2440" i="16"/>
  <c r="Z823" i="16"/>
  <c r="Z1016" i="16"/>
  <c r="Z3105" i="16"/>
  <c r="Z2384" i="16"/>
  <c r="Z2062" i="16"/>
  <c r="Z2959" i="16"/>
  <c r="Z940" i="16"/>
  <c r="Z1276" i="16"/>
  <c r="Z699" i="16"/>
  <c r="Z1926" i="16"/>
  <c r="Z1775" i="16"/>
  <c r="Z2251" i="16"/>
  <c r="Z3523" i="16"/>
  <c r="Z2282" i="16"/>
  <c r="Z1698" i="16"/>
  <c r="Z1515" i="16"/>
  <c r="Z607" i="16"/>
  <c r="Z467" i="16"/>
  <c r="Z577" i="16"/>
  <c r="Z1350" i="16"/>
  <c r="Z3499" i="16"/>
  <c r="Z379" i="16"/>
  <c r="Z2388" i="16"/>
  <c r="Z376" i="16"/>
  <c r="Z1566" i="16"/>
  <c r="Z1900" i="16"/>
  <c r="Z483" i="16"/>
  <c r="Z1258" i="16"/>
  <c r="Z1691" i="16"/>
  <c r="Z2170" i="16"/>
  <c r="Z463" i="16"/>
  <c r="Z979" i="16"/>
  <c r="Z1200" i="16"/>
  <c r="Z30" i="16"/>
  <c r="Z674" i="16"/>
  <c r="Z3530" i="16"/>
  <c r="Z1983" i="16"/>
  <c r="Z763" i="16"/>
  <c r="Z768" i="16"/>
  <c r="Z1355" i="16"/>
  <c r="Z346" i="16"/>
  <c r="Z2821" i="16"/>
  <c r="Z3460" i="16"/>
  <c r="Z3252" i="16"/>
  <c r="Z797" i="16"/>
  <c r="Z1422" i="16"/>
  <c r="Z1196" i="16"/>
  <c r="Z1832" i="16"/>
  <c r="Z2663" i="16"/>
  <c r="Z2774" i="16"/>
  <c r="Z323" i="16"/>
  <c r="Z2835" i="16"/>
  <c r="Z2075" i="16"/>
  <c r="Z1255" i="16"/>
  <c r="Z3042" i="16"/>
  <c r="Z235" i="16"/>
  <c r="Z2034" i="16"/>
  <c r="Z1114" i="16"/>
  <c r="Z2458" i="16"/>
  <c r="Z3426" i="16"/>
  <c r="Z1160" i="16"/>
  <c r="Z1795" i="16"/>
  <c r="Z2787" i="16"/>
  <c r="Z1170" i="16"/>
  <c r="Z595" i="16"/>
  <c r="Z2627" i="16"/>
  <c r="Z2580" i="16"/>
  <c r="Z1788" i="16"/>
  <c r="Z2893" i="16"/>
  <c r="Z2392" i="16"/>
  <c r="Z560" i="16"/>
  <c r="Z121" i="16"/>
  <c r="Z1481" i="16"/>
  <c r="Z536" i="16"/>
  <c r="Z1881" i="16"/>
  <c r="Z1356" i="16"/>
  <c r="Z2887" i="16"/>
  <c r="Z888" i="16"/>
  <c r="Z1789" i="16"/>
  <c r="Z669" i="16"/>
  <c r="Z451" i="16"/>
  <c r="Z2733" i="16"/>
  <c r="Z3330" i="16"/>
  <c r="Z1883" i="16"/>
  <c r="Z2842" i="16"/>
  <c r="Z2012" i="16"/>
  <c r="Z1393" i="16"/>
  <c r="Z3044" i="16"/>
  <c r="Z3340" i="16"/>
  <c r="Z579" i="16"/>
  <c r="Z598" i="16"/>
  <c r="Z3473" i="16"/>
  <c r="Z1279" i="16"/>
  <c r="Z3501" i="16"/>
  <c r="Z245" i="16"/>
  <c r="Z944" i="16"/>
  <c r="Z1903" i="16"/>
  <c r="Z1107" i="16"/>
  <c r="Z1275" i="16"/>
  <c r="Z2278" i="16"/>
  <c r="Z892" i="16"/>
  <c r="Z1419" i="16"/>
  <c r="Z1751" i="16"/>
  <c r="Z526" i="16"/>
  <c r="Z3217" i="16"/>
  <c r="Z3021" i="16"/>
  <c r="Z2347" i="16"/>
  <c r="Z1520" i="16"/>
  <c r="Z1578" i="16"/>
  <c r="Z2502" i="16"/>
  <c r="Z1268" i="16"/>
  <c r="Z3114" i="16"/>
  <c r="Z2813" i="16"/>
  <c r="Z358" i="16"/>
  <c r="Z2254" i="16"/>
  <c r="Z755" i="16"/>
  <c r="Z3109" i="16"/>
  <c r="Z1537" i="16"/>
  <c r="Z3097" i="16"/>
  <c r="Z2830" i="16"/>
  <c r="Z3544" i="16"/>
  <c r="Z2944" i="16"/>
  <c r="Z541" i="16"/>
  <c r="Z1283" i="16"/>
  <c r="Z2118" i="16"/>
  <c r="Z532" i="16"/>
  <c r="Z520" i="16"/>
  <c r="Z3541" i="16"/>
  <c r="Z1710" i="16"/>
  <c r="Z3250" i="16"/>
  <c r="Z2641" i="16"/>
  <c r="Z3276" i="16"/>
  <c r="Z1758" i="16"/>
  <c r="Z1623" i="16"/>
  <c r="Z2125" i="16"/>
  <c r="Z1164" i="16"/>
  <c r="Z2257" i="16"/>
  <c r="Z1158" i="16"/>
  <c r="Z390" i="16"/>
  <c r="Z1722" i="16"/>
  <c r="Z325" i="16"/>
  <c r="Z2493" i="16"/>
  <c r="Z3075" i="16"/>
  <c r="Z2189" i="16"/>
  <c r="Z3327" i="16"/>
  <c r="Z2133" i="16"/>
  <c r="Z355" i="16"/>
  <c r="Z641" i="16"/>
  <c r="Z298" i="16"/>
  <c r="Z3529" i="16"/>
  <c r="Z2738" i="16"/>
  <c r="Z2029" i="16"/>
  <c r="Z1019" i="16"/>
  <c r="Z578" i="16"/>
  <c r="Z1050" i="16"/>
  <c r="Z1325" i="16"/>
  <c r="Z2243" i="16"/>
  <c r="Z1102" i="16"/>
  <c r="Z3192" i="16"/>
  <c r="Z644" i="16"/>
  <c r="Z170" i="16"/>
  <c r="Z2671" i="16"/>
  <c r="Z260" i="16"/>
  <c r="Z811" i="16"/>
  <c r="Z2417" i="16"/>
  <c r="Z812" i="16"/>
  <c r="Z3484" i="16"/>
  <c r="Z1886" i="16"/>
  <c r="Z3230" i="16"/>
  <c r="Z255" i="16"/>
  <c r="Z168" i="16"/>
  <c r="Z2586" i="16"/>
  <c r="Z246" i="16"/>
  <c r="Z3215" i="16"/>
  <c r="Z3430" i="16"/>
  <c r="Z114" i="16"/>
  <c r="Z555" i="16"/>
  <c r="Z3262" i="16"/>
  <c r="Z2508" i="16"/>
  <c r="Z1921" i="16"/>
  <c r="Z468" i="16"/>
  <c r="Z3307" i="16"/>
  <c r="Z3273" i="16"/>
  <c r="Z843" i="16"/>
  <c r="Z1157" i="16"/>
  <c r="Z2439" i="16"/>
  <c r="Z23" i="16"/>
  <c r="Z2152" i="16"/>
  <c r="Z2525" i="16"/>
  <c r="Z894" i="16"/>
  <c r="Z1571" i="16"/>
  <c r="Z2201" i="16"/>
  <c r="Z568" i="16"/>
  <c r="Z473" i="16"/>
  <c r="Z1253" i="16"/>
  <c r="Z692" i="16"/>
  <c r="Z1497" i="16"/>
  <c r="Z3423" i="16"/>
  <c r="Z1986" i="16"/>
  <c r="Z3545" i="16"/>
  <c r="Z1299" i="16"/>
  <c r="Z619" i="16"/>
  <c r="Z406" i="16"/>
  <c r="Z104" i="16"/>
  <c r="Z1530" i="16"/>
  <c r="Z3365" i="16"/>
  <c r="Z1425" i="16"/>
  <c r="Z3149" i="16"/>
  <c r="Z2820" i="16"/>
  <c r="Z540" i="16"/>
  <c r="Z2202" i="16"/>
  <c r="Z456" i="16"/>
  <c r="Z2120" i="16"/>
  <c r="Z39" i="16"/>
  <c r="Z3144" i="16"/>
  <c r="Z521" i="16"/>
  <c r="Z2373" i="16"/>
  <c r="Z1892" i="16"/>
  <c r="Z271" i="16"/>
  <c r="Z2616" i="16"/>
  <c r="Z1121" i="16"/>
  <c r="Z100" i="16"/>
  <c r="Z299" i="16"/>
  <c r="Z1616" i="16"/>
  <c r="Z1438" i="16"/>
  <c r="Z2874" i="16"/>
  <c r="Z454" i="16"/>
  <c r="Z896" i="16"/>
  <c r="Z658" i="16"/>
  <c r="Z1546" i="16"/>
  <c r="Z1899" i="16"/>
  <c r="Z962" i="16"/>
  <c r="Z1536" i="16"/>
  <c r="Z3236" i="16"/>
  <c r="Z840" i="16"/>
  <c r="Z174" i="16"/>
  <c r="Z2626" i="16"/>
  <c r="Z141" i="16"/>
  <c r="Z111" i="16"/>
  <c r="Z2466" i="16"/>
  <c r="Z1627" i="16"/>
  <c r="Z1796" i="16"/>
  <c r="Z2000" i="16"/>
  <c r="Z351" i="16"/>
  <c r="Z3232" i="16"/>
  <c r="Z140" i="16"/>
  <c r="Z1977" i="16"/>
  <c r="Z222" i="16"/>
  <c r="Z2390" i="16"/>
  <c r="Z1003" i="16"/>
  <c r="Z917" i="16"/>
  <c r="Z2237" i="16"/>
  <c r="Z1000" i="16"/>
  <c r="Z1469" i="16"/>
  <c r="Z2090" i="16"/>
  <c r="Z2543" i="16"/>
  <c r="Z1266" i="16"/>
  <c r="Z3076" i="16"/>
  <c r="Z1262" i="16"/>
  <c r="Z765" i="16"/>
  <c r="Z2745" i="16"/>
  <c r="Z2292" i="16"/>
  <c r="Z988" i="16"/>
  <c r="Z2316" i="16"/>
  <c r="Z3237" i="16"/>
  <c r="Z2920" i="16"/>
  <c r="Z466" i="16"/>
  <c r="Z1544" i="16"/>
  <c r="Z2994" i="16"/>
  <c r="Z3155" i="16"/>
  <c r="Z2415" i="16"/>
  <c r="Z1017" i="16"/>
  <c r="Z324" i="16"/>
  <c r="Z2040" i="16"/>
  <c r="Z1418" i="16"/>
  <c r="Z2897" i="16"/>
  <c r="Z2129" i="16"/>
  <c r="Z3511" i="16"/>
  <c r="Z1847" i="16"/>
  <c r="Z150" i="16"/>
  <c r="Z151" i="16"/>
  <c r="Z2706" i="16"/>
  <c r="Z125" i="16"/>
  <c r="Z1645" i="16"/>
  <c r="Z693" i="16"/>
  <c r="Z3212" i="16"/>
  <c r="Z291" i="16"/>
  <c r="Z2553" i="16"/>
  <c r="Z3131" i="16"/>
  <c r="Z2690" i="16"/>
  <c r="Z2269" i="16"/>
  <c r="Z1936" i="16"/>
  <c r="Z209" i="16"/>
  <c r="Z2823" i="16"/>
  <c r="Z3346" i="16"/>
  <c r="Z494" i="16"/>
  <c r="Z225" i="16"/>
  <c r="Z2941" i="16"/>
  <c r="Z916" i="16"/>
  <c r="Z471" i="16"/>
  <c r="Z396" i="16"/>
  <c r="Z2261" i="16"/>
  <c r="Z754" i="16"/>
  <c r="Z3495" i="16"/>
  <c r="Z2513" i="16"/>
  <c r="Z1417" i="16"/>
  <c r="Z3029" i="16"/>
  <c r="Z1959" i="16"/>
  <c r="Z153" i="16"/>
  <c r="Z946" i="16"/>
  <c r="Z977" i="16"/>
  <c r="Z25" i="16"/>
  <c r="Z3094" i="16"/>
  <c r="Z1999" i="16"/>
  <c r="Z2805" i="16"/>
  <c r="Z764" i="16"/>
  <c r="Z3283" i="16"/>
  <c r="Z870" i="16"/>
  <c r="Z499" i="16"/>
  <c r="Z1254" i="16"/>
  <c r="Z890" i="16"/>
  <c r="Z855" i="16"/>
  <c r="Z197" i="16"/>
  <c r="Z2414" i="16"/>
  <c r="Z207" i="16"/>
  <c r="Z818" i="16"/>
  <c r="Z2313" i="16"/>
  <c r="Z2921" i="16"/>
  <c r="Z2848" i="16"/>
  <c r="Z2240" i="16"/>
  <c r="Z2986" i="16"/>
  <c r="Z635" i="16"/>
  <c r="Z3384" i="16"/>
  <c r="Z807" i="16"/>
  <c r="Z2098" i="16"/>
  <c r="Z2252" i="16"/>
  <c r="Z802" i="16"/>
  <c r="Z865" i="16"/>
  <c r="Z439" i="16"/>
  <c r="Z2736" i="16"/>
  <c r="Z2211" i="16"/>
  <c r="Z3172" i="16"/>
  <c r="Z2981" i="16"/>
  <c r="Z1013" i="16"/>
  <c r="Z1876" i="16"/>
  <c r="Z1707" i="16"/>
  <c r="Z1992" i="16"/>
  <c r="Z1108" i="16"/>
  <c r="Z2323" i="16"/>
  <c r="Z3487" i="16"/>
  <c r="Z2253" i="16"/>
  <c r="Z1778" i="16"/>
  <c r="Z3080" i="16"/>
  <c r="Z1408" i="16"/>
  <c r="Z3550" i="16"/>
  <c r="Z1828" i="16"/>
  <c r="Z2863" i="16"/>
  <c r="Z1605" i="16"/>
  <c r="Z191" i="16"/>
  <c r="Z1787" i="16"/>
  <c r="Z779" i="16"/>
  <c r="Z1334" i="16"/>
  <c r="Z1909" i="16"/>
  <c r="Z3360" i="16"/>
  <c r="Z1021" i="16"/>
  <c r="Z1006" i="16"/>
  <c r="Z331" i="16"/>
  <c r="Z833" i="16"/>
  <c r="Z616" i="16"/>
  <c r="Z905" i="16"/>
  <c r="Z1412" i="16"/>
  <c r="Z2398" i="16"/>
  <c r="Z1187" i="16"/>
  <c r="Z1732" i="16"/>
  <c r="Z2684" i="16"/>
  <c r="Z1233" i="16"/>
  <c r="Z1004" i="16"/>
  <c r="Z1404" i="16"/>
  <c r="Z558" i="16"/>
  <c r="Z3269" i="16"/>
  <c r="Z524" i="16"/>
  <c r="Z333" i="16"/>
  <c r="Z2971" i="16"/>
  <c r="Z1956" i="16"/>
  <c r="Z2438" i="16"/>
  <c r="Z487" i="16"/>
  <c r="Z523" i="16"/>
  <c r="Z2852" i="16"/>
  <c r="Z2582" i="16"/>
  <c r="Z3140" i="16"/>
  <c r="Z999" i="16"/>
  <c r="Z1675" i="16"/>
  <c r="Z347" i="16"/>
  <c r="Z1040" i="16"/>
  <c r="Z1676" i="16"/>
  <c r="Z2300" i="16"/>
  <c r="Z3107" i="16"/>
  <c r="Z3086" i="16"/>
  <c r="Z1392" i="16"/>
  <c r="Z123" i="16"/>
  <c r="Z432" i="16"/>
  <c r="Z419" i="16"/>
  <c r="Z1981" i="16"/>
  <c r="Z1854" i="16"/>
  <c r="Z87" i="16"/>
  <c r="Z1012" i="16"/>
  <c r="Z2869" i="16"/>
  <c r="Z3305" i="16"/>
  <c r="Z741" i="16"/>
  <c r="Z2935" i="16"/>
  <c r="Z3322" i="16"/>
  <c r="Z2167" i="16"/>
  <c r="Z1132" i="16"/>
  <c r="Z1564" i="16"/>
  <c r="Z2446" i="16"/>
  <c r="Z3158" i="16"/>
  <c r="Z2624" i="16"/>
  <c r="Z79" i="16"/>
  <c r="Z1443" i="16"/>
  <c r="Z2602" i="16"/>
  <c r="Z713" i="16"/>
  <c r="Z1197" i="16"/>
  <c r="Z3037" i="16"/>
  <c r="Z1499" i="16"/>
  <c r="Z1219" i="16"/>
  <c r="Z2080" i="16"/>
  <c r="Z2700" i="16"/>
  <c r="Z1291" i="16"/>
  <c r="Z2587" i="16"/>
  <c r="Z1684" i="16"/>
  <c r="Z1202" i="16"/>
  <c r="Z1243" i="16"/>
  <c r="Z2001" i="16"/>
  <c r="Z2099" i="16"/>
  <c r="Z1964" i="16"/>
  <c r="Z1191" i="16"/>
  <c r="Z1819" i="16"/>
  <c r="Z476" i="16"/>
  <c r="Z2632" i="16"/>
  <c r="Z1987" i="16"/>
  <c r="Z1290" i="16"/>
  <c r="Z3248" i="16"/>
  <c r="Z3466" i="16"/>
  <c r="Z1234" i="16"/>
  <c r="Z2011" i="16"/>
  <c r="Z317" i="16"/>
  <c r="Z1085" i="16"/>
  <c r="Z380" i="16"/>
  <c r="Z1757" i="16"/>
  <c r="Z1010" i="16"/>
  <c r="Z2870" i="16"/>
  <c r="Z1456" i="16"/>
  <c r="Z906" i="16"/>
  <c r="Z3493" i="16"/>
  <c r="Z869" i="16"/>
  <c r="Z3272" i="16"/>
  <c r="Z799" i="16"/>
  <c r="Z819" i="16"/>
  <c r="Z412" i="16"/>
  <c r="Z3043" i="16"/>
  <c r="Z240" i="16"/>
  <c r="Z2425" i="16"/>
  <c r="Z2293" i="16"/>
  <c r="Z1858" i="16"/>
  <c r="Z752" i="16"/>
  <c r="Z876" i="16"/>
  <c r="Z1146" i="16"/>
  <c r="Z1302" i="16"/>
  <c r="Z1173" i="16"/>
  <c r="Z3208" i="16"/>
  <c r="Z1555" i="16"/>
  <c r="Z2542" i="16"/>
  <c r="Z2441" i="16"/>
  <c r="Z961" i="16"/>
  <c r="Z2713" i="16"/>
  <c r="Z1979" i="16"/>
  <c r="Z2668" i="16"/>
  <c r="Z854" i="16"/>
  <c r="Z1561" i="16"/>
  <c r="Z2917" i="16"/>
  <c r="Z1870" i="16"/>
  <c r="Z2132" i="16"/>
  <c r="Z981" i="16"/>
  <c r="Z3213" i="16"/>
  <c r="Z2647" i="16"/>
  <c r="Z2175" i="16"/>
  <c r="Z2529" i="16"/>
  <c r="Z211" i="16"/>
  <c r="Z1134" i="16"/>
  <c r="Z3016" i="16"/>
  <c r="Z1115" i="16"/>
  <c r="Z126" i="16"/>
  <c r="Z1366" i="16"/>
  <c r="Z2210" i="16"/>
  <c r="Z1183" i="16"/>
  <c r="Z3004" i="16"/>
  <c r="Z2735" i="16"/>
  <c r="Z3433" i="16"/>
  <c r="Z2519" i="16"/>
  <c r="Z2130" i="16"/>
  <c r="Z1447" i="16"/>
  <c r="Z2783" i="16"/>
  <c r="Z3186" i="16"/>
  <c r="Z3274" i="16"/>
  <c r="Z2998" i="16"/>
  <c r="Z3339" i="16"/>
  <c r="Z2311" i="16"/>
  <c r="Z2021" i="16"/>
  <c r="Z2348" i="16"/>
  <c r="Z2635" i="16"/>
  <c r="Z1022" i="16"/>
  <c r="Z2494" i="16"/>
  <c r="Z2238" i="16"/>
  <c r="Z1232" i="16"/>
  <c r="Z2984" i="16"/>
  <c r="Z1960" i="16"/>
  <c r="Z3516" i="16"/>
  <c r="Z2550" i="16"/>
  <c r="Z781" i="16"/>
  <c r="Z2492" i="16"/>
  <c r="Z3338" i="16"/>
  <c r="Z3070" i="16"/>
  <c r="Z938" i="16"/>
  <c r="Z247" i="16"/>
  <c r="Z587" i="16"/>
  <c r="Z648" i="16"/>
  <c r="Z1471" i="16"/>
  <c r="Z918" i="16"/>
  <c r="Z1991" i="16"/>
  <c r="Z1705" i="16"/>
  <c r="Z2936" i="16"/>
  <c r="Z671" i="16"/>
  <c r="Z2742" i="16"/>
  <c r="Z3240" i="16"/>
  <c r="Z3461" i="16"/>
  <c r="Z2244" i="16"/>
  <c r="Z3514" i="16"/>
  <c r="Z2767" i="16"/>
  <c r="Z2855" i="16"/>
  <c r="Z866" i="16"/>
  <c r="Z884" i="16"/>
  <c r="Z1362" i="16"/>
  <c r="Z2640" i="16"/>
  <c r="Z2773" i="16"/>
  <c r="Z1780" i="16"/>
  <c r="Z1856" i="16"/>
  <c r="Z1008" i="16"/>
  <c r="Z1714" i="16"/>
  <c r="Z1462" i="16"/>
  <c r="Z3367" i="16"/>
  <c r="Z3427" i="16"/>
  <c r="Z156" i="16"/>
  <c r="Z293" i="16"/>
  <c r="Z1089" i="16"/>
  <c r="Z1495" i="16"/>
  <c r="Z504" i="16"/>
  <c r="Z1937" i="16"/>
  <c r="Z2853" i="16"/>
  <c r="Z3370" i="16"/>
  <c r="Z3387" i="16"/>
  <c r="Z1452" i="16"/>
  <c r="Z684" i="16"/>
  <c r="Z2613" i="16"/>
  <c r="Z270" i="16"/>
  <c r="Z436" i="16"/>
  <c r="Z2428" i="16"/>
  <c r="Z2169" i="16"/>
  <c r="Z550" i="16"/>
  <c r="Z441" i="16"/>
  <c r="Z190" i="16"/>
  <c r="Z1527" i="16"/>
  <c r="Z2656" i="16"/>
  <c r="Z2654" i="16"/>
  <c r="Z1754" i="16"/>
  <c r="Z515" i="16"/>
  <c r="Z1322" i="16"/>
  <c r="Z732" i="16"/>
  <c r="Z3462" i="16"/>
  <c r="Z2526" i="16"/>
  <c r="Z1885" i="16"/>
  <c r="Z2451" i="16"/>
  <c r="Z2790" i="16"/>
  <c r="Z2469" i="16"/>
  <c r="Z420" i="16"/>
  <c r="Z3049" i="16"/>
  <c r="Z127" i="16"/>
  <c r="Z2353" i="16"/>
  <c r="Z3402" i="16"/>
  <c r="Z2258" i="16"/>
  <c r="Z1894" i="16"/>
  <c r="Z1680" i="16"/>
  <c r="Z1415" i="16"/>
  <c r="Z1915" i="16"/>
  <c r="Z3090" i="16"/>
  <c r="Z52" i="16"/>
  <c r="Z2521" i="16"/>
  <c r="Z2797" i="16"/>
  <c r="Z518" i="16"/>
  <c r="Z1518" i="16"/>
  <c r="Z1172" i="16"/>
  <c r="Z2926" i="16"/>
  <c r="Z2363" i="16"/>
  <c r="Z2365" i="16"/>
  <c r="Z1033" i="16"/>
  <c r="Z2335" i="16"/>
  <c r="Z2849" i="16"/>
  <c r="Z459" i="16"/>
  <c r="Z1043" i="16"/>
  <c r="Z2200" i="16"/>
  <c r="Z2460" i="16"/>
  <c r="Z1248" i="16"/>
  <c r="Z2911" i="16"/>
  <c r="Z2995" i="16"/>
  <c r="Z2500" i="16"/>
  <c r="Z1524" i="16"/>
  <c r="Z259" i="16"/>
  <c r="Z1702" i="16"/>
  <c r="Z2802" i="16"/>
  <c r="Z338" i="16"/>
  <c r="Z1543" i="16"/>
  <c r="Z1210" i="16"/>
  <c r="Z2628" i="16"/>
  <c r="Z3502" i="16"/>
  <c r="Z3356" i="16"/>
  <c r="Z24" i="16"/>
  <c r="Z2665" i="16"/>
  <c r="Z3381" i="16"/>
  <c r="Z1201" i="16"/>
  <c r="Z952" i="16"/>
  <c r="Z929" i="16"/>
  <c r="Z2064" i="16"/>
  <c r="Z1597" i="16"/>
  <c r="Z2826" i="16"/>
  <c r="Z2330" i="16"/>
  <c r="Z2798" i="16"/>
  <c r="Z2979" i="16"/>
  <c r="Z2839" i="16"/>
  <c r="Z1007" i="16"/>
  <c r="Z3265" i="16"/>
  <c r="Z1692" i="16"/>
  <c r="Z320" i="16"/>
  <c r="Z2559" i="16"/>
  <c r="Z69" i="16"/>
  <c r="Z1073" i="16"/>
  <c r="Z365" i="16"/>
  <c r="Z1437" i="16"/>
  <c r="Z462" i="16"/>
  <c r="Z964" i="16"/>
  <c r="Z2407" i="16"/>
  <c r="Z1628" i="16"/>
  <c r="Z2571" i="16"/>
  <c r="Z534" i="16"/>
  <c r="Z1030" i="16"/>
  <c r="Z2859" i="16"/>
  <c r="Z1239" i="16"/>
  <c r="Z1288" i="16"/>
  <c r="Z848" i="16"/>
  <c r="Z237" i="16"/>
  <c r="Z549" i="16"/>
  <c r="Z3532" i="16"/>
  <c r="Z1607" i="16"/>
  <c r="Z1336" i="16"/>
  <c r="Z769" i="16"/>
  <c r="Z3440" i="16"/>
  <c r="Z3101" i="16"/>
  <c r="Z1688" i="16"/>
  <c r="Z1755" i="16"/>
  <c r="Z942" i="16"/>
  <c r="Z1830" i="16"/>
  <c r="Z238" i="16"/>
  <c r="Z1953" i="16"/>
  <c r="Z2489" i="16"/>
  <c r="Z2265" i="16"/>
  <c r="Z1738" i="16"/>
  <c r="Z1581" i="16"/>
  <c r="Z2476" i="16"/>
  <c r="Z3223" i="16"/>
  <c r="Z1405" i="16"/>
  <c r="Z1785" i="16"/>
  <c r="Z3405" i="16"/>
  <c r="Z3163" i="16"/>
  <c r="Z133" i="16"/>
  <c r="Z3497" i="16"/>
  <c r="Z3156" i="16"/>
  <c r="Z261" i="16"/>
  <c r="Z878" i="16"/>
  <c r="Z2987" i="16"/>
  <c r="Z2183" i="16"/>
  <c r="Z2309" i="16"/>
  <c r="Z409" i="16"/>
  <c r="Z2350" i="16"/>
  <c r="Z3214" i="16"/>
  <c r="Z2023" i="16"/>
  <c r="Z2395" i="16"/>
  <c r="Z3266" i="16"/>
  <c r="Z2946" i="16"/>
  <c r="Z733" i="16"/>
  <c r="Z1407" i="16"/>
  <c r="Z2762" i="16"/>
  <c r="Z78" i="16"/>
  <c r="Z336" i="16"/>
  <c r="Z2925" i="16"/>
  <c r="Z1337" i="16"/>
  <c r="Z308" i="16"/>
  <c r="Z356" i="16"/>
  <c r="Z1849" i="16"/>
  <c r="Z2908" i="16"/>
  <c r="Z3449" i="16"/>
  <c r="Z957" i="16"/>
  <c r="Z1227" i="16"/>
  <c r="Z262" i="16"/>
  <c r="Z1185" i="16"/>
  <c r="Z433" i="16"/>
  <c r="Z1136" i="16"/>
  <c r="Z1247" i="16"/>
  <c r="Z2229" i="16"/>
  <c r="Z189" i="16"/>
  <c r="Z1648" i="16"/>
  <c r="Z88" i="16"/>
  <c r="Z3306" i="16"/>
  <c r="Z3226" i="16"/>
  <c r="Z2623" i="16"/>
  <c r="Z2150" i="16"/>
  <c r="Z2028" i="16"/>
  <c r="Z814" i="16"/>
  <c r="Z575" i="16"/>
  <c r="Z2710" i="16"/>
  <c r="Z205" i="16"/>
  <c r="Z54" i="16"/>
  <c r="Z339" i="16"/>
  <c r="Z3141" i="16"/>
  <c r="Z1034" i="16"/>
  <c r="Z1065" i="16"/>
  <c r="Z2085" i="16"/>
  <c r="Z134" i="16"/>
  <c r="Z2227" i="16"/>
  <c r="Z2682" i="16"/>
  <c r="Z1473" i="16"/>
  <c r="Z3531" i="16"/>
  <c r="Z1822" i="16"/>
  <c r="Z2990" i="16"/>
  <c r="Z2728" i="16"/>
  <c r="Z208" i="16"/>
  <c r="Z1781" i="16"/>
  <c r="Z2864" i="16"/>
  <c r="Z3006" i="16"/>
  <c r="Z195" i="16"/>
  <c r="Z2305" i="16"/>
  <c r="Z3368" i="16"/>
  <c r="Z231" i="16"/>
  <c r="Z1831" i="16"/>
  <c r="Z2010" i="16"/>
  <c r="Z2108" i="16"/>
  <c r="Z1807" i="16"/>
  <c r="Z887" i="16"/>
  <c r="Z91" i="16"/>
  <c r="Z152" i="16"/>
  <c r="Z2953" i="16"/>
  <c r="Z2759" i="16"/>
  <c r="Z1222" i="16"/>
  <c r="Z1434" i="16"/>
  <c r="Z1147" i="16"/>
  <c r="Z816" i="16"/>
  <c r="Z593" i="16"/>
  <c r="Z3165" i="16"/>
  <c r="Z315" i="16"/>
  <c r="Z3187" i="16"/>
  <c r="Z1955" i="16"/>
  <c r="Z702" i="16"/>
  <c r="Z986" i="16"/>
  <c r="Z2421" i="16"/>
  <c r="Z45" i="16"/>
  <c r="Z2249" i="16"/>
  <c r="Z2312" i="16"/>
  <c r="Z2165" i="16"/>
  <c r="Z163" i="16"/>
  <c r="Z1479" i="16"/>
  <c r="Z2512" i="16"/>
  <c r="Z3439" i="16"/>
  <c r="Z1679" i="16"/>
  <c r="Z714" i="16"/>
  <c r="Z1156" i="16"/>
  <c r="Z3446" i="16"/>
  <c r="Z2698" i="16"/>
  <c r="Z1510" i="16"/>
  <c r="Z1579" i="16"/>
  <c r="Z2518" i="16"/>
  <c r="Z1060" i="16"/>
  <c r="Z1015" i="16"/>
  <c r="Z1633" i="16"/>
  <c r="Z76" i="16"/>
  <c r="Z1384" i="16"/>
  <c r="Z717" i="16"/>
  <c r="Z1313" i="16"/>
  <c r="Z2563" i="16"/>
  <c r="Z1104" i="16"/>
  <c r="Z2544" i="16"/>
  <c r="Z177" i="16"/>
  <c r="Z1614" i="16"/>
  <c r="Z1965" i="16"/>
  <c r="Z1687" i="16"/>
  <c r="Z192" i="16"/>
  <c r="Z1514" i="16"/>
  <c r="Z2119" i="16"/>
  <c r="Z124" i="16"/>
  <c r="Z2657" i="16"/>
  <c r="Z762" i="16"/>
  <c r="Z1079" i="16"/>
  <c r="Z3065" i="16"/>
  <c r="Z1142" i="16"/>
  <c r="Z3408" i="16"/>
  <c r="Z1023" i="16"/>
  <c r="Z202" i="16"/>
  <c r="Z3064" i="16"/>
  <c r="Z295" i="16"/>
  <c r="Z2400" i="16"/>
  <c r="Z1333" i="16"/>
  <c r="Z2919" i="16"/>
  <c r="Z2203" i="16"/>
  <c r="Z2151" i="16"/>
  <c r="Z1345" i="16"/>
  <c r="Z2793" i="16"/>
  <c r="Z2558" i="16"/>
  <c r="Z2996" i="16"/>
  <c r="Z2497" i="16"/>
  <c r="Z2410" i="16"/>
  <c r="Z2673" i="16"/>
  <c r="Z835" i="16"/>
  <c r="Z3022" i="16"/>
  <c r="Z924" i="16"/>
  <c r="Z3122" i="16"/>
  <c r="Z3496" i="16"/>
  <c r="Z771" i="16"/>
  <c r="Z2877" i="16"/>
  <c r="Z1429" i="16"/>
  <c r="Z1541" i="16"/>
  <c r="Z2298" i="16"/>
  <c r="Z2818" i="16"/>
  <c r="Z414" i="16"/>
  <c r="Z3512" i="16"/>
  <c r="Z1466" i="16"/>
  <c r="Z3288" i="16"/>
  <c r="Z1088" i="16"/>
  <c r="Z3298" i="16"/>
  <c r="Z2574" i="16"/>
  <c r="Z2038" i="16"/>
  <c r="Z2739" i="16"/>
  <c r="Z2825" i="16"/>
  <c r="Z395" i="16"/>
  <c r="Z3434" i="16"/>
  <c r="Z2084" i="16"/>
  <c r="Z401" i="16"/>
  <c r="Z1470" i="16"/>
  <c r="Z3113" i="16"/>
  <c r="Z2915" i="16"/>
  <c r="Z1409" i="16"/>
  <c r="Z1739" i="16"/>
  <c r="Z2982" i="16"/>
  <c r="Z2777" i="16"/>
  <c r="Z1652" i="16"/>
  <c r="Z1332" i="16"/>
  <c r="Z122" i="16"/>
  <c r="Z589" i="16"/>
  <c r="Z1797" i="16"/>
  <c r="Z3342" i="16"/>
  <c r="Z2291" i="16"/>
  <c r="Z2565" i="16"/>
  <c r="Z1035" i="16"/>
  <c r="Z2346" i="16"/>
  <c r="Z1569" i="16"/>
  <c r="Z1661" i="16"/>
  <c r="Z1659" i="16"/>
  <c r="Z2630" i="16"/>
  <c r="Z2045" i="16"/>
  <c r="Z2376" i="16"/>
  <c r="Z511" i="16"/>
  <c r="Z2060" i="16"/>
  <c r="Z2406" i="16"/>
  <c r="Z2226" i="16"/>
  <c r="Z2882" i="16"/>
  <c r="Z2756" i="16"/>
  <c r="Z276" i="16"/>
  <c r="Z1829" i="16"/>
  <c r="Z1052" i="16"/>
  <c r="Z2900" i="16"/>
  <c r="Z3284" i="16"/>
  <c r="Z614" i="16"/>
  <c r="Z1674" i="16"/>
  <c r="Z826" i="16"/>
  <c r="Z556" i="16"/>
  <c r="Z806" i="16"/>
  <c r="Z1611" i="16"/>
  <c r="Z3464" i="16"/>
  <c r="Z1973" i="16"/>
  <c r="Z3442" i="16"/>
  <c r="Z2358" i="16"/>
  <c r="Z2094" i="16"/>
  <c r="Z1845" i="16"/>
  <c r="Z1491" i="16"/>
  <c r="Z1747" i="16"/>
  <c r="Z3162" i="16"/>
  <c r="Z3431" i="16"/>
  <c r="Z1742" i="16"/>
  <c r="Z2757" i="16"/>
  <c r="Z1148" i="16"/>
  <c r="Z3084" i="16"/>
  <c r="Z101" i="16"/>
  <c r="Z925" i="16"/>
  <c r="Z1237" i="16"/>
  <c r="Z1277" i="16"/>
  <c r="Z2053" i="16"/>
  <c r="Z1770" i="16"/>
  <c r="Z2687" i="16"/>
  <c r="Z1317" i="16"/>
  <c r="Z1898" i="16"/>
  <c r="Z2683" i="16"/>
  <c r="Z491" i="16"/>
  <c r="Z2020" i="16"/>
  <c r="Z1178" i="16"/>
  <c r="Z1911" i="16"/>
  <c r="Z361" i="16"/>
  <c r="Z3376" i="16"/>
  <c r="Z794" i="16"/>
  <c r="Z2168" i="16"/>
  <c r="Z426" i="16"/>
  <c r="Z3268" i="16"/>
  <c r="Z3389" i="16"/>
  <c r="Z2964" i="16"/>
  <c r="Z569" i="16"/>
  <c r="Z772" i="16"/>
  <c r="Z329" i="16"/>
  <c r="Z1477" i="16"/>
  <c r="Z1402" i="16"/>
  <c r="Z2267" i="16"/>
  <c r="Z2729" i="16"/>
  <c r="Z2598" i="16"/>
  <c r="Z562" i="16"/>
  <c r="Z2780" i="16"/>
  <c r="Z1668" i="16"/>
  <c r="Z1974" i="16"/>
  <c r="Z89" i="16"/>
  <c r="Z2059" i="16"/>
  <c r="Z3371" i="16"/>
  <c r="Z2386" i="16"/>
  <c r="Z2136" i="16"/>
  <c r="Z2866" i="16"/>
  <c r="Z2378" i="16"/>
  <c r="Z3047" i="16"/>
  <c r="Z825" i="16"/>
  <c r="Z3472" i="16"/>
  <c r="Z1071" i="16"/>
  <c r="Z1257" i="16"/>
  <c r="Z2036" i="16"/>
  <c r="Z3504" i="16"/>
  <c r="Z3183" i="16"/>
  <c r="Z1424" i="16"/>
  <c r="Z2430" i="16"/>
  <c r="Z3028" i="16"/>
  <c r="Z448" i="16"/>
  <c r="Z2314" i="16"/>
  <c r="Z1135" i="16"/>
  <c r="Z1215" i="16"/>
  <c r="Z3188" i="16"/>
  <c r="Z3419" i="16"/>
  <c r="Z2645" i="16"/>
  <c r="Z665" i="16"/>
  <c r="Z2834" i="16"/>
  <c r="Z2018" i="16"/>
  <c r="Z538" i="16"/>
  <c r="Z2073" i="16"/>
  <c r="Z1360" i="16"/>
  <c r="Z1517" i="16"/>
  <c r="Z3409" i="16"/>
  <c r="Z2776" i="16"/>
  <c r="Z820" i="16"/>
  <c r="Z1573" i="16"/>
  <c r="Z3394" i="16"/>
  <c r="Z181" i="16"/>
  <c r="Z360" i="16"/>
  <c r="Z1190" i="16"/>
  <c r="Z2186" i="16"/>
  <c r="Z2341" i="16"/>
  <c r="Z482" i="16"/>
  <c r="Z62" i="16"/>
  <c r="Z1228" i="16"/>
  <c r="Z2590" i="16"/>
  <c r="Z1694" i="16"/>
  <c r="Z1449" i="16"/>
  <c r="Z767" i="16"/>
  <c r="Z2107" i="16"/>
  <c r="Z1908" i="16"/>
  <c r="Z474" i="16"/>
  <c r="Z171" i="16"/>
  <c r="Z923" i="16"/>
  <c r="Z1958" i="16"/>
  <c r="Z2031" i="16"/>
  <c r="Z2055" i="16"/>
  <c r="Z2896" i="16"/>
  <c r="Z2608" i="16"/>
  <c r="Z3191" i="16"/>
  <c r="Z2154" i="16"/>
  <c r="Z3197" i="16"/>
  <c r="Z1906" i="16"/>
  <c r="Z1377" i="16"/>
  <c r="Z2370" i="16"/>
  <c r="Z1177" i="16"/>
  <c r="Z638" i="16"/>
  <c r="Z1086" i="16"/>
  <c r="Z3112" i="16"/>
  <c r="Z1133" i="16"/>
  <c r="Z1967" i="16"/>
  <c r="Z345" i="16"/>
  <c r="Z1487" i="16"/>
  <c r="Z383" i="16"/>
  <c r="Z2631" i="16"/>
  <c r="Z960" i="16"/>
  <c r="Z2014" i="16"/>
  <c r="Z1093" i="16"/>
  <c r="Z2235" i="16"/>
  <c r="Z3335" i="16"/>
  <c r="Z2843" i="16"/>
  <c r="Z1840" i="16"/>
  <c r="Z628" i="16"/>
  <c r="Z3115" i="16"/>
  <c r="Z3110" i="16"/>
  <c r="Z886" i="16"/>
  <c r="Z3083" i="16"/>
  <c r="Z2221" i="16"/>
  <c r="Z1061" i="16"/>
  <c r="Z1378" i="16"/>
  <c r="Z1641" i="16"/>
  <c r="Z1703" i="16"/>
  <c r="Z3125" i="16"/>
  <c r="Z2277" i="16"/>
  <c r="Z941" i="16"/>
  <c r="Z3218" i="16"/>
  <c r="Z3478" i="16"/>
  <c r="Z1067" i="16"/>
  <c r="Z80" i="16"/>
  <c r="Z1329" i="16"/>
  <c r="Z2457" i="16"/>
  <c r="Z2409" i="16"/>
  <c r="Z633" i="16"/>
  <c r="Z1592" i="16"/>
  <c r="Z1718" i="16"/>
  <c r="Z2383" i="16"/>
  <c r="Z1508" i="16"/>
  <c r="Z2304" i="16"/>
  <c r="Z1348" i="16"/>
  <c r="Z1866" i="16"/>
  <c r="Z1552" i="16"/>
  <c r="Z2548" i="16"/>
  <c r="Z183" i="16"/>
  <c r="Z1928" i="16"/>
  <c r="Z1416" i="16"/>
  <c r="Z2680" i="16"/>
  <c r="Z332" i="16"/>
  <c r="Z3290" i="16"/>
  <c r="Z1281" i="16"/>
  <c r="Z1370" i="16"/>
  <c r="Z885" i="16"/>
  <c r="Z2164" i="16"/>
  <c r="Z230" i="16"/>
  <c r="Z842" i="16"/>
  <c r="Z2433" i="16"/>
  <c r="Z2695" i="16"/>
  <c r="Z2008" i="16"/>
  <c r="Z2950" i="16"/>
  <c r="Z879" i="16"/>
  <c r="Z2992" i="16"/>
  <c r="Z452" i="16"/>
  <c r="Z2583" i="16"/>
  <c r="Z2715" i="16"/>
  <c r="Z2815" i="16"/>
  <c r="Z3412" i="16"/>
  <c r="Z3436" i="16"/>
  <c r="Z2181" i="16"/>
  <c r="Z2344" i="16"/>
  <c r="Z1825" i="16"/>
  <c r="Z2976" i="16"/>
  <c r="Z2139" i="16"/>
  <c r="Z309" i="16"/>
  <c r="Z1282" i="16"/>
  <c r="Z1893" i="16"/>
  <c r="Z1395" i="16"/>
  <c r="Z643" i="16"/>
  <c r="Z678" i="16"/>
  <c r="Z617" i="16"/>
  <c r="Z443" i="16"/>
  <c r="Z3505" i="16"/>
  <c r="Z599" i="16"/>
  <c r="Z2452" i="16"/>
  <c r="Z2289" i="16"/>
  <c r="Z2318" i="16"/>
  <c r="Z3117" i="16"/>
  <c r="Z636" i="16"/>
  <c r="Z2934" i="16"/>
  <c r="Z3456" i="16"/>
  <c r="Z2597" i="16"/>
  <c r="Z912" i="16"/>
  <c r="Z1735" i="16"/>
  <c r="Z1804" i="16"/>
  <c r="Z326" i="16"/>
  <c r="Z2809" i="16"/>
  <c r="Z2832" i="16"/>
  <c r="Z976" i="16"/>
  <c r="Z2070" i="16"/>
  <c r="Z1020" i="16"/>
  <c r="Z1853" i="16"/>
  <c r="Z1513" i="16"/>
  <c r="Z1346" i="16"/>
  <c r="Z1303" i="16"/>
  <c r="Z2015" i="16"/>
  <c r="Z1436" i="16"/>
  <c r="Z2811" i="16"/>
  <c r="Z1286" i="16"/>
  <c r="Z465" i="16"/>
  <c r="Z3243" i="16"/>
  <c r="Z20" i="16"/>
  <c r="Z450" i="16"/>
  <c r="Z927" i="16"/>
  <c r="Z637" i="16"/>
  <c r="Z3185" i="16"/>
  <c r="Z1301" i="16"/>
  <c r="Z2552" i="16"/>
  <c r="Z3326" i="16"/>
  <c r="Z1549" i="16"/>
  <c r="Z234" i="16"/>
  <c r="Z3234" i="16"/>
  <c r="Z352" i="16"/>
  <c r="Z2345" i="16"/>
  <c r="Z1685" i="16"/>
  <c r="Z1622" i="16"/>
  <c r="Z3374" i="16"/>
  <c r="Z2147" i="16"/>
  <c r="Z864" i="16"/>
  <c r="Z921" i="16"/>
  <c r="Z2182" i="16"/>
  <c r="Z2978" i="16"/>
  <c r="Z903" i="16"/>
  <c r="Z2989" i="16"/>
  <c r="Z2766" i="16"/>
  <c r="Z2637" i="16"/>
  <c r="Z3074" i="16"/>
  <c r="Z1242" i="16"/>
  <c r="Z289" i="16"/>
  <c r="Z2157" i="16"/>
  <c r="Z3017" i="16"/>
  <c r="Z1682" i="16"/>
  <c r="Z1850" i="16"/>
  <c r="Z3316" i="16"/>
  <c r="Z2284" i="16"/>
  <c r="Z417" i="16"/>
  <c r="Z2857" i="16"/>
  <c r="Z2288" i="16"/>
  <c r="Z1098" i="16"/>
  <c r="Z2620" i="16"/>
  <c r="Z554" i="16"/>
  <c r="Z546" i="16"/>
  <c r="Z722" i="16"/>
  <c r="Z3535" i="16"/>
  <c r="Z1576" i="16"/>
  <c r="Z2205" i="16"/>
  <c r="Z1642" i="16"/>
  <c r="Z1485" i="16"/>
  <c r="Z2604" i="16"/>
  <c r="Z2379" i="16"/>
  <c r="Z2263" i="16"/>
  <c r="Z3382" i="16"/>
  <c r="Z2784" i="16"/>
  <c r="Z47" i="16"/>
  <c r="Z615" i="16"/>
  <c r="Z844" i="16"/>
  <c r="Z51" i="16"/>
  <c r="Z2867" i="16"/>
  <c r="Z219" i="16"/>
  <c r="Z3005" i="16"/>
  <c r="Z73" i="16"/>
  <c r="Z2949" i="16"/>
  <c r="Z1919" i="16"/>
  <c r="Z1027" i="16"/>
  <c r="Z1450" i="16"/>
  <c r="Z2443" i="16"/>
  <c r="Z84" i="16"/>
  <c r="Z601" i="16"/>
  <c r="Z1198" i="16"/>
  <c r="Z1080" i="16"/>
  <c r="Z2049" i="16"/>
  <c r="Z3301" i="16"/>
  <c r="Z832" i="16"/>
  <c r="Z403" i="16"/>
  <c r="Z2778" i="16"/>
  <c r="Z3392" i="16"/>
  <c r="Z780" i="16"/>
  <c r="Z729" i="16"/>
  <c r="Z813" i="16"/>
  <c r="Z1572" i="16"/>
  <c r="Z147" i="16"/>
  <c r="Z1988" i="16"/>
  <c r="Z2528" i="16"/>
  <c r="Z1031" i="16"/>
  <c r="Z2473" i="16"/>
  <c r="Z2041" i="16"/>
  <c r="Z777" i="16"/>
  <c r="Z1773" i="16"/>
  <c r="Z241" i="16"/>
  <c r="Z2880" i="16"/>
  <c r="Z1120" i="16"/>
  <c r="Z2596" i="16"/>
  <c r="Z2577" i="16"/>
  <c r="Z3096" i="16"/>
  <c r="Z233" i="16"/>
  <c r="Z2477" i="16"/>
  <c r="Z745" i="16"/>
  <c r="Z2861" i="16"/>
  <c r="Z2612" i="16"/>
  <c r="Z306" i="16"/>
  <c r="Z2013" i="16"/>
  <c r="Z2112" i="16"/>
  <c r="Z798" i="16"/>
  <c r="Z2599" i="16"/>
  <c r="Z1441" i="16"/>
  <c r="Z920" i="16"/>
  <c r="Z3510" i="16"/>
  <c r="Z2264" i="16"/>
  <c r="Z655" i="16"/>
  <c r="Z457" i="16"/>
  <c r="Z2610" i="16"/>
  <c r="Z75" i="16"/>
  <c r="Z3451" i="16"/>
  <c r="Z165" i="16"/>
  <c r="Z871" i="16"/>
  <c r="Z1149" i="16"/>
  <c r="Z3363" i="16"/>
  <c r="Z3465" i="16"/>
  <c r="Z1037" i="16"/>
  <c r="Z1733" i="16"/>
  <c r="Z3025" i="16"/>
  <c r="Z438" i="16"/>
  <c r="Z1270" i="16"/>
  <c r="Z2603" i="16"/>
  <c r="Z1930" i="16"/>
  <c r="Z497" i="16"/>
  <c r="Z3285" i="16"/>
  <c r="Z61" i="16"/>
  <c r="Z2463" i="16"/>
  <c r="Z3046" i="16"/>
  <c r="Z3011" i="16"/>
  <c r="Z2052" i="16"/>
  <c r="Z2770" i="16"/>
  <c r="Z1639" i="16"/>
  <c r="Z2420" i="16"/>
  <c r="Z3091" i="16"/>
  <c r="Z413" i="16"/>
  <c r="Z2413" i="16"/>
  <c r="Z2584" i="16"/>
  <c r="Z370" i="16"/>
  <c r="Z2928" i="16"/>
  <c r="Z1542" i="16"/>
  <c r="Z1063" i="16"/>
  <c r="Z2185" i="16"/>
  <c r="Z1982" i="16"/>
  <c r="Z3058" i="16"/>
  <c r="Z2973" i="16"/>
  <c r="Z3157" i="16"/>
  <c r="Z64" i="16"/>
  <c r="Z2039" i="16"/>
  <c r="Z210" i="16"/>
  <c r="Z2134" i="16"/>
  <c r="Z212" i="16"/>
  <c r="Z610" i="16"/>
  <c r="Z2180" i="16"/>
  <c r="Z1072" i="16"/>
  <c r="Z517" i="16"/>
  <c r="Z740" i="16"/>
  <c r="Z1045" i="16"/>
  <c r="Z1312" i="16"/>
  <c r="Z2371" i="16"/>
  <c r="Z422" i="16"/>
  <c r="Z627" i="16"/>
  <c r="Z1397" i="16"/>
  <c r="Z2691" i="16"/>
  <c r="Z2549" i="16"/>
  <c r="Z1653" i="16"/>
  <c r="Z1289" i="16"/>
  <c r="Z632" i="16"/>
  <c r="Z484" i="16"/>
  <c r="Z604" i="16"/>
  <c r="Z281" i="16"/>
  <c r="Z1970" i="16"/>
  <c r="Z931" i="16"/>
  <c r="Z312" i="16"/>
  <c r="Z65" i="16"/>
  <c r="Z1211" i="16"/>
  <c r="Z3040" i="16"/>
  <c r="Z2050" i="16"/>
  <c r="Z128" i="16"/>
  <c r="Z2393" i="16"/>
  <c r="Z2531" i="16"/>
  <c r="Z1568" i="16"/>
  <c r="Z800" i="16"/>
  <c r="Z359" i="16"/>
  <c r="Z1947" i="16"/>
  <c r="Z1375" i="16"/>
  <c r="Z3233" i="16"/>
  <c r="Z2670" i="16"/>
  <c r="Z1064" i="16"/>
  <c r="Z1861" i="16"/>
  <c r="Z850" i="16"/>
  <c r="Z3116" i="16"/>
  <c r="Z1791" i="16"/>
  <c r="Z3271" i="16"/>
  <c r="Z2204" i="16"/>
  <c r="Z2295" i="16"/>
  <c r="Z868" i="16"/>
  <c r="Z3325" i="16"/>
  <c r="Z1760" i="16"/>
  <c r="Z243" i="16"/>
  <c r="Z2273" i="16"/>
  <c r="Z56" i="16"/>
  <c r="Z778" i="16"/>
  <c r="Z2266" i="16"/>
  <c r="Z2262" i="16"/>
  <c r="Z2799" i="16"/>
  <c r="Z2661" i="16"/>
  <c r="Z3145" i="16"/>
  <c r="Z525" i="16"/>
  <c r="Z3521" i="16"/>
  <c r="Z2498" i="16"/>
  <c r="Z1743" i="16"/>
  <c r="Z753" i="16"/>
  <c r="Z3362" i="16"/>
  <c r="Z2453" i="16"/>
  <c r="Z2847" i="16"/>
  <c r="Z1608" i="16"/>
  <c r="Z3078" i="16"/>
  <c r="Z3353" i="16"/>
  <c r="Z1585" i="16"/>
  <c r="Z3483" i="16"/>
  <c r="Z1636" i="16"/>
  <c r="Z2618" i="16"/>
  <c r="Z1143" i="16"/>
  <c r="Z435" i="16"/>
  <c r="Z3525" i="16"/>
  <c r="Z371" i="16"/>
  <c r="Z2299" i="16"/>
  <c r="Z489" i="16"/>
  <c r="Z2523" i="16"/>
  <c r="Z469" i="16"/>
  <c r="Z3526" i="16"/>
  <c r="Z2448" i="16"/>
  <c r="Z28" i="16"/>
  <c r="Z2212" i="16"/>
  <c r="Z2124" i="16"/>
  <c r="Z522" i="16"/>
  <c r="Z1857" i="16"/>
  <c r="Z1777" i="16"/>
  <c r="Z3023" i="16"/>
  <c r="Z1369" i="16"/>
  <c r="Z3344" i="16"/>
  <c r="Z1078" i="16"/>
  <c r="Z3220" i="16"/>
  <c r="Z586" i="16"/>
  <c r="Z3177" i="16"/>
  <c r="Z3138" i="16"/>
  <c r="Z3299" i="16"/>
  <c r="Z2517" i="16"/>
  <c r="Z3354" i="16"/>
  <c r="Z683" i="16"/>
  <c r="Z453" i="16"/>
  <c r="Z1506" i="16"/>
  <c r="Z3132" i="16"/>
  <c r="Z1206" i="16"/>
  <c r="Z2902" i="16"/>
  <c r="Z2306" i="16"/>
  <c r="Z267" i="16"/>
  <c r="Z3050" i="16"/>
  <c r="Z3134" i="16"/>
  <c r="Z1914" i="16"/>
  <c r="Z316" i="16"/>
  <c r="Z786" i="16"/>
  <c r="Z1011" i="16"/>
  <c r="Z3443" i="16"/>
  <c r="Z711" i="16"/>
  <c r="Z1122" i="16"/>
  <c r="Z1130" i="16"/>
  <c r="Z2605" i="16"/>
  <c r="Z362" i="16"/>
  <c r="Z2912" i="16"/>
  <c r="Z2662" i="16"/>
  <c r="Z2527" i="16"/>
  <c r="Z3095" i="16"/>
  <c r="Z2639" i="16"/>
  <c r="Z2111" i="16"/>
  <c r="Z882" i="16"/>
  <c r="Z479" i="16"/>
  <c r="Z236" i="16"/>
  <c r="Z1985" i="16"/>
  <c r="Z1294" i="16"/>
  <c r="Z1127" i="16"/>
  <c r="Z1802" i="16"/>
  <c r="Z3281" i="16"/>
  <c r="Z2320" i="16"/>
  <c r="Z1877" i="16"/>
  <c r="Z27" i="16"/>
  <c r="Z3533" i="16"/>
  <c r="Z834" i="16"/>
  <c r="Z3380" i="16"/>
  <c r="Z3482" i="16"/>
  <c r="Z1529" i="16"/>
  <c r="Z1113" i="16"/>
  <c r="Z907" i="16"/>
  <c r="Z1195" i="16"/>
  <c r="Z1617" i="16"/>
  <c r="Z945" i="16"/>
  <c r="Z1968" i="16"/>
  <c r="Z1984" i="16"/>
  <c r="Z283" i="16"/>
  <c r="Z2072" i="16"/>
  <c r="Z2570" i="16"/>
  <c r="Z1049" i="16"/>
  <c r="Z2153" i="16"/>
  <c r="Z718" i="16"/>
  <c r="Z967" i="16"/>
  <c r="Z1954" i="16"/>
  <c r="Z514" i="16"/>
  <c r="Z1002" i="16"/>
  <c r="Z3170" i="16"/>
  <c r="Z1314" i="16"/>
  <c r="Z3085" i="16"/>
  <c r="Z478" i="16"/>
  <c r="Z1651" i="16"/>
  <c r="Z1099" i="16"/>
  <c r="Z2593" i="16"/>
  <c r="Z622" i="16"/>
  <c r="Z1484" i="16"/>
  <c r="Z1701" i="16"/>
  <c r="Z2436" i="16"/>
  <c r="Z2140" i="16"/>
  <c r="Z416" i="16"/>
  <c r="Z2246" i="16"/>
  <c r="Z2326" i="16"/>
  <c r="Z1297" i="16"/>
  <c r="Z2564" i="16"/>
  <c r="Z488" i="16"/>
  <c r="Z2174" i="16"/>
  <c r="Z570" i="16"/>
  <c r="Z2474" i="16"/>
  <c r="Z2159" i="16"/>
  <c r="Z1382" i="16"/>
  <c r="Z1863" i="16"/>
  <c r="Z1521" i="16"/>
  <c r="Z1455" i="16"/>
  <c r="Z2702" i="16"/>
  <c r="Z2751" i="16"/>
  <c r="Z1588" i="16"/>
  <c r="Z1528" i="16"/>
  <c r="Z2566" i="16"/>
  <c r="Z2947" i="16"/>
  <c r="Z2942" i="16"/>
  <c r="Z2845" i="16"/>
  <c r="Z877" i="16"/>
  <c r="Z86" i="16"/>
  <c r="Z3202" i="16"/>
  <c r="Z3546" i="16"/>
  <c r="Z2478" i="16"/>
  <c r="Z2146" i="16"/>
  <c r="Z71" i="16"/>
  <c r="Z1625" i="16"/>
  <c r="Z498" i="16"/>
  <c r="Z1547" i="16"/>
  <c r="Z3241" i="16"/>
  <c r="Z1414" i="16"/>
  <c r="Z1500" i="16"/>
  <c r="Z1358" i="16"/>
  <c r="Z2554" i="16"/>
  <c r="Z1306" i="16"/>
  <c r="Z1502" i="16"/>
  <c r="Z2689" i="16"/>
  <c r="Z2674" i="16"/>
  <c r="Z1454" i="16"/>
  <c r="Z1432" i="16"/>
  <c r="Z2633" i="16"/>
  <c r="Z1307" i="16"/>
  <c r="Z2079" i="16"/>
  <c r="Z394" i="16"/>
  <c r="Z564" i="16"/>
  <c r="Z3204" i="16"/>
  <c r="Z2207" i="16"/>
  <c r="Z512" i="16"/>
  <c r="Z145" i="16"/>
  <c r="Z1889" i="16"/>
  <c r="Z1305" i="16"/>
  <c r="Z700" i="16"/>
  <c r="Z389" i="16"/>
  <c r="Z3224" i="16"/>
  <c r="Z1629" i="16"/>
  <c r="Z1048" i="16"/>
  <c r="Z425" i="16"/>
  <c r="Z1251" i="16"/>
  <c r="Z3238" i="16"/>
  <c r="Z2865" i="16"/>
  <c r="Z645" i="16"/>
  <c r="Z1613" i="16"/>
  <c r="Z368" i="16"/>
  <c r="Z1835" i="16"/>
  <c r="Z1681" i="16"/>
  <c r="Z1109" i="16"/>
  <c r="Z611" i="16"/>
  <c r="Z2242" i="16"/>
  <c r="Z1186" i="16"/>
  <c r="Z279" i="16"/>
  <c r="Z3002" i="16"/>
  <c r="Z2967" i="16"/>
  <c r="Z3257" i="16"/>
  <c r="Z571" i="16"/>
  <c r="Z1069" i="16"/>
  <c r="Z1584" i="16"/>
  <c r="Z1492" i="16"/>
  <c r="Z180" i="16"/>
  <c r="Z563" i="16"/>
  <c r="Z2879" i="16"/>
  <c r="Z1746" i="16"/>
  <c r="Z914" i="16"/>
  <c r="Z1493" i="16"/>
  <c r="Z1587" i="16"/>
  <c r="Z2250" i="16"/>
  <c r="Z1855" i="16"/>
  <c r="Z1106" i="16"/>
  <c r="Z1351" i="16"/>
  <c r="Z1816" i="16"/>
  <c r="Z2962" i="16"/>
  <c r="Z294" i="16"/>
  <c r="Z1996" i="16"/>
  <c r="Z2007" i="16"/>
  <c r="Z1396" i="16"/>
  <c r="Z1654" i="16"/>
  <c r="Z256" i="16"/>
  <c r="Z2206" i="16"/>
  <c r="Z3260" i="16"/>
  <c r="Z2740" i="16"/>
  <c r="Z3292" i="16"/>
  <c r="Z542" i="16"/>
  <c r="Z2485" i="16"/>
  <c r="Z1844" i="16"/>
  <c r="Z975" i="16"/>
  <c r="Z2382" i="16"/>
  <c r="Z2758" i="16"/>
  <c r="Z2025" i="16"/>
  <c r="Z19" i="16"/>
  <c r="Z2302" i="16"/>
  <c r="Z2720" i="16"/>
  <c r="Z1913" i="16"/>
  <c r="Z839" i="16"/>
  <c r="Z1077" i="16"/>
  <c r="Z311" i="16"/>
  <c r="Z3182" i="16"/>
  <c r="Z1001" i="16"/>
  <c r="Z2726" i="16"/>
  <c r="Z3315" i="16"/>
  <c r="Z444" i="16"/>
  <c r="Z2487" i="16"/>
  <c r="Z3543" i="16"/>
  <c r="Z1341" i="16"/>
  <c r="Z872" i="16"/>
  <c r="Z22" i="16"/>
  <c r="Z353" i="16"/>
  <c r="Z1430" i="16"/>
  <c r="Z1280" i="16"/>
  <c r="Z1603" i="16"/>
  <c r="Z85" i="16"/>
  <c r="Z2533" i="16"/>
  <c r="Z996" i="16"/>
  <c r="Z2462" i="16"/>
  <c r="Z1265" i="16"/>
  <c r="Z402" i="16"/>
  <c r="Z167" i="16"/>
  <c r="Z1782" i="16"/>
  <c r="Z508" i="16"/>
  <c r="Z2748" i="16"/>
  <c r="Z1672" i="16"/>
  <c r="Z573" i="16"/>
  <c r="Z1711" i="16"/>
  <c r="Z1165" i="16"/>
  <c r="Z743" i="16"/>
  <c r="Z381" i="16"/>
  <c r="Z3386" i="16"/>
  <c r="Z3123" i="16"/>
  <c r="Z200" i="16"/>
  <c r="Z3351" i="16"/>
  <c r="Z529" i="16"/>
  <c r="Z3345" i="16"/>
  <c r="Z2535" i="16"/>
  <c r="Z2294" i="16"/>
  <c r="Z1826" i="16"/>
  <c r="Z1287" i="16"/>
  <c r="Z1458" i="16"/>
  <c r="Z3447" i="16"/>
  <c r="Z130" i="16"/>
  <c r="Z2171" i="16"/>
  <c r="Z1339" i="16"/>
  <c r="Z38" i="16"/>
  <c r="Z2468" i="16"/>
  <c r="Z1406" i="16"/>
  <c r="Z3522" i="16"/>
  <c r="Z1931" i="16"/>
  <c r="Z1800" i="16"/>
  <c r="Z292" i="16"/>
  <c r="Z2658" i="16"/>
  <c r="Z204" i="16"/>
  <c r="Z3129" i="16"/>
  <c r="Z3375" i="16"/>
  <c r="Z3099" i="16"/>
  <c r="Z3474" i="16"/>
  <c r="Z1240" i="16"/>
  <c r="Z334" i="16"/>
  <c r="Z1590" i="16"/>
  <c r="Z263" i="16"/>
  <c r="Z2470" i="16"/>
  <c r="Z2333" i="16"/>
  <c r="Z113" i="16"/>
  <c r="Z3459" i="16"/>
  <c r="Z2215" i="16"/>
  <c r="Z2573" i="16"/>
  <c r="Z2693" i="16"/>
  <c r="Z3324" i="16"/>
  <c r="Z1647" i="16"/>
  <c r="Z3396" i="16"/>
  <c r="Z989" i="16"/>
  <c r="Z1869" i="16"/>
  <c r="Z1606" i="16"/>
  <c r="Z1054" i="16"/>
  <c r="Z675" i="16"/>
  <c r="Z349" i="16"/>
  <c r="Z1094" i="16"/>
  <c r="Z507" i="16"/>
  <c r="Z2066" i="16"/>
  <c r="Z1205" i="16"/>
  <c r="Z1318" i="16"/>
  <c r="Z1593" i="16"/>
  <c r="Z3035" i="16"/>
  <c r="Z991" i="16"/>
  <c r="Z1799" i="16"/>
  <c r="Z3126" i="16"/>
  <c r="Z3143" i="16"/>
  <c r="Z158" i="16"/>
  <c r="Z2636" i="16"/>
  <c r="Z2109" i="16"/>
  <c r="Z2197" i="16"/>
  <c r="Z1784" i="16"/>
  <c r="Z480" i="16"/>
  <c r="Z3103" i="16"/>
  <c r="Z1117" i="16"/>
  <c r="Z1878" i="16"/>
  <c r="Z761" i="16"/>
  <c r="Z445" i="16"/>
  <c r="Z2389" i="16"/>
  <c r="Z1975" i="16"/>
  <c r="Z3378" i="16"/>
  <c r="Z2158" i="16"/>
  <c r="Z970" i="16"/>
  <c r="Z1699" i="16"/>
  <c r="Z1925" i="16"/>
  <c r="Z1827" i="16"/>
  <c r="Z785" i="16"/>
  <c r="Z3407" i="16"/>
  <c r="Z2086" i="16"/>
  <c r="Z795" i="16"/>
  <c r="Z1055" i="16"/>
  <c r="Z2233" i="16"/>
  <c r="Z2043" i="16"/>
  <c r="Z464" i="16"/>
  <c r="Z3015" i="16"/>
  <c r="Z3154" i="16"/>
  <c r="Z2918" i="16"/>
  <c r="Z1216" i="16"/>
  <c r="Z773" i="16"/>
  <c r="Z3200" i="16"/>
  <c r="Z2516" i="16"/>
  <c r="Z2114" i="16"/>
  <c r="Z1600" i="16"/>
  <c r="Z1474" i="16"/>
  <c r="Z1137" i="16"/>
  <c r="Z1380" i="16"/>
  <c r="Z2888" i="16"/>
  <c r="Z1574" i="16"/>
  <c r="Z3227" i="16"/>
  <c r="Z199" i="16"/>
  <c r="Z40" i="16"/>
  <c r="Z1526" i="16"/>
  <c r="Z659" i="16"/>
  <c r="Z3470" i="16"/>
  <c r="Z1976" i="16"/>
  <c r="Z2878" i="16"/>
  <c r="Z2097" i="16"/>
  <c r="Z3010" i="16"/>
  <c r="Z1824" i="16"/>
  <c r="Z1905" i="16"/>
  <c r="Z1860" i="16"/>
  <c r="Z805" i="16"/>
  <c r="Z2301" i="16"/>
  <c r="Z1727" i="16"/>
  <c r="Z1943" i="16"/>
  <c r="Z2534" i="16"/>
  <c r="Z1730" i="16"/>
  <c r="Z626" i="16"/>
  <c r="Z2069" i="16"/>
  <c r="Z1308" i="16"/>
  <c r="Z2937" i="16"/>
  <c r="Z1511" i="16"/>
  <c r="Z3373" i="16"/>
  <c r="Z3069" i="16"/>
  <c r="Z2435" i="16"/>
  <c r="Z670" i="16"/>
  <c r="Z239" i="16"/>
  <c r="Z701" i="16"/>
  <c r="Z652" i="16"/>
  <c r="Z3193" i="16"/>
  <c r="Z2342" i="16"/>
  <c r="Z862" i="16"/>
  <c r="Z2530" i="16"/>
  <c r="Z1812" i="16"/>
  <c r="Z428" i="16"/>
  <c r="Z594" i="16"/>
  <c r="Z1338" i="16"/>
  <c r="Z2006" i="16"/>
  <c r="Z3304" i="16"/>
  <c r="Z266" i="16"/>
  <c r="Z1697" i="16"/>
  <c r="Z139" i="16"/>
  <c r="Z2223" i="16"/>
  <c r="Z3012" i="16"/>
  <c r="Z1421" i="16"/>
  <c r="Z1353" i="16"/>
  <c r="Z803" i="16"/>
  <c r="Z1323" i="16"/>
  <c r="Z919" i="16"/>
  <c r="Z2372" i="16"/>
  <c r="Z372" i="16"/>
  <c r="Z1859" i="16"/>
  <c r="Z2385" i="16"/>
  <c r="Z1293" i="16"/>
  <c r="Z169" i="16"/>
  <c r="Z2672" i="16"/>
  <c r="Z547" i="16"/>
  <c r="Z3414" i="16"/>
  <c r="Z2231" i="16"/>
  <c r="Z3174" i="16"/>
  <c r="Z1180" i="16"/>
  <c r="Z3119" i="16"/>
  <c r="Z3411" i="16"/>
  <c r="Z2455" i="16"/>
  <c r="Z2652" i="16"/>
  <c r="Z1235" i="16"/>
  <c r="Z3312" i="16"/>
  <c r="Z760" i="16"/>
  <c r="Z2988" i="16"/>
  <c r="Z2095" i="16"/>
  <c r="Z963" i="16"/>
  <c r="Z2808" i="16"/>
  <c r="Z2403" i="16"/>
  <c r="Z3041" i="16"/>
  <c r="Z3106" i="16"/>
  <c r="Z2980" i="16"/>
  <c r="Z107" i="16"/>
  <c r="Z2046" i="16"/>
  <c r="Z1848" i="16"/>
  <c r="Z2044" i="16"/>
  <c r="Z509" i="16"/>
  <c r="Z861" i="16"/>
  <c r="Z2960" i="16"/>
  <c r="Z2890" i="16"/>
  <c r="Z1512" i="16"/>
  <c r="Z3198" i="16"/>
  <c r="Z3372" i="16"/>
  <c r="Z3216" i="16"/>
  <c r="Z1383" i="16"/>
  <c r="Z1036" i="16"/>
  <c r="Z105" i="16"/>
  <c r="Z1665" i="16"/>
  <c r="Z3146" i="16"/>
  <c r="Z1556" i="16"/>
  <c r="Z3291" i="16"/>
  <c r="Z1884" i="16"/>
  <c r="Z142" i="16"/>
  <c r="Z2220" i="16"/>
  <c r="Z2678" i="16"/>
  <c r="Z1601" i="16"/>
  <c r="Z3453" i="16"/>
  <c r="Z2399" i="16"/>
  <c r="Z513" i="16"/>
  <c r="Z1630" i="16"/>
  <c r="Z2101" i="16"/>
  <c r="Z3289" i="16"/>
  <c r="Z3196" i="16"/>
  <c r="Z1394" i="16"/>
  <c r="Z2643" i="16"/>
  <c r="Z1220" i="16"/>
  <c r="Z2483" i="16"/>
  <c r="Z1814" i="16"/>
  <c r="Z284" i="16"/>
  <c r="Z3302" i="16"/>
  <c r="Z793" i="16"/>
  <c r="Z1238" i="16"/>
  <c r="Z63" i="16"/>
  <c r="Z2198" i="16"/>
  <c r="Z1272" i="16"/>
  <c r="Z3221" i="16"/>
  <c r="Z817" i="16"/>
  <c r="Z2499" i="16"/>
  <c r="Z1300" i="16"/>
  <c r="Z2422" i="16"/>
  <c r="Z2775" i="16"/>
  <c r="Z2782" i="16"/>
  <c r="Z651" i="16"/>
  <c r="Z2595" i="16"/>
  <c r="Z1236" i="16"/>
  <c r="Z2708" i="16"/>
  <c r="Z49" i="16"/>
  <c r="Z1138" i="16"/>
  <c r="Z2716" i="16"/>
  <c r="Z2659" i="16"/>
  <c r="Z2907" i="16"/>
  <c r="Z3161" i="16"/>
  <c r="Z119" i="16"/>
  <c r="Z1662" i="16"/>
  <c r="Z680" i="16"/>
  <c r="Z3293" i="16"/>
  <c r="Z2557" i="16"/>
  <c r="Z1427" i="16"/>
  <c r="Z2737" i="16"/>
  <c r="Z747" i="16"/>
  <c r="Z159" i="16"/>
  <c r="Z3357" i="16"/>
  <c r="Z90" i="16"/>
  <c r="Z2004" i="16"/>
  <c r="Z1769" i="16"/>
  <c r="Z1640" i="16"/>
  <c r="Z3056" i="16"/>
  <c r="Z1539" i="16"/>
  <c r="Z3199" i="16"/>
  <c r="Z2276" i="16"/>
  <c r="Z2328" i="16"/>
  <c r="Z2681" i="16"/>
  <c r="Z2943" i="16"/>
  <c r="Z2642" i="16"/>
  <c r="Z1650" i="16"/>
  <c r="Z1978" i="16"/>
  <c r="Z965" i="16"/>
  <c r="Z314" i="16"/>
  <c r="Z2601" i="16"/>
  <c r="Z2537" i="16"/>
  <c r="Z1217" i="16"/>
  <c r="Z3118" i="16"/>
  <c r="Z43" i="16"/>
  <c r="Z2828" i="16"/>
  <c r="Z1507" i="16"/>
  <c r="Z2753" i="16"/>
  <c r="Z3057" i="16"/>
  <c r="Z895" i="16"/>
  <c r="Z1810" i="16"/>
  <c r="Z1083" i="16"/>
  <c r="Z2769" i="16"/>
  <c r="Z82" i="16"/>
  <c r="Z1111" i="16"/>
  <c r="Z1833" i="16"/>
  <c r="Z2397" i="16"/>
  <c r="Z2100" i="16"/>
  <c r="Z1448" i="16"/>
  <c r="Z3175" i="16"/>
  <c r="Z505" i="16"/>
  <c r="Z3001" i="16"/>
  <c r="Z609" i="16"/>
  <c r="Z1168" i="16"/>
  <c r="Z846" i="16"/>
  <c r="Z791" i="16"/>
  <c r="Z3054" i="16"/>
  <c r="Z2247" i="16"/>
  <c r="Z2176" i="16"/>
  <c r="Z2644" i="16"/>
  <c r="Z2600" i="16"/>
  <c r="Z2688" i="16"/>
  <c r="Z1811" i="16"/>
  <c r="Z1189" i="16"/>
  <c r="Z1689" i="16"/>
  <c r="Z321" i="16"/>
  <c r="Z851" i="16"/>
  <c r="Z2945" i="16"/>
  <c r="Z1621" i="16"/>
  <c r="Z1250" i="16"/>
  <c r="Z1379" i="16"/>
  <c r="Z3264" i="16"/>
  <c r="Z227" i="16"/>
  <c r="Z2547" i="16"/>
  <c r="Z1496" i="16"/>
  <c r="Z1042" i="16"/>
  <c r="Z3020" i="16"/>
  <c r="Z3547" i="16"/>
  <c r="Z2491" i="16"/>
  <c r="Z2188" i="16"/>
  <c r="Z2884" i="16"/>
  <c r="Z106" i="16"/>
  <c r="Z1994" i="16"/>
  <c r="Z57" i="16"/>
  <c r="Z634" i="16"/>
  <c r="Z322" i="16"/>
  <c r="Z378" i="16"/>
  <c r="Z431" i="16"/>
  <c r="Z3104" i="16"/>
  <c r="Z2213" i="16"/>
  <c r="Z3031" i="16"/>
  <c r="Z274" i="16"/>
  <c r="Z2709" i="16"/>
  <c r="Z1793" i="16"/>
  <c r="Z218" i="16"/>
  <c r="Z1638" i="16"/>
  <c r="Z2256" i="16"/>
  <c r="Z1423" i="16"/>
  <c r="Z581" i="16"/>
  <c r="Z590" i="16"/>
  <c r="Z2833" i="16"/>
  <c r="Z1920" i="16"/>
  <c r="Z742" i="16"/>
  <c r="Z2606" i="16"/>
  <c r="Z3060" i="16"/>
  <c r="Z574" i="16"/>
  <c r="Z1274" i="16"/>
  <c r="Z1851" i="16"/>
  <c r="Z93" i="16"/>
  <c r="Z2217" i="16"/>
  <c r="Z96" i="16"/>
  <c r="Z3194" i="16"/>
  <c r="Z1762" i="16"/>
  <c r="Z1756" i="16"/>
  <c r="Z2148" i="16"/>
  <c r="Z1391" i="16"/>
  <c r="Z2310" i="16"/>
  <c r="Z950" i="16"/>
  <c r="Z196" i="16"/>
  <c r="Z1562" i="16"/>
  <c r="Z2883" i="16"/>
  <c r="Z790" i="16"/>
  <c r="Z3253" i="16"/>
  <c r="Z2840" i="16"/>
  <c r="Z2195" i="16"/>
  <c r="Z3452" i="16"/>
  <c r="Z836" i="16"/>
  <c r="Z2279" i="16"/>
  <c r="Z3538" i="16"/>
  <c r="Z3469" i="16"/>
  <c r="Z726" i="16"/>
  <c r="Z1604" i="16"/>
  <c r="Z2143" i="16"/>
  <c r="Z1229" i="16"/>
  <c r="Z2938" i="16"/>
  <c r="Z1875" i="16"/>
  <c r="Z3422" i="16"/>
  <c r="Z3286" i="16"/>
  <c r="Z3518" i="16"/>
  <c r="Z935" i="16"/>
  <c r="Z41" i="16"/>
  <c r="Z3159" i="16"/>
  <c r="Z787" i="16"/>
  <c r="Z3294" i="16"/>
  <c r="Z1918" i="16"/>
  <c r="Z1932" i="16"/>
  <c r="Z3517" i="16"/>
  <c r="Z1403" i="16"/>
  <c r="Z213" i="16"/>
  <c r="Z2667" i="16"/>
  <c r="Z2327" i="16"/>
  <c r="Z519" i="16"/>
  <c r="Z1768" i="16"/>
  <c r="Z1696" i="16"/>
  <c r="Z1852" i="16"/>
  <c r="Z2509" i="16"/>
  <c r="Z1766" i="16"/>
  <c r="Z50" i="16"/>
  <c r="Z2846" i="16"/>
  <c r="Z2450" i="16"/>
  <c r="Z1901" i="16"/>
  <c r="Z1704" i="16"/>
  <c r="Z1081" i="16"/>
  <c r="Z3467" i="16"/>
  <c r="Z1388" i="16"/>
  <c r="Z3438" i="16"/>
  <c r="Z691" i="16"/>
  <c r="Z2723" i="16"/>
  <c r="Z983" i="16"/>
  <c r="Z3059" i="16"/>
  <c r="Z397" i="16"/>
  <c r="Z3142" i="16"/>
  <c r="Z3137" i="16"/>
  <c r="Z681" i="16"/>
  <c r="Z3401" i="16"/>
  <c r="Z1671" i="16"/>
  <c r="Z1864" i="16"/>
  <c r="Z112" i="16"/>
  <c r="Z2475" i="16"/>
  <c r="Z178" i="16"/>
  <c r="Z1230" i="16"/>
  <c r="Z997" i="16"/>
  <c r="Z2281" i="16"/>
  <c r="Z3195" i="16"/>
  <c r="Z1150" i="16"/>
  <c r="Z3169" i="16"/>
  <c r="Z1560" i="16"/>
  <c r="Z1907" i="16"/>
  <c r="Z3173" i="16"/>
  <c r="Z2816" i="16"/>
  <c r="Z1163" i="16"/>
  <c r="Z2387" i="16"/>
  <c r="Z1945" i="16"/>
  <c r="Z2649" i="16"/>
  <c r="Z2532" i="16"/>
  <c r="Z1772" i="16"/>
  <c r="Z2801" i="16"/>
  <c r="Z1032" i="16"/>
  <c r="Z672" i="16"/>
  <c r="Z2692" i="16"/>
  <c r="Z244" i="16"/>
  <c r="Z297" i="16"/>
  <c r="Z2822" i="16"/>
  <c r="Z3317" i="16"/>
  <c r="Z2123" i="16"/>
  <c r="Z2113" i="16"/>
  <c r="Z3331" i="16"/>
  <c r="Z3245" i="16"/>
  <c r="Z272" i="16"/>
  <c r="Z363" i="16"/>
  <c r="Z1068" i="16"/>
  <c r="Z3093" i="16"/>
  <c r="Z597" i="16"/>
  <c r="Z841" i="16"/>
  <c r="Z2705" i="16"/>
  <c r="Z2930" i="16"/>
  <c r="Z2019" i="16"/>
  <c r="Z591" i="16"/>
  <c r="Z3491" i="16"/>
  <c r="Z849" i="16"/>
  <c r="Z344" i="16"/>
  <c r="Z3295" i="16"/>
  <c r="Z2886" i="16"/>
  <c r="Z2545" i="16"/>
  <c r="Z1836" i="16"/>
  <c r="Z3111" i="16"/>
  <c r="Z867" i="16"/>
  <c r="Z2411" i="16"/>
  <c r="Z2646" i="16"/>
  <c r="Z1565" i="16"/>
  <c r="Z31" i="16"/>
  <c r="Z3403" i="16"/>
  <c r="Z703" i="16"/>
  <c r="Z1311" i="16"/>
  <c r="Z930" i="16"/>
  <c r="Z2093" i="16"/>
  <c r="Z290" i="16"/>
  <c r="Z253" i="16"/>
  <c r="Z1808" i="16"/>
  <c r="Z1525" i="16"/>
  <c r="Z1327" i="16"/>
  <c r="Z3296" i="16"/>
  <c r="Z2145" i="16"/>
  <c r="Z1815" i="16"/>
  <c r="Z704" i="16"/>
  <c r="Z2280" i="16"/>
  <c r="Z1028" i="16"/>
  <c r="Z650" i="16"/>
  <c r="Z2958" i="16"/>
  <c r="Z2424" i="16"/>
  <c r="Z2503" i="16"/>
  <c r="Z3133" i="16"/>
  <c r="Z1401" i="16"/>
  <c r="Z3319" i="16"/>
  <c r="Z1445" i="16"/>
  <c r="Z3184" i="16"/>
  <c r="Z1837" i="16"/>
  <c r="Z3027" i="16"/>
  <c r="Z2472" i="16"/>
  <c r="Z1559" i="16"/>
  <c r="Z2796" i="16"/>
  <c r="Z625" i="16"/>
  <c r="Z2334" i="16"/>
  <c r="Z1316" i="16"/>
  <c r="Z3310" i="16"/>
  <c r="Z974" i="16"/>
  <c r="Z1241" i="16"/>
  <c r="Z667" i="16"/>
  <c r="Z2216" i="16"/>
  <c r="Z2731" i="16"/>
  <c r="Z1801" i="16"/>
  <c r="Z2591" i="16"/>
  <c r="Z3515" i="16"/>
  <c r="Z350" i="16"/>
  <c r="Z3282" i="16"/>
  <c r="Z1331" i="16"/>
  <c r="Z1961" i="16"/>
  <c r="Z2087" i="16"/>
  <c r="Z3551" i="16"/>
  <c r="Z1786" i="16"/>
  <c r="Z668" i="16"/>
  <c r="Z1446" i="16"/>
  <c r="Z585" i="16"/>
  <c r="Z1267" i="16"/>
  <c r="Z2514" i="16"/>
  <c r="Z3019" i="16"/>
  <c r="Z1486" i="16"/>
  <c r="Z2089" i="16"/>
  <c r="Z1475" i="16"/>
  <c r="Z2556" i="16"/>
  <c r="Z682" i="16"/>
  <c r="Z187" i="16"/>
  <c r="Z3087" i="16"/>
  <c r="Z1433" i="16"/>
  <c r="Z3124" i="16"/>
  <c r="Z606" i="16"/>
  <c r="Z400" i="16"/>
  <c r="Z2285" i="16"/>
  <c r="Z1649" i="16"/>
  <c r="Z3206" i="16"/>
  <c r="Z2228" i="16"/>
  <c r="Z3251" i="16"/>
  <c r="Z758" i="16"/>
  <c r="Z915" i="16"/>
  <c r="Z2464" i="16"/>
  <c r="Z382" i="16"/>
  <c r="Z369" i="16"/>
  <c r="Z1806" i="16"/>
  <c r="Z656" i="16"/>
  <c r="Z21" i="16"/>
  <c r="Z528" i="16"/>
  <c r="Z1993" i="16"/>
  <c r="Z1846" i="16"/>
  <c r="Z2951" i="16"/>
  <c r="Z423" i="16"/>
  <c r="Z1997" i="16"/>
  <c r="Z3033" i="16"/>
  <c r="Z302" i="16"/>
  <c r="Z2761" i="16"/>
  <c r="Z1683" i="16"/>
  <c r="Z2504" i="16"/>
  <c r="Z2459" i="16"/>
  <c r="Z2127" i="16"/>
  <c r="Z1719" i="16"/>
  <c r="Z857" i="16"/>
  <c r="Z3358" i="16"/>
  <c r="Z1839" i="16"/>
  <c r="Z1131" i="16"/>
  <c r="Z1087" i="16"/>
  <c r="Z29" i="16"/>
  <c r="Z1895" i="16"/>
  <c r="Z2488" i="16"/>
  <c r="Z310" i="16"/>
  <c r="Z3383" i="16"/>
  <c r="Z3333" i="16"/>
  <c r="Z3189" i="16"/>
  <c r="Z2983" i="16"/>
  <c r="Z3494" i="16"/>
  <c r="Z810" i="16"/>
  <c r="Z1637" i="16"/>
  <c r="Z385" i="16"/>
  <c r="Z1051" i="16"/>
  <c r="Z2536" i="16"/>
  <c r="Z2047" i="16"/>
  <c r="Z1868" i="16"/>
  <c r="Z2486" i="16"/>
  <c r="Z2844" i="16"/>
  <c r="Z2929" i="16"/>
  <c r="Z2454" i="16"/>
  <c r="Z3454" i="16"/>
  <c r="Z2932" i="16"/>
  <c r="Z2321" i="16"/>
  <c r="Z673" i="16"/>
  <c r="Z1745" i="16"/>
  <c r="Z2222" i="16"/>
  <c r="Z2343" i="16"/>
  <c r="Z605" i="16"/>
  <c r="Z287" i="16"/>
  <c r="Z847" i="16"/>
  <c r="Z258" i="16"/>
  <c r="Z725" i="16"/>
  <c r="Z1025" i="16"/>
  <c r="Z516" i="16"/>
  <c r="Z26" i="16"/>
  <c r="Z1557" i="16"/>
  <c r="Z881" i="16"/>
  <c r="Z1482" i="16"/>
  <c r="Z2449" i="16"/>
  <c r="Z2027" i="16"/>
  <c r="Z3468" i="16"/>
  <c r="Z486" i="16"/>
  <c r="Z1660" i="16"/>
  <c r="Z275" i="16"/>
  <c r="Z2906" i="16"/>
  <c r="Z2575" i="16"/>
  <c r="Z1969" i="16"/>
  <c r="Z2495" i="16"/>
  <c r="Z2727" i="16"/>
  <c r="Z120" i="16"/>
  <c r="Z1774" i="16"/>
  <c r="Z278" i="16"/>
  <c r="Z2286" i="16"/>
  <c r="Z1203" i="16"/>
  <c r="Z2744" i="16"/>
  <c r="Z1570" i="16"/>
  <c r="Z3062" i="16"/>
  <c r="Z2933" i="16"/>
  <c r="Z3018" i="16"/>
  <c r="Z3034" i="16"/>
  <c r="Z2274" i="16"/>
  <c r="Z2567" i="16"/>
  <c r="Z1805" i="16"/>
  <c r="Z398" i="16"/>
  <c r="Z1244" i="16"/>
  <c r="Z978" i="16"/>
  <c r="Z220" i="16"/>
  <c r="Z2137" i="16"/>
  <c r="Z1368" i="16"/>
  <c r="Z1082" i="16"/>
  <c r="Z188" i="16"/>
  <c r="Z2245" i="16"/>
  <c r="Z2568" i="16"/>
  <c r="Z1935" i="16"/>
  <c r="Z1910" i="16"/>
  <c r="Z1453" i="16"/>
  <c r="Z985" i="16"/>
  <c r="Z809" i="16"/>
  <c r="Z3534" i="16"/>
  <c r="Z2362" i="16"/>
  <c r="Z3244" i="16"/>
  <c r="Z2193" i="16"/>
  <c r="Z2336" i="16"/>
  <c r="Z137" i="16"/>
  <c r="Z592" i="16"/>
  <c r="Z2303" i="16"/>
  <c r="Z2239" i="16"/>
  <c r="Z1224" i="16"/>
  <c r="Z3539" i="16"/>
  <c r="Z2484" i="16"/>
  <c r="Z2841" i="16"/>
  <c r="Z2522" i="16"/>
  <c r="Z934" i="16"/>
  <c r="Z3003" i="16"/>
  <c r="Z3061" i="16"/>
  <c r="Z1583" i="16"/>
  <c r="Z3404" i="16"/>
  <c r="Z853" i="16"/>
  <c r="Z933" i="16"/>
  <c r="Z2721" i="16"/>
  <c r="Z2746" i="16"/>
  <c r="Z2743" i="16"/>
  <c r="Z1670" i="16"/>
  <c r="Z1249" i="16"/>
  <c r="Z2579" i="16"/>
  <c r="Z875" i="16"/>
  <c r="Z1059" i="16"/>
  <c r="Z1166" i="16"/>
  <c r="Z1933" i="16"/>
  <c r="Z1435" i="16"/>
  <c r="Z393" i="16"/>
  <c r="Z1175" i="16"/>
  <c r="Z506" i="16"/>
  <c r="Z1548" i="16"/>
  <c r="Z784" i="16"/>
  <c r="Z2952" i="16"/>
  <c r="Z434" i="16"/>
  <c r="Z2786" i="16"/>
  <c r="Z1431" i="16"/>
  <c r="Z1328" i="16"/>
  <c r="Z2948" i="16"/>
  <c r="Z1116" i="16"/>
  <c r="Z2501" i="16"/>
  <c r="Z3026" i="16"/>
  <c r="Z2192" i="16"/>
  <c r="Z2480" i="16"/>
  <c r="Z3448" i="16"/>
  <c r="Z1324" i="16"/>
  <c r="Z173" i="16"/>
  <c r="Z2481" i="16"/>
  <c r="Z1167" i="16"/>
  <c r="Z318" i="16"/>
  <c r="Z1879" i="16"/>
  <c r="Z249" i="16"/>
  <c r="Z968" i="16"/>
  <c r="Z33" i="16"/>
  <c r="Z3164" i="16"/>
  <c r="Z2961" i="16"/>
  <c r="Z1501" i="16"/>
  <c r="Z1295" i="16"/>
  <c r="Z572" i="16"/>
  <c r="Z899" i="16"/>
  <c r="Z1522" i="16"/>
  <c r="Z2368" i="16"/>
  <c r="Z2091" i="16"/>
  <c r="Z688" i="16"/>
  <c r="Z3073" i="16"/>
  <c r="Z405" i="16"/>
  <c r="Z2208" i="16"/>
  <c r="Z2541" i="16"/>
  <c r="Z429" i="16"/>
  <c r="Z657" i="16"/>
  <c r="Z911" i="16"/>
  <c r="Z1476" i="16"/>
  <c r="Z3435" i="16"/>
  <c r="Z2755" i="16"/>
  <c r="Z3355" i="16"/>
  <c r="Z2831" i="16"/>
  <c r="Z198" i="16"/>
  <c r="Z694" i="16"/>
  <c r="Z3486" i="16"/>
  <c r="Z2074" i="16"/>
  <c r="Z3239" i="16"/>
  <c r="Z3277" i="16"/>
  <c r="Z2290" i="16"/>
  <c r="Z1862" i="16"/>
  <c r="Z1363" i="16"/>
  <c r="Z2779" i="16"/>
  <c r="Z901" i="16"/>
  <c r="Z2340" i="16"/>
  <c r="Z3528" i="16"/>
  <c r="Z552" i="16"/>
  <c r="Z176" i="16"/>
  <c r="Z2555" i="16"/>
  <c r="Z993" i="16"/>
  <c r="Z2360" i="16"/>
  <c r="Z2416" i="16"/>
  <c r="Z1260" i="16"/>
  <c r="Z1326" i="16"/>
  <c r="Z2442" i="16"/>
  <c r="Z3308" i="16"/>
  <c r="Z3391" i="16"/>
  <c r="Z251" i="16"/>
  <c r="Z2331" i="16"/>
  <c r="Z2765" i="16"/>
  <c r="Z1834" i="16"/>
  <c r="Z3039" i="16"/>
  <c r="Z1612" i="16"/>
  <c r="Z1140" i="16"/>
  <c r="Z2361" i="16"/>
  <c r="Z1752" i="16"/>
  <c r="Z3007" i="16"/>
  <c r="Z3503" i="16"/>
  <c r="Z1204" i="16"/>
  <c r="Z1161" i="16"/>
  <c r="Z3343" i="16"/>
  <c r="Z998" i="16"/>
  <c r="Z1891" i="16"/>
  <c r="Z1673" i="16"/>
  <c r="Z404" i="16"/>
  <c r="Z1887" i="16"/>
  <c r="Z3267" i="16"/>
  <c r="Z2664" i="16"/>
  <c r="Z327" i="16"/>
  <c r="Z3536" i="16"/>
  <c r="Z1457" i="16"/>
  <c r="Z2686" i="16"/>
  <c r="Z1946" i="16"/>
  <c r="Z1615" i="16"/>
  <c r="Z3542" i="16"/>
  <c r="Z1483" i="16"/>
  <c r="Z908" i="16"/>
  <c r="Z366" i="16"/>
  <c r="Z710" i="16"/>
  <c r="Z2717" i="16"/>
  <c r="Z264" i="16"/>
  <c r="Z3231" i="16"/>
  <c r="Z3429" i="16"/>
  <c r="Z1998" i="16"/>
  <c r="Z1221" i="16"/>
  <c r="Z3471" i="16"/>
  <c r="Z3489" i="16"/>
  <c r="Z719" i="16"/>
  <c r="Z228" i="16"/>
  <c r="Z1387" i="16"/>
  <c r="Z2149" i="16"/>
  <c r="Z2540" i="16"/>
  <c r="Z1223" i="16"/>
  <c r="Z472" i="16"/>
  <c r="Z2071" i="16"/>
  <c r="Z415" i="16"/>
  <c r="Z1389" i="16"/>
  <c r="Z1563" i="16"/>
  <c r="Z3445" i="16"/>
  <c r="Z3048" i="16"/>
  <c r="Z1076" i="16"/>
  <c r="Z3190" i="16"/>
  <c r="Z2699" i="16"/>
  <c r="Z1591" i="16"/>
  <c r="Z2806" i="16"/>
  <c r="Z2374" i="16"/>
  <c r="Z1062" i="16"/>
  <c r="Z2696" i="16"/>
  <c r="Z827" i="16"/>
  <c r="Z1039" i="16"/>
  <c r="Z1091" i="16"/>
  <c r="Z2701" i="16"/>
  <c r="Z3359" i="16"/>
  <c r="Z3364" i="16"/>
  <c r="Z1344" i="16"/>
  <c r="Z2035" i="16"/>
  <c r="Z2795" i="16"/>
  <c r="Z2909" i="16"/>
  <c r="Z2081" i="16"/>
  <c r="Z214" i="16"/>
  <c r="Z1917" i="16"/>
  <c r="Z2082" i="16"/>
  <c r="Z3488" i="16"/>
  <c r="Z1912" i="16"/>
  <c r="Z2711" i="16"/>
  <c r="Z392" i="16"/>
  <c r="Z3210" i="16"/>
  <c r="Z2357" i="16"/>
  <c r="Z3067" i="16"/>
  <c r="Z602" i="16"/>
  <c r="Z1155" i="16"/>
  <c r="Z1151" i="16"/>
  <c r="Z1459" i="16"/>
  <c r="Z46" i="16"/>
  <c r="Z1792" i="16"/>
  <c r="Z2868" i="16"/>
  <c r="Z1715" i="16"/>
  <c r="Z1319" i="16"/>
  <c r="Z1729" i="16"/>
  <c r="Z2359" i="16"/>
  <c r="Z437" i="16"/>
  <c r="Z2875" i="16"/>
  <c r="Z2850" i="16"/>
  <c r="Z3509" i="16"/>
  <c r="Z3328" i="16"/>
  <c r="Z972" i="16"/>
  <c r="Z2546" i="16"/>
  <c r="Z3053" i="16"/>
  <c r="Z99" i="16"/>
  <c r="Z42" i="16"/>
  <c r="Z250" i="16"/>
  <c r="Z477" i="16"/>
  <c r="Z2781" i="16"/>
  <c r="Z2827" i="16"/>
  <c r="Z1075" i="16"/>
  <c r="Z2719" i="16"/>
  <c r="Z3416" i="16"/>
  <c r="Z2419" i="16"/>
  <c r="Z3242" i="16"/>
  <c r="Z1439" i="16"/>
  <c r="Z470" i="16"/>
  <c r="Z2666" i="16"/>
  <c r="Z2272" i="16"/>
  <c r="Z1199" i="16"/>
  <c r="Z3247" i="16"/>
  <c r="Z3209" i="16"/>
  <c r="Z1582" i="16"/>
  <c r="Z736" i="16"/>
  <c r="Z707" i="16"/>
  <c r="Z2625" i="16"/>
  <c r="Z2076" i="16"/>
  <c r="Z1667" i="16"/>
  <c r="Z136" i="16"/>
  <c r="Z2325" i="16"/>
  <c r="Z2860" i="16"/>
  <c r="Z2968" i="16"/>
  <c r="Z1771" i="16"/>
  <c r="Z1285" i="16"/>
  <c r="Z1567" i="16"/>
  <c r="Z1504" i="16"/>
  <c r="Z1767" i="16"/>
  <c r="Z3270" i="16"/>
  <c r="Z3278" i="16"/>
  <c r="Z2901" i="16"/>
  <c r="Z164" i="16"/>
  <c r="Z1842" i="16"/>
  <c r="Z2126" i="16"/>
  <c r="Z2322" i="16"/>
  <c r="Z545" i="16"/>
  <c r="Z2270" i="16"/>
  <c r="Z3303" i="16"/>
  <c r="Z116" i="16"/>
  <c r="Z2349" i="16"/>
  <c r="Z1980" i="16"/>
  <c r="Z2651" i="16"/>
  <c r="Z1874" i="16"/>
  <c r="Z1635" i="16"/>
  <c r="Z166" i="16"/>
  <c r="Z2329" i="16"/>
  <c r="Z1725" i="16"/>
  <c r="Z2789" i="16"/>
  <c r="Z3000" i="16"/>
  <c r="Z2030" i="16"/>
  <c r="Z543" i="16"/>
  <c r="Z535" i="16"/>
  <c r="Z1803" i="16"/>
  <c r="Z3385" i="16"/>
  <c r="Z1690" i="16"/>
  <c r="Z354" i="16"/>
  <c r="Z3323" i="16"/>
  <c r="Z913" i="16"/>
  <c r="Z2771" i="16"/>
  <c r="Z757" i="16"/>
  <c r="Z496" i="16"/>
  <c r="Z179" i="16"/>
  <c r="Z3348" i="16"/>
  <c r="Z3336" i="16"/>
  <c r="Z440" i="16"/>
  <c r="Z3036" i="16"/>
  <c r="Z2394" i="16"/>
  <c r="Z2003" i="16"/>
  <c r="Z1159" i="16"/>
  <c r="Z783" i="16"/>
  <c r="Z430" i="16"/>
  <c r="Z2241" i="16"/>
  <c r="Z649" i="16"/>
  <c r="Z2807" i="16"/>
  <c r="Z1602" i="16"/>
  <c r="Z2924" i="16"/>
  <c r="Z3038" i="16"/>
  <c r="Z2016" i="16"/>
  <c r="Z129" i="16"/>
  <c r="Z3166" i="16"/>
  <c r="Z1818" i="16"/>
  <c r="Z654" i="16"/>
  <c r="Z3490" i="16"/>
  <c r="Z3152" i="16"/>
  <c r="Z1924" i="16"/>
  <c r="Z348" i="16"/>
  <c r="Z1764" i="16"/>
  <c r="Z2308" i="16"/>
  <c r="Z2179" i="16"/>
  <c r="Z2162" i="16"/>
  <c r="Z194" i="16"/>
  <c r="Z1586" i="16"/>
  <c r="Z2940" i="16"/>
  <c r="Z2576" i="16"/>
  <c r="Z939" i="16"/>
  <c r="Z2375" i="16"/>
  <c r="Z838" i="16"/>
  <c r="Z2520" i="16"/>
  <c r="Z677" i="16"/>
  <c r="Z716" i="16"/>
  <c r="Z2614" i="16"/>
  <c r="Z3397" i="16"/>
  <c r="Z319" i="16"/>
  <c r="Z1145" i="16"/>
  <c r="Z1041" i="16"/>
  <c r="Z1838" i="16"/>
  <c r="Z1056" i="16"/>
  <c r="Z2734" i="16"/>
  <c r="Z2324" i="16"/>
  <c r="Z2747" i="16"/>
  <c r="Z2104" i="16"/>
  <c r="Z544" i="16"/>
  <c r="Z739" i="16"/>
  <c r="Z2621" i="16"/>
  <c r="Z2248" i="16"/>
  <c r="Z3424" i="16"/>
  <c r="Z223" i="16"/>
  <c r="Z2117" i="16"/>
  <c r="Z2812" i="16"/>
  <c r="Z1904" i="16"/>
  <c r="Z1364" i="16"/>
  <c r="Z2838" i="16"/>
  <c r="Z821" i="16"/>
  <c r="Z1624" i="16"/>
  <c r="Z2259" i="16"/>
  <c r="Z715" i="16"/>
  <c r="Z735" i="16"/>
  <c r="Z2122" i="16"/>
  <c r="Z3108" i="16"/>
  <c r="Z1575" i="16"/>
  <c r="Z193" i="16"/>
  <c r="Z584" i="16"/>
  <c r="Z689" i="16"/>
  <c r="Z630" i="16"/>
  <c r="Z830" i="16"/>
  <c r="Z2913" i="16"/>
  <c r="Z2431" i="16"/>
  <c r="Z1939" i="16"/>
  <c r="Z2366" i="16"/>
  <c r="Z576" i="16"/>
  <c r="Z1706" i="16"/>
  <c r="Z621" i="16"/>
  <c r="Z3475" i="16"/>
  <c r="Z1726" i="16"/>
  <c r="Z1916" i="16"/>
  <c r="Z2166" i="16"/>
  <c r="Z2507" i="16"/>
  <c r="Z2741" i="16"/>
  <c r="Z2966" i="16"/>
  <c r="Z2856" i="16"/>
  <c r="Z3313" i="16"/>
  <c r="Z3150" i="16"/>
  <c r="Z1656" i="16"/>
  <c r="Z1444" i="16"/>
  <c r="Z2161" i="16"/>
  <c r="Z1026" i="16"/>
  <c r="Z1009" i="16"/>
  <c r="Z182" i="16"/>
  <c r="Z2974" i="16"/>
  <c r="Z2903" i="16"/>
  <c r="Z2077" i="16"/>
  <c r="Z2194" i="16"/>
  <c r="Z1516" i="16"/>
  <c r="Z2954" i="16"/>
  <c r="Z2581" i="16"/>
  <c r="Z1798" i="16"/>
  <c r="Z1553" i="16"/>
  <c r="Z1663" i="16"/>
  <c r="Z926" i="16"/>
  <c r="Z1057" i="16"/>
  <c r="Z1259" i="16"/>
  <c r="Z2009" i="16"/>
  <c r="Z751" i="16"/>
  <c r="Z721" i="16"/>
  <c r="Z1779" i="16"/>
  <c r="Z1646" i="16"/>
  <c r="Z580" i="16"/>
  <c r="Z1880" i="16"/>
  <c r="Z1957" i="16"/>
  <c r="Z696" i="16"/>
  <c r="Z1273" i="16"/>
  <c r="Z2829" i="16"/>
  <c r="Z1101" i="16"/>
  <c r="Z1390" i="16"/>
  <c r="Z1066" i="16"/>
  <c r="Z3261" i="16"/>
  <c r="Z824" i="16"/>
  <c r="Z307" i="16"/>
  <c r="Z1523" i="16"/>
  <c r="Z2511" i="16"/>
  <c r="Z1873" i="16"/>
  <c r="Z1373" i="16"/>
  <c r="Z2447" i="16"/>
  <c r="Z646" i="16"/>
  <c r="Z2572" i="16"/>
  <c r="Z2972" i="16"/>
  <c r="Z2356" i="16"/>
  <c r="Z447" i="16"/>
  <c r="Z160" i="16"/>
  <c r="Z1298" i="16"/>
  <c r="Z3311" i="16"/>
  <c r="Z268" i="16"/>
  <c r="Z2402" i="16"/>
  <c r="Z2764" i="16"/>
  <c r="Z731" i="16"/>
  <c r="Z1750" i="16"/>
  <c r="Z937" i="16"/>
  <c r="Z3249" i="16"/>
  <c r="Z1361" i="16"/>
  <c r="Z2561" i="16"/>
  <c r="Z3480" i="16"/>
  <c r="Z2255" i="16"/>
  <c r="Z566" i="16"/>
  <c r="Z1950" i="16"/>
  <c r="Z1252" i="16"/>
  <c r="Z3341" i="16"/>
  <c r="Z3089" i="16"/>
  <c r="Z2115" i="16"/>
  <c r="Z1717" i="16"/>
  <c r="Z3406" i="16"/>
  <c r="Z282" i="16"/>
  <c r="Z2106" i="16"/>
  <c r="Z1817" i="16"/>
  <c r="Z3052" i="16"/>
  <c r="Z746" i="16"/>
  <c r="Z2749" i="16"/>
  <c r="Z1129" i="16"/>
  <c r="Z2332" i="16"/>
  <c r="Z3127" i="16"/>
  <c r="Z2490" i="16"/>
  <c r="Z343" i="16"/>
  <c r="Z3211" i="16"/>
  <c r="Z948" i="16"/>
  <c r="Z1951" i="16"/>
  <c r="Z502" i="16"/>
  <c r="Z2970" i="16"/>
  <c r="Z1723" i="16"/>
  <c r="Z3088" i="16"/>
  <c r="Z750" i="16"/>
  <c r="Z3415" i="16"/>
  <c r="Z1626" i="16"/>
  <c r="Z3180" i="16"/>
  <c r="Z690" i="16"/>
  <c r="Z608" i="16"/>
  <c r="Z449" i="16"/>
  <c r="Z3332" i="16"/>
  <c r="Z3361" i="16"/>
  <c r="Z252" i="16"/>
  <c r="Z2271" i="16"/>
  <c r="Z1843" i="16"/>
  <c r="Z2351" i="16"/>
  <c r="Z2218" i="16"/>
  <c r="Z1372" i="16"/>
  <c r="Z987" i="16"/>
  <c r="Z1619" i="16"/>
  <c r="Z32" i="16"/>
  <c r="Z399" i="16"/>
  <c r="Z1897" i="16"/>
  <c r="Z679" i="16"/>
  <c r="Z1226" i="16"/>
  <c r="Z2763" i="16"/>
  <c r="Z1472" i="16"/>
  <c r="Z490" i="16"/>
  <c r="Z2296" i="16"/>
  <c r="Z3068" i="16"/>
  <c r="Z138" i="16"/>
  <c r="Z2408" i="16"/>
  <c r="Z2337" i="16"/>
  <c r="Z2524" i="16"/>
  <c r="Z596" i="16"/>
  <c r="Z1365" i="16"/>
  <c r="Z1748" i="16"/>
  <c r="Z1890" i="16"/>
  <c r="Z186" i="16"/>
  <c r="Z2230" i="16"/>
  <c r="Z2391" i="16"/>
  <c r="Z1966" i="16"/>
  <c r="Z2297" i="16"/>
  <c r="Z2482" i="16"/>
  <c r="Z551" i="16"/>
  <c r="Z375" i="16"/>
  <c r="Z2619" i="16"/>
  <c r="Z37" i="16"/>
  <c r="Z1896" i="16"/>
  <c r="Z687" i="16"/>
  <c r="Z2851" i="16"/>
  <c r="Z500" i="16"/>
  <c r="Z863" i="16"/>
  <c r="Z561" i="16"/>
  <c r="Z1340" i="16"/>
  <c r="Z1759" i="16"/>
  <c r="Z1371" i="16"/>
  <c r="Z3481" i="16"/>
  <c r="Z2307" i="16"/>
  <c r="Z1478" i="16"/>
  <c r="Z485" i="16"/>
  <c r="Z2187" i="16"/>
  <c r="Z928" i="16"/>
  <c r="Z1634" i="16"/>
  <c r="Z859" i="16"/>
  <c r="Z442" i="16"/>
  <c r="Z1867" i="16"/>
  <c r="Z2585" i="16"/>
  <c r="Z1264" i="16"/>
  <c r="Z1716" i="16"/>
  <c r="Z115" i="16"/>
  <c r="Z1610" i="16"/>
  <c r="Z1809" i="16"/>
  <c r="Z3508" i="16"/>
  <c r="Z1731" i="16"/>
  <c r="Z1594" i="16"/>
  <c r="Z224" i="16"/>
  <c r="Z2196" i="16"/>
  <c r="Z639" i="16"/>
  <c r="Z527" i="16"/>
  <c r="Z904" i="16"/>
  <c r="Z1263" i="16"/>
  <c r="Z712" i="16"/>
  <c r="Z1503" i="16"/>
  <c r="Z288" i="16"/>
  <c r="Z2319" i="16"/>
  <c r="Z3205" i="16"/>
  <c r="Z2722" i="16"/>
  <c r="Z1871" i="16"/>
  <c r="Z2539" i="16"/>
  <c r="Z2704" i="16"/>
  <c r="Z1309" i="16"/>
  <c r="Z407" i="16"/>
  <c r="Z1595" i="16"/>
  <c r="Z724" i="16"/>
  <c r="Z3259" i="16"/>
  <c r="J102" i="4"/>
  <c r="J28" i="4"/>
  <c r="J76" i="4"/>
  <c r="J122" i="4"/>
  <c r="J19" i="4"/>
  <c r="J44" i="4"/>
  <c r="J70" i="4"/>
  <c r="J119" i="4"/>
  <c r="J63" i="4"/>
  <c r="J83" i="4"/>
  <c r="J5" i="4"/>
  <c r="J107" i="4"/>
  <c r="J114" i="4"/>
  <c r="J40" i="4"/>
  <c r="J93" i="4"/>
  <c r="J88" i="4"/>
  <c r="J117" i="4"/>
  <c r="J26" i="4"/>
  <c r="J87" i="4"/>
  <c r="J62" i="4"/>
  <c r="J42" i="4"/>
  <c r="J92" i="4"/>
  <c r="J71" i="4"/>
  <c r="J75" i="4"/>
  <c r="J97" i="4"/>
  <c r="J31" i="4"/>
  <c r="J48" i="4"/>
  <c r="J57" i="4"/>
  <c r="J15" i="4"/>
  <c r="J90" i="4"/>
  <c r="J123" i="4"/>
  <c r="J36" i="4"/>
  <c r="J56" i="4"/>
  <c r="J58" i="4"/>
  <c r="J67" i="4"/>
  <c r="J110" i="4"/>
  <c r="J61" i="4"/>
  <c r="J20" i="4"/>
  <c r="J51" i="4"/>
  <c r="J38" i="4"/>
  <c r="J34" i="4"/>
  <c r="J37" i="4"/>
  <c r="J55" i="4"/>
  <c r="J21" i="4"/>
  <c r="J79" i="4"/>
  <c r="J68" i="4"/>
  <c r="J101" i="4"/>
  <c r="J52" i="4"/>
  <c r="J54" i="4"/>
  <c r="J12" i="4"/>
  <c r="J4" i="4"/>
  <c r="J17" i="4"/>
  <c r="J9" i="4"/>
  <c r="J82" i="4"/>
  <c r="J32" i="4"/>
  <c r="J22" i="4"/>
  <c r="J29" i="4"/>
  <c r="J3" i="4"/>
  <c r="J77" i="4"/>
  <c r="J41" i="4"/>
  <c r="J115" i="4"/>
  <c r="J6" i="4"/>
  <c r="J98" i="4"/>
  <c r="J95" i="4"/>
  <c r="J64" i="4"/>
  <c r="J120" i="4"/>
  <c r="J24" i="4"/>
  <c r="J47" i="4"/>
  <c r="J7" i="4"/>
  <c r="J33" i="4"/>
  <c r="J86" i="4"/>
  <c r="J118" i="4"/>
  <c r="J112" i="4"/>
  <c r="J10" i="4"/>
  <c r="J14" i="4"/>
  <c r="J1" i="4"/>
  <c r="J66" i="4"/>
  <c r="J84" i="4"/>
  <c r="J45" i="4"/>
  <c r="J100" i="4"/>
  <c r="J50" i="4"/>
  <c r="J111" i="4"/>
  <c r="J59" i="4"/>
  <c r="J116" i="4"/>
  <c r="J80" i="4"/>
  <c r="J126" i="4"/>
  <c r="J35" i="4"/>
  <c r="J11" i="4"/>
  <c r="J96" i="4"/>
  <c r="J108" i="4"/>
  <c r="J121" i="4"/>
  <c r="J8" i="4"/>
  <c r="J49" i="4"/>
  <c r="J65" i="4"/>
  <c r="J78" i="4"/>
  <c r="J46" i="4"/>
  <c r="J125" i="4"/>
  <c r="J69" i="4"/>
  <c r="J74" i="4"/>
  <c r="J27" i="4"/>
  <c r="J25" i="4"/>
  <c r="J85" i="4"/>
  <c r="J89" i="4"/>
  <c r="J113" i="4"/>
  <c r="J81" i="4"/>
  <c r="J30" i="4"/>
  <c r="J16" i="4"/>
  <c r="J53" i="4"/>
  <c r="J94" i="4"/>
  <c r="J106" i="4"/>
  <c r="J105" i="4"/>
  <c r="J103" i="4"/>
  <c r="J72" i="4"/>
  <c r="J43" i="4"/>
  <c r="J39" i="4"/>
  <c r="J91" i="4"/>
  <c r="J73" i="4"/>
  <c r="J104" i="4"/>
  <c r="J13" i="4"/>
  <c r="J23" i="4"/>
  <c r="J60" i="4"/>
  <c r="J99" i="4"/>
  <c r="J18" i="4"/>
  <c r="J109" i="4"/>
  <c r="J124" i="4"/>
  <c r="J2" i="4"/>
  <c r="S22" i="16"/>
  <c r="S34" i="16"/>
  <c r="S101" i="16"/>
  <c r="S70" i="16"/>
  <c r="S43" i="16"/>
  <c r="S112" i="16"/>
  <c r="S61" i="16"/>
  <c r="S102" i="16"/>
  <c r="S106" i="16"/>
  <c r="S44" i="16"/>
  <c r="S86" i="16"/>
  <c r="S91" i="16"/>
  <c r="S57" i="16"/>
  <c r="S47" i="16"/>
  <c r="S37" i="16"/>
  <c r="S65" i="16"/>
  <c r="S76" i="16"/>
  <c r="S60" i="16"/>
  <c r="S35" i="16"/>
  <c r="S81" i="16"/>
  <c r="S19" i="16"/>
  <c r="S73" i="16"/>
  <c r="S55" i="16"/>
  <c r="S21" i="16"/>
  <c r="S63" i="16"/>
  <c r="S85" i="16"/>
  <c r="S114" i="16"/>
  <c r="S103" i="16"/>
  <c r="S110" i="16"/>
  <c r="S64" i="16"/>
  <c r="S40" i="16"/>
  <c r="S115" i="16"/>
  <c r="S84" i="16"/>
  <c r="S93" i="16"/>
  <c r="S58" i="16"/>
  <c r="S92" i="16"/>
  <c r="S33" i="16"/>
  <c r="S113" i="16"/>
  <c r="S41" i="16"/>
  <c r="S49" i="16"/>
  <c r="S83" i="16"/>
  <c r="S99" i="16"/>
  <c r="S90" i="16"/>
  <c r="S98" i="16"/>
  <c r="S111" i="16"/>
  <c r="S80" i="16"/>
  <c r="S53" i="16"/>
  <c r="AA19" i="16" a="1"/>
  <c r="S79" i="16"/>
  <c r="S54" i="16"/>
  <c r="S48" i="16"/>
  <c r="S38" i="16"/>
  <c r="S45" i="16"/>
  <c r="S94" i="16"/>
  <c r="S51" i="16"/>
  <c r="S46" i="16"/>
  <c r="S97" i="16"/>
  <c r="S88" i="16"/>
  <c r="S108" i="16"/>
  <c r="S27" i="16"/>
  <c r="S29" i="16"/>
  <c r="S36" i="16"/>
  <c r="S62" i="16"/>
  <c r="S82" i="16"/>
  <c r="S107" i="16"/>
  <c r="S75" i="16"/>
  <c r="S42" i="16"/>
  <c r="S30" i="16"/>
  <c r="S24" i="16"/>
  <c r="R69" i="16"/>
  <c r="S69" i="16" s="1"/>
  <c r="S109" i="16"/>
  <c r="S87" i="16"/>
  <c r="S72" i="16"/>
  <c r="S100" i="16"/>
  <c r="S96" i="16"/>
  <c r="S74" i="16"/>
  <c r="S105" i="16"/>
  <c r="S39" i="16"/>
  <c r="S104" i="16"/>
  <c r="S95" i="16"/>
  <c r="S50" i="16"/>
  <c r="S89" i="16"/>
  <c r="S71" i="16"/>
  <c r="S66" i="16"/>
  <c r="S56" i="16"/>
  <c r="S52" i="16"/>
  <c r="S59" i="16"/>
  <c r="D26" i="6"/>
  <c r="T24" i="16" l="1"/>
  <c r="T30" i="16"/>
  <c r="T29" i="16"/>
  <c r="T27" i="16"/>
  <c r="T21" i="16"/>
  <c r="T22" i="16"/>
  <c r="T115" i="16"/>
  <c r="T111" i="16"/>
  <c r="T114" i="16"/>
  <c r="T101" i="16"/>
  <c r="T106" i="16"/>
  <c r="T102" i="16"/>
  <c r="T109" i="16"/>
  <c r="T107" i="16"/>
  <c r="T105" i="16"/>
  <c r="T103" i="16"/>
  <c r="T108" i="16"/>
  <c r="T110" i="16"/>
  <c r="T112" i="16"/>
  <c r="T104" i="16"/>
  <c r="T113" i="16"/>
  <c r="T54" i="16"/>
  <c r="T50" i="16"/>
  <c r="T41" i="16"/>
  <c r="T69" i="16"/>
  <c r="U69" i="16" s="1" a="1"/>
  <c r="AA149" i="16"/>
  <c r="AA1522" i="16"/>
  <c r="AA2271" i="16"/>
  <c r="AA1324" i="16"/>
  <c r="AA168" i="16"/>
  <c r="AA2702" i="16"/>
  <c r="AA3140" i="16"/>
  <c r="AA1590" i="16"/>
  <c r="AA385" i="16"/>
  <c r="AA2045" i="16"/>
  <c r="AA2879" i="16"/>
  <c r="AA2777" i="16"/>
  <c r="AA633" i="16"/>
  <c r="AA940" i="16"/>
  <c r="AA3412" i="16"/>
  <c r="AA2638" i="16"/>
  <c r="AA2479" i="16"/>
  <c r="AA281" i="16"/>
  <c r="AA1006" i="16"/>
  <c r="AA2903" i="16"/>
  <c r="AA2041" i="16"/>
  <c r="AA39" i="16"/>
  <c r="AA1317" i="16"/>
  <c r="AA134" i="16"/>
  <c r="AA891" i="16"/>
  <c r="AA2454" i="16"/>
  <c r="AA2978" i="16"/>
  <c r="AA326" i="16"/>
  <c r="AA2042" i="16"/>
  <c r="AA1742" i="16"/>
  <c r="AA870" i="16"/>
  <c r="AA1645" i="16"/>
  <c r="AA1511" i="16"/>
  <c r="AA1702" i="16"/>
  <c r="AA3312" i="16"/>
  <c r="AA2493" i="16"/>
  <c r="AA150" i="16"/>
  <c r="AA2208" i="16"/>
  <c r="AA1841" i="16"/>
  <c r="AA2176" i="16"/>
  <c r="AA254" i="16"/>
  <c r="AA3435" i="16"/>
  <c r="AA42" i="16"/>
  <c r="AA885" i="16"/>
  <c r="AA1226" i="16"/>
  <c r="AA3470" i="16"/>
  <c r="AA2720" i="16"/>
  <c r="AA3345" i="16"/>
  <c r="AA1897" i="16"/>
  <c r="AA2236" i="16"/>
  <c r="AA1191" i="16"/>
  <c r="AA2256" i="16"/>
  <c r="AA3316" i="16"/>
  <c r="AA1386" i="16"/>
  <c r="AA3523" i="16"/>
  <c r="AA2936" i="16"/>
  <c r="AA267" i="16"/>
  <c r="AA924" i="16"/>
  <c r="AA2441" i="16"/>
  <c r="AA3325" i="16"/>
  <c r="AA1532" i="16"/>
  <c r="AA3071" i="16"/>
  <c r="AA188" i="16"/>
  <c r="AA1470" i="16"/>
  <c r="AA2508" i="16"/>
  <c r="AA300" i="16"/>
  <c r="AA678" i="16"/>
  <c r="AA3052" i="16"/>
  <c r="AA3284" i="16"/>
  <c r="AA3110" i="16"/>
  <c r="AA557" i="16"/>
  <c r="AA2646" i="16"/>
  <c r="AA1404" i="16"/>
  <c r="AA3220" i="16"/>
  <c r="AA543" i="16"/>
  <c r="AA19" i="16"/>
  <c r="AA3424" i="16"/>
  <c r="AA3225" i="16"/>
  <c r="AA3526" i="16"/>
  <c r="AA1153" i="16"/>
  <c r="AA1600" i="16"/>
  <c r="AA2462" i="16"/>
  <c r="AA2891" i="16"/>
  <c r="AA3026" i="16"/>
  <c r="AA2844" i="16"/>
  <c r="AA1071" i="16"/>
  <c r="AA939" i="16"/>
  <c r="AA3243" i="16"/>
  <c r="AA125" i="16"/>
  <c r="AA3024" i="16"/>
  <c r="AA1932" i="16"/>
  <c r="AA1268" i="16"/>
  <c r="AA1231" i="16"/>
  <c r="AA664" i="16"/>
  <c r="AA502" i="16"/>
  <c r="AA2948" i="16"/>
  <c r="AA635" i="16"/>
  <c r="AA1476" i="16"/>
  <c r="AA2737" i="16"/>
  <c r="AA1129" i="16"/>
  <c r="AA3032" i="16"/>
  <c r="AA1826" i="16"/>
  <c r="AA745" i="16"/>
  <c r="AA379" i="16"/>
  <c r="AA3181" i="16"/>
  <c r="AA1723" i="16"/>
  <c r="AA3371" i="16"/>
  <c r="AA263" i="16"/>
  <c r="AA3482" i="16"/>
  <c r="AA1008" i="16"/>
  <c r="AA2330" i="16"/>
  <c r="AA2498" i="16"/>
  <c r="AA3104" i="16"/>
  <c r="AA1082" i="16"/>
  <c r="AA3301" i="16"/>
  <c r="AA489" i="16"/>
  <c r="AA3404" i="16"/>
  <c r="AA1417" i="16"/>
  <c r="AA1660" i="16"/>
  <c r="AA2485" i="16"/>
  <c r="AA2504" i="16"/>
  <c r="AA2644" i="16"/>
  <c r="AA1454" i="16"/>
  <c r="AA1165" i="16"/>
  <c r="AA138" i="16"/>
  <c r="AA384" i="16"/>
  <c r="AA3499" i="16"/>
  <c r="AA2456" i="16"/>
  <c r="AA1230" i="16"/>
  <c r="AA1278" i="16"/>
  <c r="AA1729" i="16"/>
  <c r="AA3047" i="16"/>
  <c r="AA982" i="16"/>
  <c r="AA2690" i="16"/>
  <c r="AA2693" i="16"/>
  <c r="AA212" i="16"/>
  <c r="AA3336" i="16"/>
  <c r="AA2923" i="16"/>
  <c r="AA542" i="16"/>
  <c r="AA2515" i="16"/>
  <c r="AA1112" i="16"/>
  <c r="AA1967" i="16"/>
  <c r="AA1530" i="16"/>
  <c r="AA1960" i="16"/>
  <c r="AA2367" i="16"/>
  <c r="AA1166" i="16"/>
  <c r="AA1321" i="16"/>
  <c r="AA1054" i="16"/>
  <c r="AA293" i="16"/>
  <c r="AA2200" i="16"/>
  <c r="AA1115" i="16"/>
  <c r="AA2048" i="16"/>
  <c r="AA1564" i="16"/>
  <c r="AA1320" i="16"/>
  <c r="AA2656" i="16"/>
  <c r="AA1883" i="16"/>
  <c r="AA2910" i="16"/>
  <c r="AA2068" i="16"/>
  <c r="AA2820" i="16"/>
  <c r="AA2631" i="16"/>
  <c r="AA2782" i="16"/>
  <c r="AA1398" i="16"/>
  <c r="AA72" i="16"/>
  <c r="AA1927" i="16"/>
  <c r="AA1249" i="16"/>
  <c r="AA1959" i="16"/>
  <c r="AA1551" i="16"/>
  <c r="AA2378" i="16"/>
  <c r="AA838" i="16"/>
  <c r="AA2564" i="16"/>
  <c r="AA2533" i="16"/>
  <c r="AA2698" i="16"/>
  <c r="AA1811" i="16"/>
  <c r="AA2802" i="16"/>
  <c r="AA142" i="16"/>
  <c r="AA1015" i="16"/>
  <c r="AA2981" i="16"/>
  <c r="AA2772" i="16"/>
  <c r="AA1940" i="16"/>
  <c r="AA327" i="16"/>
  <c r="AA2613" i="16"/>
  <c r="AA504" i="16"/>
  <c r="AA29" i="16"/>
  <c r="AA2853" i="16"/>
  <c r="AA739" i="16"/>
  <c r="AA346" i="16"/>
  <c r="AA1465" i="16"/>
  <c r="AA3286" i="16"/>
  <c r="AA1880" i="16"/>
  <c r="AA2124" i="16"/>
  <c r="AA1570" i="16"/>
  <c r="AA381" i="16"/>
  <c r="AA1276" i="16"/>
  <c r="AA85" i="16"/>
  <c r="AA2742" i="16"/>
  <c r="AA2971" i="16"/>
  <c r="AA2359" i="16"/>
  <c r="AA2769" i="16"/>
  <c r="AA2663" i="16"/>
  <c r="AA372" i="16"/>
  <c r="AA1750" i="16"/>
  <c r="AA1989" i="16"/>
  <c r="AA2814" i="16"/>
  <c r="AA3059" i="16"/>
  <c r="AA2570" i="16"/>
  <c r="AA2173" i="16"/>
  <c r="AA2545" i="16"/>
  <c r="AA68" i="16"/>
  <c r="AA2701" i="16"/>
  <c r="AA2905" i="16"/>
  <c r="AA2951" i="16"/>
  <c r="AA544" i="16"/>
  <c r="AA3177" i="16"/>
  <c r="AA2100" i="16"/>
  <c r="AA897" i="16"/>
  <c r="AA1844" i="16"/>
  <c r="AA2495" i="16"/>
  <c r="AA3443" i="16"/>
  <c r="AA1352" i="16"/>
  <c r="AA2216" i="16"/>
  <c r="AA2427" i="16"/>
  <c r="AA563" i="16"/>
  <c r="AA896" i="16"/>
  <c r="AA3479" i="16"/>
  <c r="AA824" i="16"/>
  <c r="AA2642" i="16"/>
  <c r="AA322" i="16"/>
  <c r="AA1804" i="16"/>
  <c r="AA368" i="16"/>
  <c r="AA853" i="16"/>
  <c r="AA2252" i="16"/>
  <c r="AA572" i="16"/>
  <c r="AA2553" i="16"/>
  <c r="AA197" i="16"/>
  <c r="AA954" i="16"/>
  <c r="AA312" i="16"/>
  <c r="AA1159" i="16"/>
  <c r="AA3188" i="16"/>
  <c r="AA2183" i="16"/>
  <c r="AA64" i="16"/>
  <c r="AA199" i="16"/>
  <c r="AA1020" i="16"/>
  <c r="AA166" i="16"/>
  <c r="AA37" i="16"/>
  <c r="AA57" i="16"/>
  <c r="AA1506" i="16"/>
  <c r="AA2548" i="16"/>
  <c r="AA2466" i="16"/>
  <c r="AA737" i="16"/>
  <c r="AA2366" i="16"/>
  <c r="AA456" i="16"/>
  <c r="AA3099" i="16"/>
  <c r="AA1390" i="16"/>
  <c r="AA984" i="16"/>
  <c r="AA947" i="16"/>
  <c r="AA1163" i="16"/>
  <c r="AA887" i="16"/>
  <c r="AA2459" i="16"/>
  <c r="AA3454" i="16"/>
  <c r="AA2734" i="16"/>
  <c r="AA1857" i="16"/>
  <c r="AA3217" i="16"/>
  <c r="AA505" i="16"/>
  <c r="AA43" i="16"/>
  <c r="AA2836" i="16"/>
  <c r="AA3339" i="16"/>
  <c r="AA3455" i="16"/>
  <c r="AA1881" i="16"/>
  <c r="AA2924" i="16"/>
  <c r="AA2538" i="16"/>
  <c r="AA1496" i="16"/>
  <c r="AA895" i="16"/>
  <c r="AA3388" i="16"/>
  <c r="AA173" i="16"/>
  <c r="AA809" i="16"/>
  <c r="AA2439" i="16"/>
  <c r="AA2882" i="16"/>
  <c r="AA1831" i="16"/>
  <c r="AA1673" i="16"/>
  <c r="AA236" i="16"/>
  <c r="AA1877" i="16"/>
  <c r="AA1106" i="16"/>
  <c r="AA325" i="16"/>
  <c r="AA571" i="16"/>
  <c r="AA1446" i="16"/>
  <c r="AA1646" i="16"/>
  <c r="AA2765" i="16"/>
  <c r="AA3272" i="16"/>
  <c r="AA3283" i="16"/>
  <c r="AA82" i="16"/>
  <c r="AA2947" i="16"/>
  <c r="AA2072" i="16"/>
  <c r="AA1466" i="16"/>
  <c r="AA3466" i="16"/>
  <c r="AA3538" i="16"/>
  <c r="AA2815" i="16"/>
  <c r="AA1011" i="16"/>
  <c r="AA1655" i="16"/>
  <c r="AA375" i="16"/>
  <c r="AA477" i="16"/>
  <c r="AA1682" i="16"/>
  <c r="AA2673" i="16"/>
  <c r="AA650" i="16"/>
  <c r="AA774" i="16"/>
  <c r="AA3285" i="16"/>
  <c r="AA21" i="16"/>
  <c r="AA1642" i="16"/>
  <c r="AA49" i="16"/>
  <c r="AA1059" i="16"/>
  <c r="AA2458" i="16"/>
  <c r="AA305" i="16"/>
  <c r="AA3465" i="16"/>
  <c r="AA750" i="16"/>
  <c r="AA1055" i="16"/>
  <c r="AA2761" i="16"/>
  <c r="AA3311" i="16"/>
  <c r="AA1093" i="16"/>
  <c r="AA829" i="16"/>
  <c r="AA565" i="16"/>
  <c r="AA1635" i="16"/>
  <c r="AA162" i="16"/>
  <c r="AA612" i="16"/>
  <c r="AA1920" i="16"/>
  <c r="AA2955" i="16"/>
  <c r="AA2660" i="16"/>
  <c r="AA2015" i="16"/>
  <c r="AA202" i="16"/>
  <c r="AA3036" i="16"/>
  <c r="AA3513" i="16"/>
  <c r="AA380" i="16"/>
  <c r="AA3494" i="16"/>
  <c r="AA3536" i="16"/>
  <c r="AA2669" i="16"/>
  <c r="AA248" i="16"/>
  <c r="AA3413" i="16"/>
  <c r="AA694" i="16"/>
  <c r="AA1631" i="16"/>
  <c r="AA1845" i="16"/>
  <c r="AA2387" i="16"/>
  <c r="AA1890" i="16"/>
  <c r="AA2391" i="16"/>
  <c r="AA3249" i="16"/>
  <c r="AA2838" i="16"/>
  <c r="AA3449" i="16"/>
  <c r="AA999" i="16"/>
  <c r="AA2311" i="16"/>
  <c r="AA2894" i="16"/>
  <c r="AA2144" i="16"/>
  <c r="AA2294" i="16"/>
  <c r="AA627" i="16"/>
  <c r="AA2724" i="16"/>
  <c r="AA1061" i="16"/>
  <c r="AA2555" i="16"/>
  <c r="AA238" i="16"/>
  <c r="AA1177" i="16"/>
  <c r="AA280" i="16"/>
  <c r="AA2622" i="16"/>
  <c r="AA2445" i="16"/>
  <c r="AA216" i="16"/>
  <c r="AA2585" i="16"/>
  <c r="AA1007" i="16"/>
  <c r="AA1970" i="16"/>
  <c r="AA2502" i="16"/>
  <c r="AA889" i="16"/>
  <c r="AA874" i="16"/>
  <c r="AA1915" i="16"/>
  <c r="AA158" i="16"/>
  <c r="AA3149" i="16"/>
  <c r="AA2069" i="16"/>
  <c r="AA1111" i="16"/>
  <c r="AA702" i="16"/>
  <c r="AA239" i="16"/>
  <c r="AA1441" i="16"/>
  <c r="AA316" i="16"/>
  <c r="AA768" i="16"/>
  <c r="AA1707" i="16"/>
  <c r="AA609" i="16"/>
  <c r="AA256" i="16"/>
  <c r="AA2419" i="16"/>
  <c r="AA444" i="16"/>
  <c r="AA1119" i="16"/>
  <c r="AA554" i="16"/>
  <c r="AA2714" i="16"/>
  <c r="AA1688" i="16"/>
  <c r="AA329" i="16"/>
  <c r="AA783" i="16"/>
  <c r="AA2258" i="16"/>
  <c r="AA2686" i="16"/>
  <c r="AA292" i="16"/>
  <c r="AA1949" i="16"/>
  <c r="AA3293" i="16"/>
  <c r="AA2727" i="16"/>
  <c r="AA1647" i="16"/>
  <c r="AA3514" i="16"/>
  <c r="AA1270" i="16"/>
  <c r="AA2169" i="16"/>
  <c r="AA2341" i="16"/>
  <c r="AA3524" i="16"/>
  <c r="AA1348" i="16"/>
  <c r="AA139" i="16"/>
  <c r="AA2892" i="16"/>
  <c r="AA428" i="16"/>
  <c r="AA2389" i="16"/>
  <c r="AA3295" i="16"/>
  <c r="AA429" i="16"/>
  <c r="AA114" i="16"/>
  <c r="AA1323" i="16"/>
  <c r="AA703" i="16"/>
  <c r="AA1848" i="16"/>
  <c r="AA2463" i="16"/>
  <c r="AA2210" i="16"/>
  <c r="AA2323" i="16"/>
  <c r="AA2089" i="16"/>
  <c r="AA2031" i="16"/>
  <c r="AA154" i="16"/>
  <c r="AA296" i="16"/>
  <c r="AA349" i="16"/>
  <c r="AA306" i="16"/>
  <c r="AA1998" i="16"/>
  <c r="AA2920" i="16"/>
  <c r="AA2055" i="16"/>
  <c r="AA3168" i="16"/>
  <c r="AA2922" i="16"/>
  <c r="AA710" i="16"/>
  <c r="AA3197" i="16"/>
  <c r="AA1189" i="16"/>
  <c r="AA1988" i="16"/>
  <c r="AA1126" i="16"/>
  <c r="AA253" i="16"/>
  <c r="AA2759" i="16"/>
  <c r="AA1937" i="16"/>
  <c r="AA1685" i="16"/>
  <c r="AA3012" i="16"/>
  <c r="AA3429" i="16"/>
  <c r="AA2610" i="16"/>
  <c r="AA3058" i="16"/>
  <c r="AA1601" i="16"/>
  <c r="AA3143" i="16"/>
  <c r="AA2266" i="16"/>
  <c r="AA3476" i="16"/>
  <c r="AA2113" i="16"/>
  <c r="AA2630" i="16"/>
  <c r="AA573" i="16"/>
  <c r="AA1747" i="16"/>
  <c r="AA3460" i="16"/>
  <c r="AA2078" i="16"/>
  <c r="AA1540" i="16"/>
  <c r="AA2127" i="16"/>
  <c r="AA1248" i="16"/>
  <c r="AA191" i="16"/>
  <c r="AA3420" i="16"/>
  <c r="AA3521" i="16"/>
  <c r="AA225" i="16"/>
  <c r="AA2755" i="16"/>
  <c r="AA2018" i="16"/>
  <c r="AA2705" i="16"/>
  <c r="AA70" i="16"/>
  <c r="AA2884" i="16"/>
  <c r="AA918" i="16"/>
  <c r="AA1854" i="16"/>
  <c r="AA688" i="16"/>
  <c r="AA2809" i="16"/>
  <c r="AA3141" i="16"/>
  <c r="AA1733" i="16"/>
  <c r="AA1867" i="16"/>
  <c r="AA194" i="16"/>
  <c r="AA3068" i="16"/>
  <c r="AA2497" i="16"/>
  <c r="AA1031" i="16"/>
  <c r="AA799" i="16"/>
  <c r="AA719" i="16"/>
  <c r="AA3269" i="16"/>
  <c r="AA1830" i="16"/>
  <c r="AA1931" i="16"/>
  <c r="AA3194" i="16"/>
  <c r="AA1329" i="16"/>
  <c r="AA1914" i="16"/>
  <c r="AA75" i="16"/>
  <c r="AA2350" i="16"/>
  <c r="AA106" i="16"/>
  <c r="AA1923" i="16"/>
  <c r="AA820" i="16"/>
  <c r="AA1778" i="16"/>
  <c r="AA972" i="16"/>
  <c r="AA1908" i="16"/>
  <c r="AA2575" i="16"/>
  <c r="AA2046" i="16"/>
  <c r="AA2608" i="16"/>
  <c r="AA1839" i="16"/>
  <c r="AA2897" i="16"/>
  <c r="AA464" i="16"/>
  <c r="AA353" i="16"/>
  <c r="AA3415" i="16"/>
  <c r="AA3288" i="16"/>
  <c r="AA2159" i="16"/>
  <c r="AA3438" i="16"/>
  <c r="AA1766" i="16"/>
  <c r="AA2592" i="16"/>
  <c r="AA693" i="16"/>
  <c r="AA2875" i="16"/>
  <c r="AA244" i="16"/>
  <c r="AA1593" i="16"/>
  <c r="AA1957" i="16"/>
  <c r="AA1548" i="16"/>
  <c r="AA1041" i="16"/>
  <c r="AA2762" i="16"/>
  <c r="AA2079" i="16"/>
  <c r="AA1533" i="16"/>
  <c r="AA3064" i="16"/>
  <c r="AA192" i="16"/>
  <c r="AA929" i="16"/>
  <c r="AA318" i="16"/>
  <c r="AA2694" i="16"/>
  <c r="AA1460" i="16"/>
  <c r="AA795" i="16"/>
  <c r="AA2524" i="16"/>
  <c r="AA1340" i="16"/>
  <c r="AA945" i="16"/>
  <c r="AA1342" i="16"/>
  <c r="AA2075" i="16"/>
  <c r="AA1696" i="16"/>
  <c r="AA1524" i="16"/>
  <c r="AA1626" i="16"/>
  <c r="AA1875" i="16"/>
  <c r="AA2066" i="16"/>
  <c r="AA378" i="16"/>
  <c r="AA1568" i="16"/>
  <c r="AA1477" i="16"/>
  <c r="AA2741" i="16"/>
  <c r="AA2096" i="16"/>
  <c r="AA2225" i="16"/>
  <c r="AA1283" i="16"/>
  <c r="AA971" i="16"/>
  <c r="AA3108" i="16"/>
  <c r="AA616" i="16"/>
  <c r="AA160" i="16"/>
  <c r="AA352" i="16"/>
  <c r="AA2449" i="16"/>
  <c r="AA1597" i="16"/>
  <c r="AA1822" i="16"/>
  <c r="AA2431" i="16"/>
  <c r="AA1978" i="16"/>
  <c r="AA621" i="16"/>
  <c r="AA675" i="16"/>
  <c r="AA2240" i="16"/>
  <c r="AA997" i="16"/>
  <c r="AA3474" i="16"/>
  <c r="AA2352" i="16"/>
  <c r="AA88" i="16"/>
  <c r="AA393" i="16"/>
  <c r="AA1273" i="16"/>
  <c r="AA1021" i="16"/>
  <c r="AA2177" i="16"/>
  <c r="AA806" i="16"/>
  <c r="AA1058" i="16"/>
  <c r="AA970" i="16"/>
  <c r="AA2775" i="16"/>
  <c r="AA1316" i="16"/>
  <c r="AA1471" i="16"/>
  <c r="AA1325" i="16"/>
  <c r="AA927" i="16"/>
  <c r="AA1439" i="16"/>
  <c r="AA2374" i="16"/>
  <c r="AA1222" i="16"/>
  <c r="AA230" i="16"/>
  <c r="AA2803" i="16"/>
  <c r="AA1502" i="16"/>
  <c r="AA441" i="16"/>
  <c r="AA912" i="16"/>
  <c r="AA2824" i="16"/>
  <c r="AA626" i="16"/>
  <c r="AA1356" i="16"/>
  <c r="AA830" i="16"/>
  <c r="AA787" i="16"/>
  <c r="AA105" i="16"/>
  <c r="AA746" i="16"/>
  <c r="AA2904" i="16"/>
  <c r="AA2865" i="16"/>
  <c r="AA2083" i="16"/>
  <c r="AA1271" i="16"/>
  <c r="AA2298" i="16"/>
  <c r="AA2768" i="16"/>
  <c r="AA315" i="16"/>
  <c r="AA366" i="16"/>
  <c r="AA3081" i="16"/>
  <c r="AA2999" i="16"/>
  <c r="AA184" i="16"/>
  <c r="AA1212" i="16"/>
  <c r="AA662" i="16"/>
  <c r="AA676" i="16"/>
  <c r="AA3486" i="16"/>
  <c r="AA3051" i="16"/>
  <c r="AA1486" i="16"/>
  <c r="AA1319" i="16"/>
  <c r="AA2645" i="16"/>
  <c r="AA137" i="16"/>
  <c r="AA905" i="16"/>
  <c r="AA2569" i="16"/>
  <c r="AA2241" i="16"/>
  <c r="AA2896" i="16"/>
  <c r="AA1480" i="16"/>
  <c r="AA3373" i="16"/>
  <c r="AA2607" i="16"/>
  <c r="AA848" i="16"/>
  <c r="AA2444" i="16"/>
  <c r="AA1418" i="16"/>
  <c r="AA3019" i="16"/>
  <c r="AA2189" i="16"/>
  <c r="AA2230" i="16"/>
  <c r="AA1057" i="16"/>
  <c r="AA2402" i="16"/>
  <c r="AA813" i="16"/>
  <c r="AA1864" i="16"/>
  <c r="AA2254" i="16"/>
  <c r="AA952" i="16"/>
  <c r="AA3002" i="16"/>
  <c r="AA302" i="16"/>
  <c r="AA1097" i="16"/>
  <c r="AA433" i="16"/>
  <c r="AA1010" i="16"/>
  <c r="AA1779" i="16"/>
  <c r="AA1687" i="16"/>
  <c r="AA3236" i="16"/>
  <c r="AA1910" i="16"/>
  <c r="AA159" i="16"/>
  <c r="AA1411" i="16"/>
  <c r="AA983" i="16"/>
  <c r="AA883" i="16"/>
  <c r="AA2949" i="16"/>
  <c r="AA1865" i="16"/>
  <c r="AA2893" i="16"/>
  <c r="AA53" i="16"/>
  <c r="AA2805" i="16"/>
  <c r="AA482" i="16"/>
  <c r="AA90" i="16"/>
  <c r="AA2751" i="16"/>
  <c r="AA902" i="16"/>
  <c r="AA3034" i="16"/>
  <c r="AA1740" i="16"/>
  <c r="AA171" i="16"/>
  <c r="AA2198" i="16"/>
  <c r="AA3445" i="16"/>
  <c r="AA1204" i="16"/>
  <c r="AA1196" i="16"/>
  <c r="AA1100" i="16"/>
  <c r="AA1761" i="16"/>
  <c r="AA2529" i="16"/>
  <c r="AA3022" i="16"/>
  <c r="AA94" i="16"/>
  <c r="AA3053" i="16"/>
  <c r="AA2914" i="16"/>
  <c r="AA310" i="16"/>
  <c r="AA681" i="16"/>
  <c r="AA1207" i="16"/>
  <c r="AA1964" i="16"/>
  <c r="AA2921" i="16"/>
  <c r="AA1535" i="16"/>
  <c r="AA2133" i="16"/>
  <c r="AA58" i="16"/>
  <c r="AA340" i="16"/>
  <c r="AA524" i="16"/>
  <c r="AA1703" i="16"/>
  <c r="AA3014" i="16"/>
  <c r="AA2909" i="16"/>
  <c r="AA3374" i="16"/>
  <c r="AA3539" i="16"/>
  <c r="AA1508" i="16"/>
  <c r="AA3167" i="16"/>
  <c r="AA942" i="16"/>
  <c r="AA63" i="16"/>
  <c r="AA268" i="16"/>
  <c r="AA180" i="16"/>
  <c r="AA2228" i="16"/>
  <c r="AA3343" i="16"/>
  <c r="AA2468" i="16"/>
  <c r="AA1090" i="16"/>
  <c r="AA3313" i="16"/>
  <c r="AA634" i="16"/>
  <c r="AA109" i="16"/>
  <c r="AA3094" i="16"/>
  <c r="AA1838" i="16"/>
  <c r="AA1852" i="16"/>
  <c r="AA2029" i="16"/>
  <c r="AA445" i="16"/>
  <c r="AA2603" i="16"/>
  <c r="AA2440" i="16"/>
  <c r="AA3456" i="16"/>
  <c r="AA266" i="16"/>
  <c r="AA2854" i="16"/>
  <c r="AA1328" i="16"/>
  <c r="AA1293" i="16"/>
  <c r="AA909" i="16"/>
  <c r="AA728" i="16"/>
  <c r="AA1359" i="16"/>
  <c r="AA852" i="16"/>
  <c r="AA3302" i="16"/>
  <c r="AA1604" i="16"/>
  <c r="AA617" i="16"/>
  <c r="AA1939" i="16"/>
  <c r="AA937" i="16"/>
  <c r="AA3178" i="16"/>
  <c r="AA1072" i="16"/>
  <c r="AA3084" i="16"/>
  <c r="AA871" i="16"/>
  <c r="AA65" i="16"/>
  <c r="AA2984" i="16"/>
  <c r="AA966" i="16"/>
  <c r="AA2432" i="16"/>
  <c r="AA50" i="16"/>
  <c r="AA1247" i="16"/>
  <c r="AA3206" i="16"/>
  <c r="AA2688" i="16"/>
  <c r="AA802" i="16"/>
  <c r="AA2536" i="16"/>
  <c r="AA1912" i="16"/>
  <c r="AA1983" i="16"/>
  <c r="AA2154" i="16"/>
  <c r="AA1855" i="16"/>
  <c r="AA1192" i="16"/>
  <c r="AA1614" i="16"/>
  <c r="AA3221" i="16"/>
  <c r="AA3170" i="16"/>
  <c r="AA1364" i="16"/>
  <c r="AA779" i="16"/>
  <c r="AA1741" i="16"/>
  <c r="AA189" i="16"/>
  <c r="AA898" i="16"/>
  <c r="AA2314" i="16"/>
  <c r="AA3512" i="16"/>
  <c r="AA928" i="16"/>
  <c r="AA488" i="16"/>
  <c r="AA2003" i="16"/>
  <c r="AA2719" i="16"/>
  <c r="AA3124" i="16"/>
  <c r="AA40" i="16"/>
  <c r="AA2105" i="16"/>
  <c r="AA1435" i="16"/>
  <c r="AA3426" i="16"/>
  <c r="AA1221" i="16"/>
  <c r="AA1004" i="16"/>
  <c r="AA513" i="16"/>
  <c r="AA1467" i="16"/>
  <c r="AA272" i="16"/>
  <c r="AA1351" i="16"/>
  <c r="AA1531" i="16"/>
  <c r="AA1450" i="16"/>
  <c r="AA1520" i="16"/>
  <c r="AA1488" i="16"/>
  <c r="AA1029" i="16"/>
  <c r="AA2486" i="16"/>
  <c r="AA2736" i="16"/>
  <c r="AA3344" i="16"/>
  <c r="AA294" i="16"/>
  <c r="AA432" i="16"/>
  <c r="AA2885" i="16"/>
  <c r="AA827" i="16"/>
  <c r="AA817" i="16"/>
  <c r="AA1310" i="16"/>
  <c r="AA1089" i="16"/>
  <c r="AA1322" i="16"/>
  <c r="AA2779" i="16"/>
  <c r="AA183" i="16"/>
  <c r="AA3548" i="16"/>
  <c r="AA1217" i="16"/>
  <c r="AA1451" i="16"/>
  <c r="AA2060" i="16"/>
  <c r="AA3119" i="16"/>
  <c r="AA1589" i="16"/>
  <c r="AA124" i="16"/>
  <c r="AA1683" i="16"/>
  <c r="AA2731" i="16"/>
  <c r="AA2321" i="16"/>
  <c r="AA35" i="16"/>
  <c r="AA3346" i="16"/>
  <c r="AA2345" i="16"/>
  <c r="AA2172" i="16"/>
  <c r="AA2309" i="16"/>
  <c r="AA1763" i="16"/>
  <c r="AA1898" i="16"/>
  <c r="AA2627" i="16"/>
  <c r="AA1975" i="16"/>
  <c r="AA2349" i="16"/>
  <c r="AA2238" i="16"/>
  <c r="AA3266" i="16"/>
  <c r="AA2280" i="16"/>
  <c r="AA52" i="16"/>
  <c r="AA2376" i="16"/>
  <c r="AA2583" i="16"/>
  <c r="AA782" i="16"/>
  <c r="AA2662" i="16"/>
  <c r="AA3231" i="16"/>
  <c r="AA811" i="16"/>
  <c r="AA1375" i="16"/>
  <c r="AA2092" i="16"/>
  <c r="AA3350" i="16"/>
  <c r="AA2729" i="16"/>
  <c r="AA2804" i="16"/>
  <c r="AA1045" i="16"/>
  <c r="AA610" i="16"/>
  <c r="AA1419" i="16"/>
  <c r="AA674" i="16"/>
  <c r="AA2080" i="16"/>
  <c r="AA1874" i="16"/>
  <c r="AA1392" i="16"/>
  <c r="AA2692" i="16"/>
  <c r="AA1991" i="16"/>
  <c r="AA451" i="16"/>
  <c r="AA1084" i="16"/>
  <c r="AA773" i="16"/>
  <c r="AA26" i="16"/>
  <c r="AA365" i="16"/>
  <c r="AA301" i="16"/>
  <c r="AA733" i="16"/>
  <c r="AA1266" i="16"/>
  <c r="AA2306" i="16"/>
  <c r="AA1052" i="16"/>
  <c r="AA324" i="16"/>
  <c r="AA3035" i="16"/>
  <c r="AA3473" i="16"/>
  <c r="AA411" i="16"/>
  <c r="AA1609" i="16"/>
  <c r="AA2143" i="16"/>
  <c r="AA1521" i="16"/>
  <c r="AA2976" i="16"/>
  <c r="AA3297" i="16"/>
  <c r="AA3017" i="16"/>
  <c r="AA509" i="16"/>
  <c r="AA2074" i="16"/>
  <c r="AA120" i="16"/>
  <c r="AA1065" i="16"/>
  <c r="AA1107" i="16"/>
  <c r="AA1397" i="16"/>
  <c r="AA1534" i="16"/>
  <c r="AA2703" i="16"/>
  <c r="AA801" i="16"/>
  <c r="AA1339" i="16"/>
  <c r="AA584" i="16"/>
  <c r="AA2496" i="16"/>
  <c r="AA3089" i="16"/>
  <c r="AA3204" i="16"/>
  <c r="AA2868" i="16"/>
  <c r="AA1919" i="16"/>
  <c r="AA1048" i="16"/>
  <c r="AA2616" i="16"/>
  <c r="AA182" i="16"/>
  <c r="AA1188" i="16"/>
  <c r="AA1598" i="16"/>
  <c r="AA1161" i="16"/>
  <c r="AA3332" i="16"/>
  <c r="AA3083" i="16"/>
  <c r="AA613" i="16"/>
  <c r="AA1713" i="16"/>
  <c r="AA2871" i="16"/>
  <c r="AA1205" i="16"/>
  <c r="AA1870" i="16"/>
  <c r="AA2111" i="16"/>
  <c r="AA210" i="16"/>
  <c r="AA1749" i="16"/>
  <c r="AA2265" i="16"/>
  <c r="AA1208" i="16"/>
  <c r="AA383" i="16"/>
  <c r="AA717" i="16"/>
  <c r="AA3501" i="16"/>
  <c r="AA851" i="16"/>
  <c r="AA2618" i="16"/>
  <c r="AA1225" i="16"/>
  <c r="AA1817" i="16"/>
  <c r="AA517" i="16"/>
  <c r="AA27" i="16"/>
  <c r="AA760" i="16"/>
  <c r="AA1709" i="16"/>
  <c r="AA1168" i="16"/>
  <c r="AA3186" i="16"/>
  <c r="AA491" i="16"/>
  <c r="AA1525" i="16"/>
  <c r="AA899" i="16"/>
  <c r="AA2566" i="16"/>
  <c r="AA61" i="16"/>
  <c r="AA2960" i="16"/>
  <c r="AA1116" i="16"/>
  <c r="AA3509" i="16"/>
  <c r="AA2284" i="16"/>
  <c r="AA1610" i="16"/>
  <c r="AA3191" i="16"/>
  <c r="AA1695" i="16"/>
  <c r="AA2852" i="16"/>
  <c r="AA2150" i="16"/>
  <c r="AA3160" i="16"/>
  <c r="AA1487" i="16"/>
  <c r="AA1066" i="16"/>
  <c r="AA831" i="16"/>
  <c r="AA2139" i="16"/>
  <c r="AA1674" i="16"/>
  <c r="AA237" i="16"/>
  <c r="AA1911" i="16"/>
  <c r="AA1873" i="16"/>
  <c r="AA569" i="16"/>
  <c r="AA1586" i="16"/>
  <c r="AA2011" i="16"/>
  <c r="AA3066" i="16"/>
  <c r="AA250" i="16"/>
  <c r="AA3349" i="16"/>
  <c r="AA2938" i="16"/>
  <c r="AA962" i="16"/>
  <c r="AA1905" i="16"/>
  <c r="AA3155" i="16"/>
  <c r="AA631" i="16"/>
  <c r="AA408" i="16"/>
  <c r="AA30" i="16"/>
  <c r="AA1307" i="16"/>
  <c r="AA794" i="16"/>
  <c r="AA1843" i="16"/>
  <c r="AA2880" i="16"/>
  <c r="AA1762" i="16"/>
  <c r="AA3478" i="16"/>
  <c r="AA2153" i="16"/>
  <c r="AA2816" i="16"/>
  <c r="AA3385" i="16"/>
  <c r="AA2864" i="16"/>
  <c r="AA3142" i="16"/>
  <c r="AA1995" i="16"/>
  <c r="AA2740" i="16"/>
  <c r="AA770" i="16"/>
  <c r="AA3018" i="16"/>
  <c r="AA1080" i="16"/>
  <c r="AA223" i="16"/>
  <c r="AA1371" i="16"/>
  <c r="AA1099" i="16"/>
  <c r="AA798" i="16"/>
  <c r="AA2277" i="16"/>
  <c r="AA3428" i="16"/>
  <c r="AA1030" i="16"/>
  <c r="AA363" i="16"/>
  <c r="AA1429" i="16"/>
  <c r="AA3353" i="16"/>
  <c r="AA781" i="16"/>
  <c r="AA2577" i="16"/>
  <c r="AA2825" i="16"/>
  <c r="AA2970" i="16"/>
  <c r="AA2119" i="16"/>
  <c r="AA342" i="16"/>
  <c r="AA1796" i="16"/>
  <c r="AA708" i="16"/>
  <c r="AA2916" i="16"/>
  <c r="AA1077" i="16"/>
  <c r="AA1378" i="16"/>
  <c r="AA374" i="16"/>
  <c r="AA1387" i="16"/>
  <c r="AA3132" i="16"/>
  <c r="AA1567" i="16"/>
  <c r="AA490" i="16"/>
  <c r="AA3005" i="16"/>
  <c r="AA925" i="16"/>
  <c r="AA961" i="16"/>
  <c r="AA1117" i="16"/>
  <c r="AA523" i="16"/>
  <c r="AA299" i="16"/>
  <c r="AA448" i="16"/>
  <c r="AA487" i="16"/>
  <c r="AA1764" i="16"/>
  <c r="AA3031" i="16"/>
  <c r="AA2799" i="16"/>
  <c r="AA2370" i="16"/>
  <c r="AA1012" i="16"/>
  <c r="AA3207" i="16"/>
  <c r="AA3105" i="16"/>
  <c r="AA2715" i="16"/>
  <c r="AA2474" i="16"/>
  <c r="AA2076" i="16"/>
  <c r="AA2961" i="16"/>
  <c r="AA2267" i="16"/>
  <c r="AA608" i="16"/>
  <c r="AA2073" i="16"/>
  <c r="AA1241" i="16"/>
  <c r="AA123" i="16"/>
  <c r="AA2597" i="16"/>
  <c r="AA2063" i="16"/>
  <c r="AA950" i="16"/>
  <c r="AA2717" i="16"/>
  <c r="AA601" i="16"/>
  <c r="AA186" i="16"/>
  <c r="AA3112" i="16"/>
  <c r="AA3173" i="16"/>
  <c r="AA1277" i="16"/>
  <c r="AA1201" i="16"/>
  <c r="AA1574" i="16"/>
  <c r="AA2316" i="16"/>
  <c r="AA1092" i="16"/>
  <c r="AA2623" i="16"/>
  <c r="AA1376" i="16"/>
  <c r="AA2012" i="16"/>
  <c r="AA417" i="16"/>
  <c r="AA480" i="16"/>
  <c r="AA1992" i="16"/>
  <c r="AA2104" i="16"/>
  <c r="AA1431" i="16"/>
  <c r="AA206" i="16"/>
  <c r="AA2450" i="16"/>
  <c r="AA1282" i="16"/>
  <c r="AA3516" i="16"/>
  <c r="AA1412" i="16"/>
  <c r="AA2716" i="16"/>
  <c r="AA2587" i="16"/>
  <c r="AA1462" i="16"/>
  <c r="AA3007" i="16"/>
  <c r="AA3276" i="16"/>
  <c r="AA1770" i="16"/>
  <c r="AA600" i="16"/>
  <c r="AA2152" i="16"/>
  <c r="AA3398" i="16"/>
  <c r="AA1894" i="16"/>
  <c r="AA2867" i="16"/>
  <c r="AA732" i="16"/>
  <c r="AA2563" i="16"/>
  <c r="AA3464" i="16"/>
  <c r="AA2424" i="16"/>
  <c r="AA2857" i="16"/>
  <c r="AA73" i="16"/>
  <c r="AA2373" i="16"/>
  <c r="AA2064" i="16"/>
  <c r="AA3209" i="16"/>
  <c r="AA2260" i="16"/>
  <c r="AA568" i="16"/>
  <c r="AA211" i="16"/>
  <c r="AA646" i="16"/>
  <c r="AA60" i="16"/>
  <c r="AA284" i="16"/>
  <c r="AA2392" i="16"/>
  <c r="AA1523" i="16"/>
  <c r="AA2490" i="16"/>
  <c r="AA2231" i="16"/>
  <c r="AA469" i="16"/>
  <c r="AA2517" i="16"/>
  <c r="AA2680" i="16"/>
  <c r="AA1068" i="16"/>
  <c r="AA907" i="16"/>
  <c r="AA2190" i="16"/>
  <c r="AA2550" i="16"/>
  <c r="AA3309" i="16"/>
  <c r="AA2120" i="16"/>
  <c r="AA1549" i="16"/>
  <c r="AA2077" i="16"/>
  <c r="AA1407" i="16"/>
  <c r="AA3189" i="16"/>
  <c r="AA990" i="16"/>
  <c r="AA2861" i="16"/>
  <c r="AA1775" i="16"/>
  <c r="AA786" i="16"/>
  <c r="AA2811" i="16"/>
  <c r="AA1237" i="16"/>
  <c r="AA2460" i="16"/>
  <c r="AA1430" i="16"/>
  <c r="AA2174" i="16"/>
  <c r="AA1224" i="16"/>
  <c r="AA2017" i="16"/>
  <c r="AA654" i="16"/>
  <c r="AA62" i="16"/>
  <c r="AA1665" i="16"/>
  <c r="AA2155" i="16"/>
  <c r="AA2412" i="16"/>
  <c r="AA3203" i="16"/>
  <c r="AA3541" i="16"/>
  <c r="AA2683" i="16"/>
  <c r="AA722" i="16"/>
  <c r="AA3000" i="16"/>
  <c r="AA492" i="16"/>
  <c r="AA510" i="16"/>
  <c r="AA1584" i="16"/>
  <c r="AA1085" i="16"/>
  <c r="AA45" i="16"/>
  <c r="AA514" i="16"/>
  <c r="AA3004" i="16"/>
  <c r="AA736" i="16"/>
  <c r="AA2590" i="16"/>
  <c r="AA401" i="16"/>
  <c r="AA2928" i="16"/>
  <c r="AA917" i="16"/>
  <c r="AA323" i="16"/>
  <c r="AA726" i="16"/>
  <c r="AA3481" i="16"/>
  <c r="AA1244" i="16"/>
  <c r="AA2826" i="16"/>
  <c r="AA259" i="16"/>
  <c r="AA2912" i="16"/>
  <c r="AA2438" i="16"/>
  <c r="AA1955" i="16"/>
  <c r="AA391" i="16"/>
  <c r="AA2837" i="16"/>
  <c r="AA1074" i="16"/>
  <c r="AA1791" i="16"/>
  <c r="AA619" i="16"/>
  <c r="AA1443" i="16"/>
  <c r="AA1833" i="16"/>
  <c r="AA653" i="16"/>
  <c r="AA1629" i="16"/>
  <c r="AA156" i="16"/>
  <c r="AA1043" i="16"/>
  <c r="AA1836" i="16"/>
  <c r="AA1416" i="16"/>
  <c r="AA1594" i="16"/>
  <c r="AA2528" i="16"/>
  <c r="AA1086" i="16"/>
  <c r="AA1651" i="16"/>
  <c r="AA1187" i="16"/>
  <c r="AA1757" i="16"/>
  <c r="AA1060" i="16"/>
  <c r="AA1668" i="16"/>
  <c r="AA1263" i="16"/>
  <c r="AA2395" i="16"/>
  <c r="AA911" i="16"/>
  <c r="AA2596" i="16"/>
  <c r="AA2605" i="16"/>
  <c r="AA683" i="16"/>
  <c r="AA1973" i="16"/>
  <c r="AA1537" i="16"/>
  <c r="AA1121" i="16"/>
  <c r="AA1202" i="16"/>
  <c r="AA200" i="16"/>
  <c r="AA2874" i="16"/>
  <c r="AA233" i="16"/>
  <c r="AA3308" i="16"/>
  <c r="AA2410" i="16"/>
  <c r="AA549" i="16"/>
  <c r="AA748" i="16"/>
  <c r="AA468" i="16"/>
  <c r="AA1712" i="16"/>
  <c r="AA2020" i="16"/>
  <c r="AA2823" i="16"/>
  <c r="AA415" i="16"/>
  <c r="AA2122" i="16"/>
  <c r="AA519" i="16"/>
  <c r="AA1346" i="16"/>
  <c r="AA1361" i="16"/>
  <c r="AA1003" i="16"/>
  <c r="AA880" i="16"/>
  <c r="AA700" i="16"/>
  <c r="AA1436" i="16"/>
  <c r="AA3042" i="16"/>
  <c r="AA1396" i="16"/>
  <c r="AA2471" i="16"/>
  <c r="AA1219" i="16"/>
  <c r="AA560" i="16"/>
  <c r="AA1769" i="16"/>
  <c r="AA2290" i="16"/>
  <c r="AA1906" i="16"/>
  <c r="AA3518" i="16"/>
  <c r="AA116" i="16"/>
  <c r="AA3444" i="16"/>
  <c r="AA1459" i="16"/>
  <c r="AA2750" i="16"/>
  <c r="AA698" i="16"/>
  <c r="AA872" i="16"/>
  <c r="AA3376" i="16"/>
  <c r="AA841" i="16"/>
  <c r="AA716" i="16"/>
  <c r="AA938" i="16"/>
  <c r="AA2156" i="16"/>
  <c r="AA2250" i="16"/>
  <c r="AA2197" i="16"/>
  <c r="AA1623" i="16"/>
  <c r="AA198" i="16"/>
  <c r="AA2887" i="16"/>
  <c r="AA1577" i="16"/>
  <c r="AA3326" i="16"/>
  <c r="AA2414" i="16"/>
  <c r="AA130" i="16"/>
  <c r="AA953" i="16"/>
  <c r="AA521" i="16"/>
  <c r="AA370" i="16"/>
  <c r="AA3497" i="16"/>
  <c r="AA2130" i="16"/>
  <c r="AA1365" i="16"/>
  <c r="AA96" i="16"/>
  <c r="AA127" i="16"/>
  <c r="AA1823" i="16"/>
  <c r="AA2977" i="16"/>
  <c r="AA755" i="16"/>
  <c r="AA3534" i="16"/>
  <c r="AA921" i="16"/>
  <c r="AA174" i="16"/>
  <c r="AA1938" i="16"/>
  <c r="AA3330" i="16"/>
  <c r="AA998" i="16"/>
  <c r="AA615" i="16"/>
  <c r="AA878" i="16"/>
  <c r="AA3088" i="16"/>
  <c r="AA1481" i="16"/>
  <c r="AA2465" i="16"/>
  <c r="AA682" i="16"/>
  <c r="AA1453" i="16"/>
  <c r="AA1656" i="16"/>
  <c r="AA771" i="16"/>
  <c r="AA592" i="16"/>
  <c r="AA2831" i="16"/>
  <c r="AA915" i="16"/>
  <c r="AA644" i="16"/>
  <c r="AA2860" i="16"/>
  <c r="AA345" i="16"/>
  <c r="AA3049" i="16"/>
  <c r="AA1148" i="16"/>
  <c r="AA3252" i="16"/>
  <c r="AA314" i="16"/>
  <c r="AA423" i="16"/>
  <c r="AA1423" i="16"/>
  <c r="AA287" i="16"/>
  <c r="AA2578" i="16"/>
  <c r="AA1686" i="16"/>
  <c r="AA1409" i="16"/>
  <c r="AA729" i="16"/>
  <c r="AA3102" i="16"/>
  <c r="AA44" i="16"/>
  <c r="AA1064" i="16"/>
  <c r="AA3469" i="16"/>
  <c r="AA859" i="16"/>
  <c r="AA2523" i="16"/>
  <c r="AA1575" i="16"/>
  <c r="AA413" i="16"/>
  <c r="AA2217" i="16"/>
  <c r="AA1367" i="16"/>
  <c r="AA570" i="16"/>
  <c r="AA1463" i="16"/>
  <c r="AA3165" i="16"/>
  <c r="AA1583" i="16"/>
  <c r="AA1309" i="16"/>
  <c r="AA3195" i="16"/>
  <c r="AA834" i="16"/>
  <c r="AA835" i="16"/>
  <c r="AA420" i="16"/>
  <c r="AA131" i="16"/>
  <c r="AA2749" i="16"/>
  <c r="AA614" i="16"/>
  <c r="AA117" i="16"/>
  <c r="AA2763" i="16"/>
  <c r="AA3118" i="16"/>
  <c r="AA901" i="16"/>
  <c r="AA1627" i="16"/>
  <c r="AA2136" i="16"/>
  <c r="AA2668" i="16"/>
  <c r="AA2175" i="16"/>
  <c r="AA1722" i="16"/>
  <c r="AA679" i="16"/>
  <c r="AA2589" i="16"/>
  <c r="AA2283" i="16"/>
  <c r="AA1272" i="16"/>
  <c r="AA1926" i="16"/>
  <c r="AA2093" i="16"/>
  <c r="AA1104" i="16"/>
  <c r="AA1560" i="16"/>
  <c r="AA3431" i="16"/>
  <c r="AA3453" i="16"/>
  <c r="AA2405" i="16"/>
  <c r="AA388" i="16"/>
  <c r="AA3044" i="16"/>
  <c r="AA3480" i="16"/>
  <c r="AA2372" i="16"/>
  <c r="AA1550" i="16"/>
  <c r="AA136" i="16"/>
  <c r="AA2469" i="16"/>
  <c r="AA1426" i="16"/>
  <c r="AA3240" i="16"/>
  <c r="AA2453" i="16"/>
  <c r="AA141" i="16"/>
  <c r="AA919" i="16"/>
  <c r="AA1142" i="16"/>
  <c r="AA1952" i="16"/>
  <c r="AA2568" i="16"/>
  <c r="AA1953" i="16"/>
  <c r="AA1391" i="16"/>
  <c r="AA3135" i="16"/>
  <c r="AA219" i="16"/>
  <c r="AA1607" i="16"/>
  <c r="AA2672" i="16"/>
  <c r="AA1941" i="16"/>
  <c r="AA555" i="16"/>
  <c r="AA957" i="16"/>
  <c r="AA2335" i="16"/>
  <c r="AA1774" i="16"/>
  <c r="AA2956" i="16"/>
  <c r="AA645" i="16"/>
  <c r="AA1155" i="16"/>
  <c r="AA1105" i="16"/>
  <c r="AA1637" i="16"/>
  <c r="AA2034" i="16"/>
  <c r="AA2202" i="16"/>
  <c r="AA2098" i="16"/>
  <c r="AA2324" i="16"/>
  <c r="AA1896" i="16"/>
  <c r="AA2798" i="16"/>
  <c r="AA2950" i="16"/>
  <c r="AA2873" i="16"/>
  <c r="AA1442" i="16"/>
  <c r="AA331" i="16"/>
  <c r="AA578" i="16"/>
  <c r="AA1195" i="16"/>
  <c r="AA1782" i="16"/>
  <c r="AA3448" i="16"/>
  <c r="AA1156" i="16"/>
  <c r="AA2477" i="16"/>
  <c r="AA1999" i="16"/>
  <c r="AA2818" i="16"/>
  <c r="AA47" i="16"/>
  <c r="AA538" i="16"/>
  <c r="AA1765" i="16"/>
  <c r="AA923" i="16"/>
  <c r="AA356" i="16"/>
  <c r="AA436" i="16"/>
  <c r="AA553" i="16"/>
  <c r="AA486" i="16"/>
  <c r="AA262" i="16"/>
  <c r="AA1936" i="16"/>
  <c r="AA2883" i="16"/>
  <c r="AA2059" i="16"/>
  <c r="AA1621" i="16"/>
  <c r="AA1013" i="16"/>
  <c r="AA2602" i="16"/>
  <c r="AA476" i="16"/>
  <c r="AA1269" i="16"/>
  <c r="AA994" i="16"/>
  <c r="AA3390" i="16"/>
  <c r="AA1561" i="16"/>
  <c r="AA2339" i="16"/>
  <c r="AA2636" i="16"/>
  <c r="AA3247" i="16"/>
  <c r="AA2764" i="16"/>
  <c r="AA2447" i="16"/>
  <c r="AA2279" i="16"/>
  <c r="AA3169" i="16"/>
  <c r="AA3493" i="16"/>
  <c r="AA1922" i="16"/>
  <c r="AA1950" i="16"/>
  <c r="AA1491" i="16"/>
  <c r="AA1164" i="16"/>
  <c r="AA2071" i="16"/>
  <c r="AA1802" i="16"/>
  <c r="AA274" i="16"/>
  <c r="AA936" i="16"/>
  <c r="AA2426" i="16"/>
  <c r="AA3508" i="16"/>
  <c r="AA56" i="16"/>
  <c r="AA252" i="16"/>
  <c r="AA840" i="16"/>
  <c r="AA1070" i="16"/>
  <c r="AA201" i="16"/>
  <c r="AA2841" i="16"/>
  <c r="AA946" i="16"/>
  <c r="AA2234" i="16"/>
  <c r="AA1483" i="16"/>
  <c r="AA1724" i="16"/>
  <c r="AA642" i="16"/>
  <c r="AA3113" i="16"/>
  <c r="AA657" i="16"/>
  <c r="AA1341" i="16"/>
  <c r="AA1280" i="16"/>
  <c r="AA2554" i="16"/>
  <c r="AA3011" i="16"/>
  <c r="AA3320" i="16"/>
  <c r="AA1885" i="16"/>
  <c r="AA3317" i="16"/>
  <c r="AA102" i="16"/>
  <c r="AA3551" i="16"/>
  <c r="AA2532" i="16"/>
  <c r="AA167" i="16"/>
  <c r="AA1516" i="16"/>
  <c r="AA1447" i="16"/>
  <c r="AA2790" i="16"/>
  <c r="AA221" i="16"/>
  <c r="AA2810" i="16"/>
  <c r="AA2689" i="16"/>
  <c r="AA1297" i="16"/>
  <c r="AA1681" i="16"/>
  <c r="AA3179" i="16"/>
  <c r="AA1440" i="16"/>
  <c r="AA1670" i="16"/>
  <c r="AA1745" i="16"/>
  <c r="AA2708" i="16"/>
  <c r="AA3125" i="16"/>
  <c r="AA3131" i="16"/>
  <c r="AA3363" i="16"/>
  <c r="AA602" i="16"/>
  <c r="AA1591" i="16"/>
  <c r="AA424" i="16"/>
  <c r="AA2941" i="16"/>
  <c r="AA3365" i="16"/>
  <c r="AA1842" i="16"/>
  <c r="AA1002" i="16"/>
  <c r="AA2475" i="16"/>
  <c r="AA1672" i="16"/>
  <c r="AA2027" i="16"/>
  <c r="AA3442" i="16"/>
  <c r="AA1091" i="16"/>
  <c r="AA2223" i="16"/>
  <c r="AA2671" i="16"/>
  <c r="AA2464" i="16"/>
  <c r="AA3354" i="16"/>
  <c r="AA1679" i="16"/>
  <c r="AA647" i="16"/>
  <c r="AA2182" i="16"/>
  <c r="AA1343" i="16"/>
  <c r="AA1503" i="16"/>
  <c r="AA2360" i="16"/>
  <c r="AA1850" i="16"/>
  <c r="AA537" i="16"/>
  <c r="AA36" i="16"/>
  <c r="AA1805" i="16"/>
  <c r="AA1024" i="16"/>
  <c r="AA3259" i="16"/>
  <c r="AA1063" i="16"/>
  <c r="AA1994" i="16"/>
  <c r="AA1434" i="16"/>
  <c r="AA995" i="16"/>
  <c r="AA1206" i="16"/>
  <c r="AA397" i="16"/>
  <c r="AA1350" i="16"/>
  <c r="AA2963" i="16"/>
  <c r="AA157" i="16"/>
  <c r="AA217" i="16"/>
  <c r="AA1595" i="16"/>
  <c r="AA1427" i="16"/>
  <c r="AA2500" i="16"/>
  <c r="AA1680" i="16"/>
  <c r="AA2991" i="16"/>
  <c r="AA1485" i="16"/>
  <c r="AA577" i="16"/>
  <c r="AA1871" i="16"/>
  <c r="AA1743" i="16"/>
  <c r="AA2470" i="16"/>
  <c r="AA2058" i="16"/>
  <c r="AA1667" i="16"/>
  <c r="AA815" i="16"/>
  <c r="AA1648" i="16"/>
  <c r="AA2218" i="16"/>
  <c r="AA400" i="16"/>
  <c r="AA2983" i="16"/>
  <c r="AA261" i="16"/>
  <c r="AA2792" i="16"/>
  <c r="AA1228" i="16"/>
  <c r="AA360" i="16"/>
  <c r="AA582" i="16"/>
  <c r="AA3175" i="16"/>
  <c r="AA2353" i="16"/>
  <c r="AA3321" i="16"/>
  <c r="AA297" i="16"/>
  <c r="AA425" i="16"/>
  <c r="AA3549" i="16"/>
  <c r="AA2584" i="16"/>
  <c r="AA2676" i="16"/>
  <c r="AA2423" i="16"/>
  <c r="AA1492" i="16"/>
  <c r="AA551" i="16"/>
  <c r="AA1408" i="16"/>
  <c r="AA1639" i="16"/>
  <c r="AA1573" i="16"/>
  <c r="AA1934" i="16"/>
  <c r="AA1809" i="16"/>
  <c r="AA3193" i="16"/>
  <c r="AA1869" i="16"/>
  <c r="AA1062" i="16"/>
  <c r="AA1026" i="16"/>
  <c r="AA641" i="16"/>
  <c r="AA1079" i="16"/>
  <c r="AA2969" i="16"/>
  <c r="AA531" i="16"/>
  <c r="AA2535" i="16"/>
  <c r="AA98" i="16"/>
  <c r="AA1711" i="16"/>
  <c r="AA1075" i="16"/>
  <c r="AA389" i="16"/>
  <c r="AA1285" i="16"/>
  <c r="AA2199" i="16"/>
  <c r="AA3078" i="16"/>
  <c r="AA2696" i="16"/>
  <c r="AA1708" i="16"/>
  <c r="AA2239" i="16"/>
  <c r="AA494" i="16"/>
  <c r="AA566" i="16"/>
  <c r="AA2408" i="16"/>
  <c r="AA466" i="16"/>
  <c r="AA304" i="16"/>
  <c r="AA540" i="16"/>
  <c r="AA534" i="16"/>
  <c r="AA1935" i="16"/>
  <c r="AA2666" i="16"/>
  <c r="AA2398" i="16"/>
  <c r="AA780" i="16"/>
  <c r="AA1827" i="16"/>
  <c r="AA2786" i="16"/>
  <c r="AA651" i="16"/>
  <c r="AA3510" i="16"/>
  <c r="AA1886" i="16"/>
  <c r="AA2722" i="16"/>
  <c r="AA54" i="16"/>
  <c r="AA797" i="16"/>
  <c r="AA1098" i="16"/>
  <c r="AA195" i="16"/>
  <c r="AA1546" i="16"/>
  <c r="AA1087" i="16"/>
  <c r="AA2162" i="16"/>
  <c r="AA1113" i="16"/>
  <c r="AA886" i="16"/>
  <c r="AA516" i="16"/>
  <c r="AA1428" i="16"/>
  <c r="AA1393" i="16"/>
  <c r="AA1504" i="16"/>
  <c r="AA176" i="16"/>
  <c r="AA2766" i="16"/>
  <c r="AA3403" i="16"/>
  <c r="AA3282" i="16"/>
  <c r="AA1608" i="16"/>
  <c r="AA145" i="16"/>
  <c r="AA91" i="16"/>
  <c r="AA930" i="16"/>
  <c r="AA3208" i="16"/>
  <c r="AA1209" i="16"/>
  <c r="AA2269" i="16"/>
  <c r="AA1083" i="16"/>
  <c r="AA3268" i="16"/>
  <c r="AA1279" i="16"/>
  <c r="AA2699" i="16"/>
  <c r="AA1793" i="16"/>
  <c r="AA2828" i="16"/>
  <c r="AA2744" i="16"/>
  <c r="AA416" i="16"/>
  <c r="AA1402" i="16"/>
  <c r="AA3065" i="16"/>
  <c r="AA2004" i="16"/>
  <c r="AA1334" i="16"/>
  <c r="AA2784" i="16"/>
  <c r="AA1294" i="16"/>
  <c r="AA471" i="16"/>
  <c r="AA2657" i="16"/>
  <c r="AA2342" i="16"/>
  <c r="AA1638" i="16"/>
  <c r="AA1498" i="16"/>
  <c r="AA2010" i="16"/>
  <c r="AA1374" i="16"/>
  <c r="AA2409" i="16"/>
  <c r="AA104" i="16"/>
  <c r="AA260" i="16"/>
  <c r="AA2527" i="16"/>
  <c r="AA1565" i="16"/>
  <c r="AA2771" i="16"/>
  <c r="AA956" i="16"/>
  <c r="AA2796" i="16"/>
  <c r="AA1587" i="16"/>
  <c r="AA2674" i="16"/>
  <c r="AA1128" i="16"/>
  <c r="AA2087" i="16"/>
  <c r="AA2648" i="16"/>
  <c r="AA41" i="16"/>
  <c r="AA3025" i="16"/>
  <c r="AA3222" i="16"/>
  <c r="AA3395" i="16"/>
  <c r="AA785" i="16"/>
  <c r="AA2016" i="16"/>
  <c r="AA690" i="16"/>
  <c r="AA775" i="16"/>
  <c r="AA715" i="16"/>
  <c r="AA220" i="16"/>
  <c r="AA2503" i="16"/>
  <c r="AA691" i="16"/>
  <c r="AA3370" i="16"/>
  <c r="AA86" i="16"/>
  <c r="AA2443" i="16"/>
  <c r="AA2262" i="16"/>
  <c r="AA3274" i="16"/>
  <c r="AA3323" i="16"/>
  <c r="AA435" i="16"/>
  <c r="AA1997" i="16"/>
  <c r="AA309" i="16"/>
  <c r="AA1748" i="16"/>
  <c r="AA1632" i="16"/>
  <c r="AA3434" i="16"/>
  <c r="AA666" i="16"/>
  <c r="AA1458" i="16"/>
  <c r="AA2168" i="16"/>
  <c r="AA2242" i="16"/>
  <c r="AA1170" i="16"/>
  <c r="AA1183" i="16"/>
  <c r="AA165" i="16"/>
  <c r="AA846" i="16"/>
  <c r="AA2980" i="16"/>
  <c r="AA2571" i="16"/>
  <c r="AA2862" i="16"/>
  <c r="AA2562" i="16"/>
  <c r="AA1942" i="16"/>
  <c r="AA758" i="16"/>
  <c r="AA2138" i="16"/>
  <c r="AA2728" i="16"/>
  <c r="AA2472" i="16"/>
  <c r="AA279" i="16"/>
  <c r="AA1250" i="16"/>
  <c r="AA3366" i="16"/>
  <c r="AA2934" i="16"/>
  <c r="AA2103" i="16"/>
  <c r="AA3291" i="16"/>
  <c r="AA3502" i="16"/>
  <c r="AA3152" i="16"/>
  <c r="AA1777" i="16"/>
  <c r="AA2204" i="16"/>
  <c r="AA3296" i="16"/>
  <c r="AA2257" i="16"/>
  <c r="AA2347" i="16"/>
  <c r="AA1529" i="16"/>
  <c r="AA343" i="16"/>
  <c r="AA965" i="16"/>
  <c r="AA1180" i="16"/>
  <c r="AA1752" i="16"/>
  <c r="AA2847" i="16"/>
  <c r="AA2039" i="16"/>
  <c r="AA712" i="16"/>
  <c r="AA550" i="16"/>
  <c r="AA3033" i="16"/>
  <c r="AA321" i="16"/>
  <c r="AA769" i="16"/>
  <c r="AA246" i="16"/>
  <c r="AA1123" i="16"/>
  <c r="AA3117" i="16"/>
  <c r="AA1799" i="16"/>
  <c r="AA2546" i="16"/>
  <c r="AA2558" i="16"/>
  <c r="AA532" i="16"/>
  <c r="AA580" i="16"/>
  <c r="AA46" i="16"/>
  <c r="AA2112" i="16"/>
  <c r="AA2337" i="16"/>
  <c r="AA103" i="16"/>
  <c r="AA2203" i="16"/>
  <c r="AA839" i="16"/>
  <c r="AA1284" i="16"/>
  <c r="AA2659" i="16"/>
  <c r="AA1130" i="16"/>
  <c r="AA3547" i="16"/>
  <c r="AA418" i="16"/>
  <c r="AA2800" i="16"/>
  <c r="AA3447" i="16"/>
  <c r="AA3171" i="16"/>
  <c r="AA2365" i="16"/>
  <c r="AA2209" i="16"/>
  <c r="AA3126" i="16"/>
  <c r="AA935" i="16"/>
  <c r="AA1557" i="16"/>
  <c r="AA533" i="16"/>
  <c r="AA228" i="16"/>
  <c r="AA1671" i="16"/>
  <c r="AA66" i="16"/>
  <c r="AA3384" i="16"/>
  <c r="AA3278" i="16"/>
  <c r="AA1585" i="16"/>
  <c r="AA1787" i="16"/>
  <c r="AA2687" i="16"/>
  <c r="AA2559" i="16"/>
  <c r="AA1336" i="16"/>
  <c r="AA1956" i="16"/>
  <c r="AA639" i="16"/>
  <c r="AA1840" i="16"/>
  <c r="AA3055" i="16"/>
  <c r="AA934" i="16"/>
  <c r="AA1347" i="16"/>
  <c r="AA2044" i="16"/>
  <c r="AA3087" i="16"/>
  <c r="AA1736" i="16"/>
  <c r="AA3382" i="16"/>
  <c r="AA1622" i="16"/>
  <c r="AA3253" i="16"/>
  <c r="AA1930" i="16"/>
  <c r="AA2611" i="16"/>
  <c r="AA1697" i="16"/>
  <c r="AA227" i="16"/>
  <c r="AA2982" i="16"/>
  <c r="AA828" i="16"/>
  <c r="AA1882" i="16"/>
  <c r="AA1816" i="16"/>
  <c r="AA2593" i="16"/>
  <c r="AA3446" i="16"/>
  <c r="AA193" i="16"/>
  <c r="AA1500" i="16"/>
  <c r="AA696" i="16"/>
  <c r="AA2748" i="16"/>
  <c r="AA2539" i="16"/>
  <c r="AA2681" i="16"/>
  <c r="AA3489" i="16"/>
  <c r="AA2278" i="16"/>
  <c r="AA3381" i="16"/>
  <c r="AA1025" i="16"/>
  <c r="AA3267" i="16"/>
  <c r="AA1986" i="16"/>
  <c r="AA2582" i="16"/>
  <c r="AA2812" i="16"/>
  <c r="AA1032" i="16"/>
  <c r="AA461" i="16"/>
  <c r="AA2972" i="16"/>
  <c r="AA3387" i="16"/>
  <c r="AA552" i="16"/>
  <c r="AA335" i="16"/>
  <c r="AA752" i="16"/>
  <c r="AA713" i="16"/>
  <c r="AA1824" i="16"/>
  <c r="AA2549" i="16"/>
  <c r="AA2051" i="16"/>
  <c r="AA677" i="16"/>
  <c r="AA620" i="16"/>
  <c r="AA2140" i="16"/>
  <c r="AA2137" i="16"/>
  <c r="AA632" i="16"/>
  <c r="AA2224" i="16"/>
  <c r="AA842" i="16"/>
  <c r="AA1400" i="16"/>
  <c r="AA3407" i="16"/>
  <c r="AA3211" i="16"/>
  <c r="AA520" i="16"/>
  <c r="AA442" i="16"/>
  <c r="AA2371" i="16"/>
  <c r="AA581" i="16"/>
  <c r="AA3100" i="16"/>
  <c r="AA2807" i="16"/>
  <c r="AA2025" i="16"/>
  <c r="AA2417" i="16"/>
  <c r="AA460" i="16"/>
  <c r="AA967" i="16"/>
  <c r="AA1088" i="16"/>
  <c r="AA2625" i="16"/>
  <c r="AA3528" i="16"/>
  <c r="AA1132" i="16"/>
  <c r="AA1027" i="16"/>
  <c r="AA991" i="16"/>
  <c r="AA3552" i="16"/>
  <c r="AA2573" i="16"/>
  <c r="AA2647" i="16"/>
  <c r="AA2586" i="16"/>
  <c r="AA458" i="16"/>
  <c r="AA2866" i="16"/>
  <c r="AA1659" i="16"/>
  <c r="AA2451" i="16"/>
  <c r="AA2126" i="16"/>
  <c r="AA512" i="16"/>
  <c r="AA3122" i="16"/>
  <c r="AA1151" i="16"/>
  <c r="AA3483" i="16"/>
  <c r="AA721" i="16"/>
  <c r="AA659" i="16"/>
  <c r="AA3241" i="16"/>
  <c r="AA892" i="16"/>
  <c r="AA511" i="16"/>
  <c r="AA2801" i="16"/>
  <c r="AA3372" i="16"/>
  <c r="AA276" i="16"/>
  <c r="AA1754" i="16"/>
  <c r="AA1049" i="16"/>
  <c r="AA865" i="16"/>
  <c r="AA2364" i="16"/>
  <c r="AA3410" i="16"/>
  <c r="AA1803" i="16"/>
  <c r="AA3198" i="16"/>
  <c r="AA1327" i="16"/>
  <c r="AA1410" i="16"/>
  <c r="AA1990" i="16"/>
  <c r="AA2813" i="16"/>
  <c r="AA320" i="16"/>
  <c r="AA1859" i="16"/>
  <c r="AA112" i="16"/>
  <c r="AA1878" i="16"/>
  <c r="AA3133" i="16"/>
  <c r="AA2227" i="16"/>
  <c r="AA2090" i="16"/>
  <c r="AA2344" i="16"/>
  <c r="AA1721" i="16"/>
  <c r="AA2913" i="16"/>
  <c r="AA2065" i="16"/>
  <c r="AA1147" i="16"/>
  <c r="AA2946" i="16"/>
  <c r="AA351" i="16"/>
  <c r="AA447" i="16"/>
  <c r="AA1028" i="16"/>
  <c r="AA1395" i="16"/>
  <c r="AA1174" i="16"/>
  <c r="AA2188" i="16"/>
  <c r="AA1472" i="16"/>
  <c r="AA2898" i="16"/>
  <c r="AA2255" i="16"/>
  <c r="AA3359" i="16"/>
  <c r="AA2652" i="16"/>
  <c r="AA1464" i="16"/>
  <c r="AA2565" i="16"/>
  <c r="AA175" i="16"/>
  <c r="AA440" i="16"/>
  <c r="AA2478" i="16"/>
  <c r="AA761" i="16"/>
  <c r="AA271" i="16"/>
  <c r="AA1562" i="16"/>
  <c r="AA2677" i="16"/>
  <c r="AA336" i="16"/>
  <c r="AA257" i="16"/>
  <c r="AA1389" i="16"/>
  <c r="AA2448" i="16"/>
  <c r="AA2467" i="16"/>
  <c r="AA986" i="16"/>
  <c r="AA3260" i="16"/>
  <c r="AA2776" i="16"/>
  <c r="AA2758" i="16"/>
  <c r="AA1513" i="16"/>
  <c r="AA943" i="16"/>
  <c r="AA1731" i="16"/>
  <c r="AA452" i="16"/>
  <c r="AA576" i="16"/>
  <c r="AA2839" i="16"/>
  <c r="AA2850" i="16"/>
  <c r="AA2482" i="16"/>
  <c r="AA2525" i="16"/>
  <c r="AA2968" i="16"/>
  <c r="AA151" i="16"/>
  <c r="AA916" i="16"/>
  <c r="AA1118" i="16"/>
  <c r="AA190" i="16"/>
  <c r="AA34" i="16"/>
  <c r="AA3224" i="16"/>
  <c r="AA1738" i="16"/>
  <c r="AA2551" i="16"/>
  <c r="AA2461" i="16"/>
  <c r="AA1362" i="16"/>
  <c r="AA2346" i="16"/>
  <c r="AA2516" i="16"/>
  <c r="AA1388" i="16"/>
  <c r="AA2131" i="16"/>
  <c r="AA3306" i="16"/>
  <c r="AA1945" i="16"/>
  <c r="AA2116" i="16"/>
  <c r="AA1756" i="16"/>
  <c r="AA290" i="16"/>
  <c r="AA685" i="16"/>
  <c r="AA1776" i="16"/>
  <c r="AA2081" i="16"/>
  <c r="AA2619" i="16"/>
  <c r="AA2057" i="16"/>
  <c r="AA2008" i="16"/>
  <c r="AA2718" i="16"/>
  <c r="AA1943" i="16"/>
  <c r="AA499" i="16"/>
  <c r="AA741" i="16"/>
  <c r="AA2167" i="16"/>
  <c r="AA731" i="16"/>
  <c r="AA2219" i="16"/>
  <c r="AA2710" i="16"/>
  <c r="AA204" i="16"/>
  <c r="AA1714" i="16"/>
  <c r="AA3215" i="16"/>
  <c r="AA2403" i="16"/>
  <c r="AA1445" i="16"/>
  <c r="AA767" i="16"/>
  <c r="AA2601" i="16"/>
  <c r="AA2274" i="16"/>
  <c r="AA2037" i="16"/>
  <c r="AA1267" i="16"/>
  <c r="AA164" i="16"/>
  <c r="AA933" i="16"/>
  <c r="AA1145" i="16"/>
  <c r="AA2600" i="16"/>
  <c r="AA1907" i="16"/>
  <c r="AA1924" i="16"/>
  <c r="AA2161" i="16"/>
  <c r="AA2834" i="16"/>
  <c r="AA1605" i="16"/>
  <c r="AA3402" i="16"/>
  <c r="AA1977" i="16"/>
  <c r="AA2213" i="16"/>
  <c r="AA3298" i="16"/>
  <c r="AA1173" i="16"/>
  <c r="AA3328" i="16"/>
  <c r="AA2229" i="16"/>
  <c r="AA1634" i="16"/>
  <c r="AA3519" i="16"/>
  <c r="AA793" i="16"/>
  <c r="AA2845" i="16"/>
  <c r="AA405" i="16"/>
  <c r="AA2985" i="16"/>
  <c r="AA1834" i="16"/>
  <c r="AA1264" i="16"/>
  <c r="AA1213" i="16"/>
  <c r="AA1095" i="16"/>
  <c r="AA1144" i="16"/>
  <c r="AA1795" i="16"/>
  <c r="AA155" i="16"/>
  <c r="AA3393" i="16"/>
  <c r="AA3527" i="16"/>
  <c r="AA951" i="16"/>
  <c r="AA1773" i="16"/>
  <c r="AA528" i="16"/>
  <c r="AA804" i="16"/>
  <c r="AA740" i="16"/>
  <c r="AA2760" i="16"/>
  <c r="AA108" i="16"/>
  <c r="AA3138" i="16"/>
  <c r="AA128" i="16"/>
  <c r="AA3244" i="16"/>
  <c r="AA1716" i="16"/>
  <c r="AA2141" i="16"/>
  <c r="AA2995" i="16"/>
  <c r="AA1366" i="16"/>
  <c r="AA2615" i="16"/>
  <c r="AA465" i="16"/>
  <c r="AA1384" i="16"/>
  <c r="AA457" i="16"/>
  <c r="AA2043" i="16"/>
  <c r="AA3457" i="16"/>
  <c r="AA3406" i="16"/>
  <c r="AA1772" i="16"/>
  <c r="AA2377" i="16"/>
  <c r="AA3134" i="16"/>
  <c r="AA3504" i="16"/>
  <c r="AA1304" i="16"/>
  <c r="AA3505" i="16"/>
  <c r="AA1318" i="16"/>
  <c r="AA941" i="16"/>
  <c r="AA985" i="16"/>
  <c r="AA289" i="16"/>
  <c r="AA1902" i="16"/>
  <c r="AA1337" i="16"/>
  <c r="AA55" i="16"/>
  <c r="AA2356" i="16"/>
  <c r="AA2328" i="16"/>
  <c r="AA3383" i="16"/>
  <c r="AA864" i="16"/>
  <c r="AA3544" i="16"/>
  <c r="AA790" i="16"/>
  <c r="AA1160" i="16"/>
  <c r="AA1509" i="16"/>
  <c r="AA1042" i="16"/>
  <c r="AA1899" i="16"/>
  <c r="AA1538" i="16"/>
  <c r="AA3506" i="16"/>
  <c r="AA3364" i="16"/>
  <c r="AA3411" i="16"/>
  <c r="AA2315" i="16"/>
  <c r="AA526" i="16"/>
  <c r="AA823" i="16"/>
  <c r="AA3145" i="16"/>
  <c r="AA1847" i="16"/>
  <c r="AA981" i="16"/>
  <c r="AA3327" i="16"/>
  <c r="AA819" i="16"/>
  <c r="AA2084" i="16"/>
  <c r="AA2235" i="16"/>
  <c r="AA1001" i="16"/>
  <c r="AA3092" i="16"/>
  <c r="AA367" i="16"/>
  <c r="AA2547" i="16"/>
  <c r="AA2170" i="16"/>
  <c r="AA2785" i="16"/>
  <c r="AA2047" i="16"/>
  <c r="AA810" i="16"/>
  <c r="AA224" i="16"/>
  <c r="AA3235" i="16"/>
  <c r="AA1141" i="16"/>
  <c r="AA1572" i="16"/>
  <c r="AA2986" i="16"/>
  <c r="AA2691" i="16"/>
  <c r="AA1493" i="16"/>
  <c r="AA2994" i="16"/>
  <c r="AA1140" i="16"/>
  <c r="AA2512" i="16"/>
  <c r="AA245" i="16"/>
  <c r="AA705" i="16"/>
  <c r="AA1856" i="16"/>
  <c r="AA2952" i="16"/>
  <c r="AA1705" i="16"/>
  <c r="AA3223" i="16"/>
  <c r="AA2789" i="16"/>
  <c r="AA1555" i="16"/>
  <c r="AA437" i="16"/>
  <c r="AA734" i="16"/>
  <c r="AA2101" i="16"/>
  <c r="AA1863" i="16"/>
  <c r="AA922" i="16"/>
  <c r="AA421" i="16"/>
  <c r="AA2993" i="16"/>
  <c r="AA1291" i="16"/>
  <c r="AA1603" i="16"/>
  <c r="AA759" i="16"/>
  <c r="AA1677" i="16"/>
  <c r="AA2588" i="16"/>
  <c r="AA1360" i="16"/>
  <c r="AA3262" i="16"/>
  <c r="AA2953" i="16"/>
  <c r="AA485" i="16"/>
  <c r="AA361" i="16"/>
  <c r="AA333" i="16"/>
  <c r="AA2383" i="16"/>
  <c r="AA3546" i="16"/>
  <c r="AA2000" i="16"/>
  <c r="AA3319" i="16"/>
  <c r="AA1252" i="16"/>
  <c r="AA1755" i="16"/>
  <c r="AA3040" i="16"/>
  <c r="AA1197" i="16"/>
  <c r="AA3361" i="16"/>
  <c r="AA1974" i="16"/>
  <c r="AA3073" i="16"/>
  <c r="AA579" i="16"/>
  <c r="AA2594" i="16"/>
  <c r="AA2726" i="16"/>
  <c r="AA148" i="16"/>
  <c r="AA515" i="16"/>
  <c r="AA2604" i="16"/>
  <c r="AA3423" i="16"/>
  <c r="AA3461" i="16"/>
  <c r="AA1468" i="16"/>
  <c r="AA751" i="16"/>
  <c r="AA2888" i="16"/>
  <c r="AA3008" i="16"/>
  <c r="AA3543" i="16"/>
  <c r="AA81" i="16"/>
  <c r="AA438" i="16"/>
  <c r="AA169" i="16"/>
  <c r="AA2574" i="16"/>
  <c r="AA2220" i="16"/>
  <c r="AA3450" i="16"/>
  <c r="AA1198" i="16"/>
  <c r="AA2581" i="16"/>
  <c r="AA2333" i="16"/>
  <c r="AA1725" i="16"/>
  <c r="AA723" i="16"/>
  <c r="AA3467" i="16"/>
  <c r="AA2973" i="16"/>
  <c r="AA2900" i="16"/>
  <c r="AA170" i="16"/>
  <c r="AA3545" i="16"/>
  <c r="AA661" i="16"/>
  <c r="AA1306" i="16"/>
  <c r="AA2455" i="16"/>
  <c r="AA3109" i="16"/>
  <c r="AA406" i="16"/>
  <c r="AA1286" i="16"/>
  <c r="AA1641" i="16"/>
  <c r="AA3043" i="16"/>
  <c r="AA3027" i="16"/>
  <c r="AA849" i="16"/>
  <c r="AA396" i="16"/>
  <c r="AA508" i="16"/>
  <c r="AA1794" i="16"/>
  <c r="AA1403" i="16"/>
  <c r="AA2288" i="16"/>
  <c r="AA765" i="16"/>
  <c r="AA706" i="16"/>
  <c r="AA1312" i="16"/>
  <c r="AA412" i="16"/>
  <c r="AA2929" i="16"/>
  <c r="AA229" i="16"/>
  <c r="AA2930" i="16"/>
  <c r="AA2651" i="16"/>
  <c r="AA2552" i="16"/>
  <c r="AA3056" i="16"/>
  <c r="AA903" i="16"/>
  <c r="AA948" i="16"/>
  <c r="AA2024" i="16"/>
  <c r="AA1444" i="16"/>
  <c r="AA1494" i="16"/>
  <c r="AA2151" i="16"/>
  <c r="AA1349" i="16"/>
  <c r="AA2917" i="16"/>
  <c r="AA2783" i="16"/>
  <c r="AA3270" i="16"/>
  <c r="AA1727" i="16"/>
  <c r="AA275" i="16"/>
  <c r="AA1979" i="16"/>
  <c r="AA3430" i="16"/>
  <c r="AA796" i="16"/>
  <c r="AA803" i="16"/>
  <c r="AA1759" i="16"/>
  <c r="AA2507" i="16"/>
  <c r="AA3213" i="16"/>
  <c r="AA1887" i="16"/>
  <c r="AA3041" i="16"/>
  <c r="AA2433" i="16"/>
  <c r="AA665" i="16"/>
  <c r="AA311" i="16"/>
  <c r="AA900" i="16"/>
  <c r="AA1718" i="16"/>
  <c r="AA1948" i="16"/>
  <c r="AA243" i="16"/>
  <c r="AA2310" i="16"/>
  <c r="AA2023" i="16"/>
  <c r="AA473" i="16"/>
  <c r="AA3452" i="16"/>
  <c r="AA241" i="16"/>
  <c r="AA875" i="16"/>
  <c r="AA2368" i="16"/>
  <c r="AA1479" i="16"/>
  <c r="AA2881" i="16"/>
  <c r="AA3418" i="16"/>
  <c r="AA392" i="16"/>
  <c r="AA1236" i="16"/>
  <c r="AA3348" i="16"/>
  <c r="AA283" i="16"/>
  <c r="AA904" i="16"/>
  <c r="AA3491" i="16"/>
  <c r="AA1690" i="16"/>
  <c r="AA689" i="16"/>
  <c r="AA594" i="16"/>
  <c r="AA3067" i="16"/>
  <c r="AA718" i="16"/>
  <c r="AA2253" i="16"/>
  <c r="AA2435" i="16"/>
  <c r="AA483" i="16"/>
  <c r="AA3245" i="16"/>
  <c r="AA1131" i="16"/>
  <c r="AA2653" i="16"/>
  <c r="AA2049" i="16"/>
  <c r="AA669" i="16"/>
  <c r="AA3254" i="16"/>
  <c r="AA968" i="16"/>
  <c r="AA291" i="16"/>
  <c r="AA1929" i="16"/>
  <c r="AA3016" i="16"/>
  <c r="AA1901" i="16"/>
  <c r="AA111" i="16"/>
  <c r="AA2436" i="16"/>
  <c r="AA1543" i="16"/>
  <c r="AA506" i="16"/>
  <c r="AA1420" i="16"/>
  <c r="AA78" i="16"/>
  <c r="AA1369" i="16"/>
  <c r="AA3174" i="16"/>
  <c r="AA394" i="16"/>
  <c r="AA1652" i="16"/>
  <c r="AA595" i="16"/>
  <c r="AA652" i="16"/>
  <c r="AA1918" i="16"/>
  <c r="AA2473" i="16"/>
  <c r="AA121" i="16"/>
  <c r="AA695" i="16"/>
  <c r="AA3529" i="16"/>
  <c r="AA3532" i="16"/>
  <c r="AA2123" i="16"/>
  <c r="AA888" i="16"/>
  <c r="AA3300" i="16"/>
  <c r="AA699" i="16"/>
  <c r="AA2094" i="16"/>
  <c r="AA1925" i="16"/>
  <c r="AA2097" i="16"/>
  <c r="AA113" i="16"/>
  <c r="AA2649" i="16"/>
  <c r="AA2793" i="16"/>
  <c r="AA146" i="16"/>
  <c r="AA1987" i="16"/>
  <c r="AA589" i="16"/>
  <c r="AA364" i="16"/>
  <c r="AA1469" i="16"/>
  <c r="AA1951" i="16"/>
  <c r="AA605" i="16"/>
  <c r="AA3441" i="16"/>
  <c r="AA2354" i="16"/>
  <c r="AA877" i="16"/>
  <c r="AA495" i="16"/>
  <c r="AA1554" i="16"/>
  <c r="AA2091" i="16"/>
  <c r="AA439" i="16"/>
  <c r="AA1056" i="16"/>
  <c r="AA1399" i="16"/>
  <c r="AA133" i="16"/>
  <c r="AA2822" i="16"/>
  <c r="AA1452" i="16"/>
  <c r="AA357" i="16"/>
  <c r="AA3080" i="16"/>
  <c r="AA629" i="16"/>
  <c r="AA1421" i="16"/>
  <c r="AA1182" i="16"/>
  <c r="AA545" i="16"/>
  <c r="AA2400" i="16"/>
  <c r="AA341" i="16"/>
  <c r="AA913" i="16"/>
  <c r="AA2730" i="16"/>
  <c r="AA118" i="16"/>
  <c r="AA2369" i="16"/>
  <c r="AA2732" i="16"/>
  <c r="AA2863" i="16"/>
  <c r="AA455" i="16"/>
  <c r="AA1139" i="16"/>
  <c r="AA2843" i="16"/>
  <c r="AA426" i="16"/>
  <c r="AA419" i="16"/>
  <c r="AA3315" i="16"/>
  <c r="AA2289" i="16"/>
  <c r="AA1698" i="16"/>
  <c r="AA3439" i="16"/>
  <c r="AA1299" i="16"/>
  <c r="AA525" i="16"/>
  <c r="AA599" i="16"/>
  <c r="AA3503" i="16"/>
  <c r="AA1539" i="16"/>
  <c r="AA218" i="16"/>
  <c r="AA463" i="16"/>
  <c r="AA2964" i="16"/>
  <c r="AA1358" i="16"/>
  <c r="AA20" i="16"/>
  <c r="AA757" i="16"/>
  <c r="AA1860" i="16"/>
  <c r="AA655" i="16"/>
  <c r="AA328" i="16"/>
  <c r="AA1730" i="16"/>
  <c r="AA1229" i="16"/>
  <c r="AA1176" i="16"/>
  <c r="AA2287" i="16"/>
  <c r="AA1813" i="16"/>
  <c r="AA1829" i="16"/>
  <c r="AA622" i="16"/>
  <c r="AA205" i="16"/>
  <c r="AA3038" i="16"/>
  <c r="AA3063" i="16"/>
  <c r="AA2157" i="16"/>
  <c r="AA1825" i="16"/>
  <c r="AA3157" i="16"/>
  <c r="AA2171" i="16"/>
  <c r="AA2390" i="16"/>
  <c r="AA31" i="16"/>
  <c r="AA1783" i="16"/>
  <c r="AA402" i="16"/>
  <c r="AA498" i="16"/>
  <c r="AA1363" i="16"/>
  <c r="AA640" i="16"/>
  <c r="AA535" i="16"/>
  <c r="AA232" i="16"/>
  <c r="AA866" i="16"/>
  <c r="AA792" i="16"/>
  <c r="AA1214" i="16"/>
  <c r="AA2215" i="16"/>
  <c r="AA876" i="16"/>
  <c r="AA2788" i="16"/>
  <c r="AA2407" i="16"/>
  <c r="AA604" i="16"/>
  <c r="AA606" i="16"/>
  <c r="AA567" i="16"/>
  <c r="AA2327" i="16"/>
  <c r="AA2540" i="16"/>
  <c r="AA1996" i="16"/>
  <c r="AA1373" i="16"/>
  <c r="AA624" i="16"/>
  <c r="AA496" i="16"/>
  <c r="AA2778" i="16"/>
  <c r="AA427" i="16"/>
  <c r="AA3114" i="16"/>
  <c r="AA2954" i="16"/>
  <c r="AA1692" i="16"/>
  <c r="AA2488" i="16"/>
  <c r="AA3394" i="16"/>
  <c r="AA2641" i="16"/>
  <c r="AA3440" i="16"/>
  <c r="AA1308" i="16"/>
  <c r="AA1519" i="16"/>
  <c r="AA2685" i="16"/>
  <c r="AA2579" i="16"/>
  <c r="AA1819" i="16"/>
  <c r="AA3417" i="16"/>
  <c r="AA973" i="16"/>
  <c r="AA2053" i="16"/>
  <c r="AA931" i="16"/>
  <c r="AA307" i="16"/>
  <c r="AA2036" i="16"/>
  <c r="AA628" i="16"/>
  <c r="AA2308" i="16"/>
  <c r="AA2194" i="16"/>
  <c r="AA2757" i="16"/>
  <c r="AA1333" i="16"/>
  <c r="AA949" i="16"/>
  <c r="AA2307" i="16"/>
  <c r="AA1676" i="16"/>
  <c r="AA2381" i="16"/>
  <c r="AA1162" i="16"/>
  <c r="AA1868" i="16"/>
  <c r="AA99" i="16"/>
  <c r="AA1234" i="16"/>
  <c r="AA3232" i="16"/>
  <c r="AA3399" i="16"/>
  <c r="AA832" i="16"/>
  <c r="AA2832" i="16"/>
  <c r="AA2396" i="16"/>
  <c r="AA152" i="16"/>
  <c r="AA1122" i="16"/>
  <c r="AA3021" i="16"/>
  <c r="AA2632" i="16"/>
  <c r="AA478" i="16"/>
  <c r="AA1305" i="16"/>
  <c r="AA1260" i="16"/>
  <c r="AA3257" i="16"/>
  <c r="AA1517" i="16"/>
  <c r="AA816" i="16"/>
  <c r="AA1461" i="16"/>
  <c r="AA285" i="16"/>
  <c r="AA2620" i="16"/>
  <c r="AA807" i="16"/>
  <c r="AA1615" i="16"/>
  <c r="AA2050" i="16"/>
  <c r="AA1425" i="16"/>
  <c r="AA2557" i="16"/>
  <c r="AA2643" i="16"/>
  <c r="AA2889" i="16"/>
  <c r="AA1801" i="16"/>
  <c r="AA2343" i="16"/>
  <c r="AA362" i="16"/>
  <c r="AA3275" i="16"/>
  <c r="AA2988" i="16"/>
  <c r="AA2393" i="16"/>
  <c r="AA1036" i="16"/>
  <c r="AA2085" i="16"/>
  <c r="AA3130" i="16"/>
  <c r="AA3248" i="16"/>
  <c r="AA2411" i="16"/>
  <c r="AA1611" i="16"/>
  <c r="AA2501" i="16"/>
  <c r="AA3386" i="16"/>
  <c r="AA1203" i="16"/>
  <c r="AA992" i="16"/>
  <c r="AA2808" i="16"/>
  <c r="AA1780" i="16"/>
  <c r="AA2787" i="16"/>
  <c r="AA1149" i="16"/>
  <c r="AA101" i="16"/>
  <c r="AA1211" i="16"/>
  <c r="AA1944" i="16"/>
  <c r="AA1315" i="16"/>
  <c r="AA1311" i="16"/>
  <c r="AA873" i="16"/>
  <c r="AA369" i="16"/>
  <c r="AA668" i="16"/>
  <c r="AA527" i="16"/>
  <c r="AA2640" i="16"/>
  <c r="AA618" i="16"/>
  <c r="AA672" i="16"/>
  <c r="AA203" i="16"/>
  <c r="AA3261" i="16"/>
  <c r="AA3335" i="16"/>
  <c r="AA3085" i="16"/>
  <c r="AA2028" i="16"/>
  <c r="AA2336" i="16"/>
  <c r="AA670" i="16"/>
  <c r="AA522" i="16"/>
  <c r="AA808" i="16"/>
  <c r="AA3069" i="16"/>
  <c r="AA1556" i="16"/>
  <c r="AA2711" i="16"/>
  <c r="AA1812" i="16"/>
  <c r="AA3116" i="16"/>
  <c r="AA1484" i="16"/>
  <c r="AA3433" i="16"/>
  <c r="AA3263" i="16"/>
  <c r="AA1022" i="16"/>
  <c r="AA23" i="16"/>
  <c r="AA1553" i="16"/>
  <c r="AA2598" i="16"/>
  <c r="AA2300" i="16"/>
  <c r="AA97" i="16"/>
  <c r="AA3273" i="16"/>
  <c r="AA3176" i="16"/>
  <c r="AA1242" i="16"/>
  <c r="AA196" i="16"/>
  <c r="AA3103" i="16"/>
  <c r="AA1023" i="16"/>
  <c r="AA1985" i="16"/>
  <c r="AA2062" i="16"/>
  <c r="AA1806" i="16"/>
  <c r="AA1832" i="16"/>
  <c r="AA207" i="16"/>
  <c r="AA2232" i="16"/>
  <c r="AA1954" i="16"/>
  <c r="AA963" i="16"/>
  <c r="AA908" i="16"/>
  <c r="AA3468" i="16"/>
  <c r="AA1265" i="16"/>
  <c r="AA1947" i="16"/>
  <c r="AA2506" i="16"/>
  <c r="AA2670" i="16"/>
  <c r="AA2452" i="16"/>
  <c r="AA2543" i="16"/>
  <c r="AA2251" i="16"/>
  <c r="AA1313" i="16"/>
  <c r="AA2895" i="16"/>
  <c r="AA1449" i="16"/>
  <c r="AA2401" i="16"/>
  <c r="AA2244" i="16"/>
  <c r="AA2211" i="16"/>
  <c r="AA2430" i="16"/>
  <c r="AA3192" i="16"/>
  <c r="AA1332" i="16"/>
  <c r="AA2531" i="16"/>
  <c r="AA1136" i="16"/>
  <c r="AA3280" i="16"/>
  <c r="AA3496" i="16"/>
  <c r="AA2624" i="16"/>
  <c r="AA556" i="16"/>
  <c r="AA1578" i="16"/>
  <c r="AA2780" i="16"/>
  <c r="AA25" i="16"/>
  <c r="AA1613" i="16"/>
  <c r="AA1475" i="16"/>
  <c r="AA1254" i="16"/>
  <c r="AA2996" i="16"/>
  <c r="AA3030" i="16"/>
  <c r="AA3097" i="16"/>
  <c r="AA3351" i="16"/>
  <c r="AA1331" i="16"/>
  <c r="AA979" i="16"/>
  <c r="AA3255" i="16"/>
  <c r="AA1489" i="16"/>
  <c r="AA2033" i="16"/>
  <c r="AA1527" i="16"/>
  <c r="AA3205" i="16"/>
  <c r="AA1044" i="16"/>
  <c r="AA2054" i="16"/>
  <c r="AA3264" i="16"/>
  <c r="AA993" i="16"/>
  <c r="AA2544" i="16"/>
  <c r="AA826" i="16"/>
  <c r="AA1849" i="16"/>
  <c r="AA2115" i="16"/>
  <c r="AA3154" i="16"/>
  <c r="AA3550" i="16"/>
  <c r="AA1303" i="16"/>
  <c r="AA625" i="16"/>
  <c r="AA643" i="16"/>
  <c r="AA2384" i="16"/>
  <c r="AA2281" i="16"/>
  <c r="AA2009" i="16"/>
  <c r="AA1038" i="16"/>
  <c r="AA3304" i="16"/>
  <c r="AA1143" i="16"/>
  <c r="AA3533" i="16"/>
  <c r="AA3362" i="16"/>
  <c r="AA28" i="16"/>
  <c r="AA3185" i="16"/>
  <c r="AA430" i="16"/>
  <c r="AA2351" i="16"/>
  <c r="AA969" i="16"/>
  <c r="AA960" i="16"/>
  <c r="AA1437" i="16"/>
  <c r="AA3324" i="16"/>
  <c r="AA89" i="16"/>
  <c r="AA869" i="16"/>
  <c r="AA354" i="16"/>
  <c r="AA3347" i="16"/>
  <c r="AA3075" i="16"/>
  <c r="AA3535" i="16"/>
  <c r="AA3212" i="16"/>
  <c r="AA77" i="16"/>
  <c r="AA2907" i="16"/>
  <c r="AA1704" i="16"/>
  <c r="AA1005" i="16"/>
  <c r="AA240" i="16"/>
  <c r="AA3020" i="16"/>
  <c r="AA583" i="16"/>
  <c r="AA265" i="16"/>
  <c r="AA2146" i="16"/>
  <c r="AA500" i="16"/>
  <c r="AA1175" i="16"/>
  <c r="AA2833" i="16"/>
  <c r="AA1125" i="16"/>
  <c r="AA3076" i="16"/>
  <c r="AA1380" i="16"/>
  <c r="AA2357" i="16"/>
  <c r="AA3015" i="16"/>
  <c r="AA2355" i="16"/>
  <c r="AA443" i="16"/>
  <c r="AA3378" i="16"/>
  <c r="AA845" i="16"/>
  <c r="AA2712" i="16"/>
  <c r="AA844" i="16"/>
  <c r="AA467" i="16"/>
  <c r="AA382" i="16"/>
  <c r="AA2519" i="16"/>
  <c r="AA3500" i="16"/>
  <c r="AA3166" i="16"/>
  <c r="AA2530" i="16"/>
  <c r="AA179" i="16"/>
  <c r="AA2484" i="16"/>
  <c r="AA2835" i="16"/>
  <c r="AA2187" i="16"/>
  <c r="AA1664" i="16"/>
  <c r="AA2906" i="16"/>
  <c r="AA687" i="16"/>
  <c r="AA214" i="16"/>
  <c r="AA2276" i="16"/>
  <c r="AA2166" i="16"/>
  <c r="AA2005" i="16"/>
  <c r="AA1566" i="16"/>
  <c r="AA3137" i="16"/>
  <c r="AA2958" i="16"/>
  <c r="AA926" i="16"/>
  <c r="AA1152" i="16"/>
  <c r="AA2178" i="16"/>
  <c r="AA1081" i="16"/>
  <c r="AA2375" i="16"/>
  <c r="AA3091" i="16"/>
  <c r="AA1569" i="16"/>
  <c r="AA588" i="16"/>
  <c r="AA2637" i="16"/>
  <c r="AA269" i="16"/>
  <c r="AA2030" i="16"/>
  <c r="AA1051" i="16"/>
  <c r="AA1120" i="16"/>
  <c r="AA1261" i="16"/>
  <c r="AA1675" i="16"/>
  <c r="AA1422" i="16"/>
  <c r="AA772" i="16"/>
  <c r="AA3419" i="16"/>
  <c r="AA3216" i="16"/>
  <c r="AA2102" i="16"/>
  <c r="AA288" i="16"/>
  <c r="AA1245" i="16"/>
  <c r="AA2664" i="16"/>
  <c r="AA1383" i="16"/>
  <c r="AA1644" i="16"/>
  <c r="AA3246" i="16"/>
  <c r="AA2794" i="16"/>
  <c r="AA1781" i="16"/>
  <c r="AA855" i="16"/>
  <c r="AA974" i="16"/>
  <c r="AA850" i="16"/>
  <c r="AA776" i="16"/>
  <c r="AA3511" i="16"/>
  <c r="AA1035" i="16"/>
  <c r="AA1739" i="16"/>
  <c r="AA2226" i="16"/>
  <c r="AA658" i="16"/>
  <c r="AA2388" i="16"/>
  <c r="AA209" i="16"/>
  <c r="AA2943" i="16"/>
  <c r="AA3111" i="16"/>
  <c r="AA2160" i="16"/>
  <c r="AA1288" i="16"/>
  <c r="AA3182" i="16"/>
  <c r="AA3233" i="16"/>
  <c r="AA3484" i="16"/>
  <c r="AA3485" i="16"/>
  <c r="AA2858" i="16"/>
  <c r="AA1314" i="16"/>
  <c r="AA766" i="16"/>
  <c r="AA854" i="16"/>
  <c r="AA2032" i="16"/>
  <c r="AA69" i="16"/>
  <c r="AA1735" i="16"/>
  <c r="AA298" i="16"/>
  <c r="AA1216" i="16"/>
  <c r="AA2747" i="16"/>
  <c r="AA3196" i="16"/>
  <c r="AA2567" i="16"/>
  <c r="AA1963" i="16"/>
  <c r="AA1526" i="16"/>
  <c r="AA1900" i="16"/>
  <c r="AA575" i="16"/>
  <c r="AA1033" i="16"/>
  <c r="AA3180" i="16"/>
  <c r="AA2902" i="16"/>
  <c r="AA3139" i="16"/>
  <c r="AA541" i="16"/>
  <c r="AA242" i="16"/>
  <c r="AA398" i="16"/>
  <c r="AA2002" i="16"/>
  <c r="AA144" i="16"/>
  <c r="AA2612" i="16"/>
  <c r="AA1357" i="16"/>
  <c r="AA1424" i="16"/>
  <c r="AA3251" i="16"/>
  <c r="AA753" i="16"/>
  <c r="AA847" i="16"/>
  <c r="AA2221" i="16"/>
  <c r="AA3436" i="16"/>
  <c r="AA2510" i="16"/>
  <c r="AA2022" i="16"/>
  <c r="AA1691" i="16"/>
  <c r="AA3234" i="16"/>
  <c r="AA660" i="16"/>
  <c r="AA868" i="16"/>
  <c r="AA2735" i="16"/>
  <c r="AA386" i="16"/>
  <c r="AA2514" i="16"/>
  <c r="AA1171" i="16"/>
  <c r="AA2542" i="16"/>
  <c r="AA2013" i="16"/>
  <c r="AA1433" i="16"/>
  <c r="AA1368" i="16"/>
  <c r="AA3490" i="16"/>
  <c r="AA2318" i="16"/>
  <c r="AA2851" i="16"/>
  <c r="AA1599" i="16"/>
  <c r="AA2848" i="16"/>
  <c r="AA2919" i="16"/>
  <c r="AA3459" i="16"/>
  <c r="AA1473" i="16"/>
  <c r="AA2684" i="16"/>
  <c r="AA3098" i="16"/>
  <c r="AA3492" i="16"/>
  <c r="AA3414" i="16"/>
  <c r="AA2179" i="16"/>
  <c r="AA686" i="16"/>
  <c r="AA3463" i="16"/>
  <c r="AA1073" i="16"/>
  <c r="AA636" i="16"/>
  <c r="AA1657" i="16"/>
  <c r="AA3338" i="16"/>
  <c r="AA3001" i="16"/>
  <c r="AA536" i="16"/>
  <c r="AA2415" i="16"/>
  <c r="AA1353" i="16"/>
  <c r="AA1921" i="16"/>
  <c r="AA2962" i="16"/>
  <c r="AA1846" i="16"/>
  <c r="AA3360" i="16"/>
  <c r="AA1448" i="16"/>
  <c r="AA2272" i="16"/>
  <c r="AA3331" i="16"/>
  <c r="AA2505" i="16"/>
  <c r="AA3258" i="16"/>
  <c r="AA2040" i="16"/>
  <c r="AA3096" i="16"/>
  <c r="AA3129" i="16"/>
  <c r="AA358" i="16"/>
  <c r="AA2299" i="16"/>
  <c r="AA295" i="16"/>
  <c r="AA546" i="16"/>
  <c r="AA503" i="16"/>
  <c r="AA2301" i="16"/>
  <c r="AA3230" i="16"/>
  <c r="AA2056" i="16"/>
  <c r="AA764" i="16"/>
  <c r="AA38" i="16"/>
  <c r="AA2987" i="16"/>
  <c r="AA1624" i="16"/>
  <c r="AA3229" i="16"/>
  <c r="AA977" i="16"/>
  <c r="AA1814" i="16"/>
  <c r="AA1828" i="16"/>
  <c r="AA3147" i="16"/>
  <c r="AA2286" i="16"/>
  <c r="AA1190" i="16"/>
  <c r="AA2721" i="16"/>
  <c r="AA3077" i="16"/>
  <c r="AA2264" i="16"/>
  <c r="AA3475" i="16"/>
  <c r="AA355" i="16"/>
  <c r="AA2061" i="16"/>
  <c r="AA2121" i="16"/>
  <c r="AA2561" i="16"/>
  <c r="AA2556" i="16"/>
  <c r="AA1253" i="16"/>
  <c r="AA107" i="16"/>
  <c r="AA975" i="16"/>
  <c r="AA1040" i="16"/>
  <c r="AA2899" i="16"/>
  <c r="AA788" i="16"/>
  <c r="AA2379" i="16"/>
  <c r="AA836" i="16"/>
  <c r="AA1076" i="16"/>
  <c r="AA559" i="16"/>
  <c r="AA135" i="16"/>
  <c r="AA1455" i="16"/>
  <c r="AA303" i="16"/>
  <c r="AA1474" i="16"/>
  <c r="AA2979" i="16"/>
  <c r="AA234" i="16"/>
  <c r="AA3471" i="16"/>
  <c r="AA1507" i="16"/>
  <c r="AA251" i="16"/>
  <c r="AA2926" i="16"/>
  <c r="AA2697" i="16"/>
  <c r="AA2509" i="16"/>
  <c r="AA3093" i="16"/>
  <c r="AA711" i="16"/>
  <c r="AA867" i="16"/>
  <c r="AA3333" i="16"/>
  <c r="AA590" i="16"/>
  <c r="AA2361" i="16"/>
  <c r="AA2534" i="16"/>
  <c r="AA1592" i="16"/>
  <c r="AA3237" i="16"/>
  <c r="AA2872" i="16"/>
  <c r="AA747" i="16"/>
  <c r="AA1274" i="16"/>
  <c r="AA530" i="16"/>
  <c r="AA1185" i="16"/>
  <c r="AA1620" i="16"/>
  <c r="AA1218" i="16"/>
  <c r="AA1456" i="16"/>
  <c r="AA3029" i="16"/>
  <c r="AA2125" i="16"/>
  <c r="AA2886" i="16"/>
  <c r="AA317" i="16"/>
  <c r="AA2770" i="16"/>
  <c r="AA1789" i="16"/>
  <c r="AA1726" i="16"/>
  <c r="AA2247" i="16"/>
  <c r="AA1928" i="16"/>
  <c r="AA2243" i="16"/>
  <c r="AA2317" i="16"/>
  <c r="AA2932" i="16"/>
  <c r="AA2942" i="16"/>
  <c r="AA71" i="16"/>
  <c r="AA2806" i="16"/>
  <c r="AA2134" i="16"/>
  <c r="AA2915" i="16"/>
  <c r="AA1619" i="16"/>
  <c r="AA2270" i="16"/>
  <c r="AA548" i="16"/>
  <c r="AA2248" i="16"/>
  <c r="AA2348" i="16"/>
  <c r="AA3525" i="16"/>
  <c r="AA3162" i="16"/>
  <c r="AA894" i="16"/>
  <c r="AA434" i="16"/>
  <c r="AA1768" i="16"/>
  <c r="AA558" i="16"/>
  <c r="AA185" i="16"/>
  <c r="AA1335" i="16"/>
  <c r="AA2099" i="16"/>
  <c r="AA2233" i="16"/>
  <c r="AA414" i="16"/>
  <c r="AA2249" i="16"/>
  <c r="AA2856" i="16"/>
  <c r="AA51" i="16"/>
  <c r="AA93" i="16"/>
  <c r="AA3427" i="16"/>
  <c r="AA501" i="16"/>
  <c r="AA80" i="16"/>
  <c r="AA3498" i="16"/>
  <c r="AA1372" i="16"/>
  <c r="AA2576" i="16"/>
  <c r="AA1612" i="16"/>
  <c r="AA2302" i="16"/>
  <c r="AA2086" i="16"/>
  <c r="AA2245" i="16"/>
  <c r="AA3314" i="16"/>
  <c r="AA1700" i="16"/>
  <c r="AA529" i="16"/>
  <c r="AA2679" i="16"/>
  <c r="AA2088" i="16"/>
  <c r="AA1861" i="16"/>
  <c r="AA187" i="16"/>
  <c r="AA479" i="16"/>
  <c r="AA1199" i="16"/>
  <c r="AA1370" i="16"/>
  <c r="AA1884" i="16"/>
  <c r="AA805" i="16"/>
  <c r="AA2635" i="16"/>
  <c r="AA3214" i="16"/>
  <c r="AA1415" i="16"/>
  <c r="AA2237" i="16"/>
  <c r="AA1876" i="16"/>
  <c r="AA507" i="16"/>
  <c r="AA3150" i="16"/>
  <c r="AA3127" i="16"/>
  <c r="AA2261" i="16"/>
  <c r="AA2297" i="16"/>
  <c r="AA3090" i="16"/>
  <c r="AA1017" i="16"/>
  <c r="AA1903" i="16"/>
  <c r="AA1262" i="16"/>
  <c r="AA1326" i="16"/>
  <c r="AA377" i="16"/>
  <c r="AA2489" i="16"/>
  <c r="AA1037" i="16"/>
  <c r="AA586" i="16"/>
  <c r="AA2944" i="16"/>
  <c r="AA344" i="16"/>
  <c r="AA2869" i="16"/>
  <c r="AA2422" i="16"/>
  <c r="AA3391" i="16"/>
  <c r="AA1734" i="16"/>
  <c r="AA1184" i="16"/>
  <c r="AA3462" i="16"/>
  <c r="AA2753" i="16"/>
  <c r="AA3292" i="16"/>
  <c r="AA147" i="16"/>
  <c r="AA1596" i="16"/>
  <c r="AA172" i="16"/>
  <c r="AA2476" i="16"/>
  <c r="AA2067" i="16"/>
  <c r="AA3271" i="16"/>
  <c r="AA2428" i="16"/>
  <c r="AA3060" i="16"/>
  <c r="AA1862" i="16"/>
  <c r="AA1552" i="16"/>
  <c r="AA2876" i="16"/>
  <c r="AA3079" i="16"/>
  <c r="AA744" i="16"/>
  <c r="AA539" i="16"/>
  <c r="AA3299" i="16"/>
  <c r="AA3531" i="16"/>
  <c r="AA1246" i="16"/>
  <c r="AA906" i="16"/>
  <c r="AA562" i="16"/>
  <c r="AA3228" i="16"/>
  <c r="AA1797" i="16"/>
  <c r="AA1482" i="16"/>
  <c r="AA2026" i="16"/>
  <c r="AA2609" i="16"/>
  <c r="AA814" i="16"/>
  <c r="AA2399" i="16"/>
  <c r="AA3396" i="16"/>
  <c r="AA2362" i="16"/>
  <c r="AA3416" i="16"/>
  <c r="AA2965" i="16"/>
  <c r="AA1146" i="16"/>
  <c r="AA247" i="16"/>
  <c r="AA2425" i="16"/>
  <c r="AA2541" i="16"/>
  <c r="AA1666" i="16"/>
  <c r="AA95" i="16"/>
  <c r="AA3218" i="16"/>
  <c r="AA749" i="16"/>
  <c r="AA856" i="16"/>
  <c r="AA2296" i="16"/>
  <c r="AA2855" i="16"/>
  <c r="AA119" i="16"/>
  <c r="AA1053" i="16"/>
  <c r="AA132" i="16"/>
  <c r="AA955" i="16"/>
  <c r="AA2291" i="16"/>
  <c r="AA707" i="16"/>
  <c r="AA3517" i="16"/>
  <c r="AA2591" i="16"/>
  <c r="AA22" i="16"/>
  <c r="AA1238" i="16"/>
  <c r="AA2738" i="16"/>
  <c r="AA1544" i="16"/>
  <c r="AA800" i="16"/>
  <c r="AA3153" i="16"/>
  <c r="AA1710" i="16"/>
  <c r="AA282" i="16"/>
  <c r="AA1689" i="16"/>
  <c r="AA3307" i="16"/>
  <c r="AA2322" i="16"/>
  <c r="AA403" i="16"/>
  <c r="AA2107" i="16"/>
  <c r="AA2939" i="16"/>
  <c r="AA1379" i="16"/>
  <c r="AA1510" i="16"/>
  <c r="AA1837" i="16"/>
  <c r="AA2639" i="16"/>
  <c r="AA3219" i="16"/>
  <c r="AA2149" i="16"/>
  <c r="AA2195" i="16"/>
  <c r="AA3522" i="16"/>
  <c r="AA286" i="16"/>
  <c r="AA2931" i="16"/>
  <c r="AA3367" i="16"/>
  <c r="AA2870" i="16"/>
  <c r="AA1512" i="16"/>
  <c r="AA390" i="16"/>
  <c r="AA1235" i="16"/>
  <c r="AA1167" i="16"/>
  <c r="AA1872" i="16"/>
  <c r="AA308" i="16"/>
  <c r="AA1009" i="16"/>
  <c r="AA2817" i="16"/>
  <c r="AA1413" i="16"/>
  <c r="AA1633" i="16"/>
  <c r="AA3144" i="16"/>
  <c r="AA213" i="16"/>
  <c r="AA3156" i="16"/>
  <c r="AA656" i="16"/>
  <c r="AA3488" i="16"/>
  <c r="AA1640" i="16"/>
  <c r="AA593" i="16"/>
  <c r="AA1579" i="16"/>
  <c r="AA2214" i="16"/>
  <c r="AA3477" i="16"/>
  <c r="AA1858" i="16"/>
  <c r="AA2998" i="16"/>
  <c r="AA2014" i="16"/>
  <c r="AA140" i="16"/>
  <c r="AA3357" i="16"/>
  <c r="AA1377" i="16"/>
  <c r="AA1296" i="16"/>
  <c r="AA1658" i="16"/>
  <c r="AA2829" i="16"/>
  <c r="AA1541" i="16"/>
  <c r="AA2773" i="16"/>
  <c r="AA3397" i="16"/>
  <c r="AA725" i="16"/>
  <c r="AA1223" i="16"/>
  <c r="AA1966" i="16"/>
  <c r="AA777" i="16"/>
  <c r="AA1662" i="16"/>
  <c r="AA2293" i="16"/>
  <c r="AA2129" i="16"/>
  <c r="AA1101" i="16"/>
  <c r="AA1786" i="16"/>
  <c r="AA862" i="16"/>
  <c r="AA2021" i="16"/>
  <c r="AA2181" i="16"/>
  <c r="AA1096" i="16"/>
  <c r="AA667" i="16"/>
  <c r="AA330" i="16"/>
  <c r="AA623" i="16"/>
  <c r="AA2363" i="16"/>
  <c r="AA697" i="16"/>
  <c r="AA1295" i="16"/>
  <c r="AA2320" i="16"/>
  <c r="AA2019" i="16"/>
  <c r="AA1625" i="16"/>
  <c r="AA1961" i="16"/>
  <c r="AA67" i="16"/>
  <c r="AA671" i="16"/>
  <c r="AA450" i="16"/>
  <c r="AA2001" i="16"/>
  <c r="AA3163" i="16"/>
  <c r="AA3101" i="16"/>
  <c r="AA2135" i="16"/>
  <c r="AA1699" i="16"/>
  <c r="AA3013" i="16"/>
  <c r="AA2842" i="16"/>
  <c r="AA1135" i="16"/>
  <c r="AA376" i="16"/>
  <c r="AA48" i="16"/>
  <c r="AA858" i="16"/>
  <c r="AA2110" i="16"/>
  <c r="AA409" i="16"/>
  <c r="AA1382" i="16"/>
  <c r="AA825" i="16"/>
  <c r="AA3095" i="16"/>
  <c r="AA2275" i="16"/>
  <c r="AA2222" i="16"/>
  <c r="AA454" i="16"/>
  <c r="AA1715" i="16"/>
  <c r="AA2329" i="16"/>
  <c r="AA607" i="16"/>
  <c r="AA680" i="16"/>
  <c r="AA727" i="16"/>
  <c r="AA235" i="16"/>
  <c r="AA638" i="16"/>
  <c r="AA3148" i="16"/>
  <c r="AA2599" i="16"/>
  <c r="AA87" i="16"/>
  <c r="AA709" i="16"/>
  <c r="AA2313" i="16"/>
  <c r="AA2142" i="16"/>
  <c r="AA1663" i="16"/>
  <c r="AA3062" i="16"/>
  <c r="AA2429" i="16"/>
  <c r="AA1984" i="16"/>
  <c r="AA2480" i="16"/>
  <c r="AA1649" i="16"/>
  <c r="AA3537" i="16"/>
  <c r="AA3039" i="16"/>
  <c r="AA3507" i="16"/>
  <c r="AA1432" i="16"/>
  <c r="AA1636" i="16"/>
  <c r="AA143" i="16"/>
  <c r="AA3238" i="16"/>
  <c r="AA1980" i="16"/>
  <c r="AA264" i="16"/>
  <c r="AA2997" i="16"/>
  <c r="AA591" i="16"/>
  <c r="AA1767" i="16"/>
  <c r="AA2340" i="16"/>
  <c r="AA1798" i="16"/>
  <c r="AA1039" i="16"/>
  <c r="AA2704" i="16"/>
  <c r="AA1154" i="16"/>
  <c r="AA1602" i="16"/>
  <c r="AA881" i="16"/>
  <c r="AA3158" i="16"/>
  <c r="AA1732" i="16"/>
  <c r="AA879" i="16"/>
  <c r="AA1157" i="16"/>
  <c r="AA178" i="16"/>
  <c r="AA2118" i="16"/>
  <c r="AA1545" i="16"/>
  <c r="AA1258" i="16"/>
  <c r="AA2434" i="16"/>
  <c r="AA1457" i="16"/>
  <c r="AA226" i="16"/>
  <c r="AA3121" i="16"/>
  <c r="AA843" i="16"/>
  <c r="AA3408" i="16"/>
  <c r="AA754" i="16"/>
  <c r="AA1300" i="16"/>
  <c r="AA1169" i="16"/>
  <c r="AA1581" i="16"/>
  <c r="AA1969" i="16"/>
  <c r="AA3061" i="16"/>
  <c r="AA1891" i="16"/>
  <c r="AA3161" i="16"/>
  <c r="AA2491" i="16"/>
  <c r="AA3287" i="16"/>
  <c r="AA1344" i="16"/>
  <c r="AA3187" i="16"/>
  <c r="AA2193" i="16"/>
  <c r="AA3432" i="16"/>
  <c r="AA574" i="16"/>
  <c r="AA3437" i="16"/>
  <c r="AA1528" i="16"/>
  <c r="AA2334" i="16"/>
  <c r="AA1114" i="16"/>
  <c r="AA2733" i="16"/>
  <c r="AA1210" i="16"/>
  <c r="AA110" i="16"/>
  <c r="AA2707" i="16"/>
  <c r="AA778" i="16"/>
  <c r="AA3379" i="16"/>
  <c r="AA1808" i="16"/>
  <c r="AA446" i="16"/>
  <c r="AA126" i="16"/>
  <c r="AA1962" i="16"/>
  <c r="AA2513" i="16"/>
  <c r="AA2774" i="16"/>
  <c r="AA2332" i="16"/>
  <c r="AA2654" i="16"/>
  <c r="AA742" i="16"/>
  <c r="AA3120" i="16"/>
  <c r="AA2382" i="16"/>
  <c r="AA1851" i="16"/>
  <c r="AA585" i="16"/>
  <c r="AA1200" i="16"/>
  <c r="AA1909" i="16"/>
  <c r="AA1501" i="16"/>
  <c r="AA2695" i="16"/>
  <c r="AA1576" i="16"/>
  <c r="AA3318" i="16"/>
  <c r="AA1394" i="16"/>
  <c r="AA1694" i="16"/>
  <c r="AA3421" i="16"/>
  <c r="AA1728" i="16"/>
  <c r="AA893" i="16"/>
  <c r="AA2416" i="16"/>
  <c r="AA2846" i="16"/>
  <c r="AA2911" i="16"/>
  <c r="AA2580" i="16"/>
  <c r="AA1958" i="16"/>
  <c r="AA2147" i="16"/>
  <c r="AA1853" i="16"/>
  <c r="AA2560" i="16"/>
  <c r="AA996" i="16"/>
  <c r="AA2767" i="16"/>
  <c r="AA649" i="16"/>
  <c r="AA1406" i="16"/>
  <c r="AA3045" i="16"/>
  <c r="AA3054" i="16"/>
  <c r="AA1067" i="16"/>
  <c r="AA980" i="16"/>
  <c r="AA2658" i="16"/>
  <c r="AA3265" i="16"/>
  <c r="AA2634" i="16"/>
  <c r="AA3368" i="16"/>
  <c r="AA1971" i="16"/>
  <c r="AA2511" i="16"/>
  <c r="AA3200" i="16"/>
  <c r="AA407" i="16"/>
  <c r="AA1815" i="16"/>
  <c r="AA630" i="16"/>
  <c r="AA319" i="16"/>
  <c r="AA3199" i="16"/>
  <c r="AA1580" i="16"/>
  <c r="AA2830" i="16"/>
  <c r="AA2665" i="16"/>
  <c r="AA978" i="16"/>
  <c r="AA3086" i="16"/>
  <c r="AA215" i="16"/>
  <c r="AA273" i="16"/>
  <c r="AA3003" i="16"/>
  <c r="AA2819" i="16"/>
  <c r="AA1257" i="16"/>
  <c r="AA762" i="16"/>
  <c r="AA387" i="16"/>
  <c r="AA2940" i="16"/>
  <c r="AA371" i="16"/>
  <c r="AA1515" i="16"/>
  <c r="AA161" i="16"/>
  <c r="AA1251" i="16"/>
  <c r="AA79" i="16"/>
  <c r="AA1758" i="16"/>
  <c r="AA561" i="16"/>
  <c r="AA738" i="16"/>
  <c r="AA2743" i="16"/>
  <c r="AA83" i="16"/>
  <c r="AA270" i="16"/>
  <c r="AA2331" i="16"/>
  <c r="AA1301" i="16"/>
  <c r="AA564" i="16"/>
  <c r="AA812" i="16"/>
  <c r="AA1982" i="16"/>
  <c r="AA2650" i="16"/>
  <c r="AA2959" i="16"/>
  <c r="AA3337" i="16"/>
  <c r="AA2706" i="16"/>
  <c r="AA1542" i="16"/>
  <c r="AA2184" i="16"/>
  <c r="AA1653" i="16"/>
  <c r="AA1047" i="16"/>
  <c r="AA684" i="16"/>
  <c r="AA177" i="16"/>
  <c r="AA2201" i="16"/>
  <c r="AA2746" i="16"/>
  <c r="AA3172" i="16"/>
  <c r="AA2975" i="16"/>
  <c r="AA2945" i="16"/>
  <c r="AA1981" i="16"/>
  <c r="AA3356" i="16"/>
  <c r="AA1536" i="16"/>
  <c r="AA2935" i="16"/>
  <c r="AA3289" i="16"/>
  <c r="AA3123" i="16"/>
  <c r="AA1617" i="16"/>
  <c r="AA2442" i="16"/>
  <c r="AA2319" i="16"/>
  <c r="AA1630" i="16"/>
  <c r="AA1232" i="16"/>
  <c r="AA2520" i="16"/>
  <c r="AA2989" i="16"/>
  <c r="AA2338" i="16"/>
  <c r="AA1158" i="16"/>
  <c r="AA1354" i="16"/>
  <c r="AA2186" i="16"/>
  <c r="AA1810" i="16"/>
  <c r="AA2295" i="16"/>
  <c r="AA1495" i="16"/>
  <c r="AA1790" i="16"/>
  <c r="AA547" i="16"/>
  <c r="AA3375" i="16"/>
  <c r="AA3028" i="16"/>
  <c r="AA2795" i="16"/>
  <c r="AA1094" i="16"/>
  <c r="AA373" i="16"/>
  <c r="AA3334" i="16"/>
  <c r="AA2207" i="16"/>
  <c r="AA3128" i="16"/>
  <c r="AA837" i="16"/>
  <c r="AA704" i="16"/>
  <c r="AA1298" i="16"/>
  <c r="AA882" i="16"/>
  <c r="AA1684" i="16"/>
  <c r="AA497" i="16"/>
  <c r="AA258" i="16"/>
  <c r="AA3277" i="16"/>
  <c r="AA1018" i="16"/>
  <c r="AA2326" i="16"/>
  <c r="AA74" i="16"/>
  <c r="AA2206" i="16"/>
  <c r="AA2385" i="16"/>
  <c r="AA2304" i="16"/>
  <c r="AA1888" i="16"/>
  <c r="AA1414" i="16"/>
  <c r="AA3057" i="16"/>
  <c r="AA2621" i="16"/>
  <c r="AA2035" i="16"/>
  <c r="AA3540" i="16"/>
  <c r="AA2358" i="16"/>
  <c r="AA2418" i="16"/>
  <c r="AA2163" i="16"/>
  <c r="AA1737" i="16"/>
  <c r="AA976" i="16"/>
  <c r="AA964" i="16"/>
  <c r="AA1866" i="16"/>
  <c r="AA730" i="16"/>
  <c r="AA3515" i="16"/>
  <c r="AA431" i="16"/>
  <c r="AA3281" i="16"/>
  <c r="AA1292" i="16"/>
  <c r="AA2180" i="16"/>
  <c r="AA3400" i="16"/>
  <c r="AA1103" i="16"/>
  <c r="AA1109" i="16"/>
  <c r="AA1514" i="16"/>
  <c r="AA1701" i="16"/>
  <c r="AA822" i="16"/>
  <c r="AA735" i="16"/>
  <c r="AA2628" i="16"/>
  <c r="AA3106" i="16"/>
  <c r="AA278" i="16"/>
  <c r="AA3422" i="16"/>
  <c r="AA2723" i="16"/>
  <c r="AA2990" i="16"/>
  <c r="AA3290" i="16"/>
  <c r="AA1917" i="16"/>
  <c r="AA2595" i="16"/>
  <c r="AA3472" i="16"/>
  <c r="AA2128" i="16"/>
  <c r="AA2285" i="16"/>
  <c r="AA3202" i="16"/>
  <c r="AA2380" i="16"/>
  <c r="AA3151" i="16"/>
  <c r="AA1124" i="16"/>
  <c r="AA481" i="16"/>
  <c r="AA1678" i="16"/>
  <c r="AA3355" i="16"/>
  <c r="AA1582" i="16"/>
  <c r="AA2132" i="16"/>
  <c r="AA2164" i="16"/>
  <c r="AA470" i="16"/>
  <c r="AA3340" i="16"/>
  <c r="AA84" i="16"/>
  <c r="AA596" i="16"/>
  <c r="AA3358" i="16"/>
  <c r="AA2859" i="16"/>
  <c r="AA1889" i="16"/>
  <c r="AA3227" i="16"/>
  <c r="AA1478" i="16"/>
  <c r="AA2626" i="16"/>
  <c r="AA2303" i="16"/>
  <c r="AA2937" i="16"/>
  <c r="AA3256" i="16"/>
  <c r="AA1401" i="16"/>
  <c r="AA1385" i="16"/>
  <c r="AA2967" i="16"/>
  <c r="AA1916" i="16"/>
  <c r="AA1330" i="16"/>
  <c r="AA1661" i="16"/>
  <c r="AA462" i="16"/>
  <c r="AA337" i="16"/>
  <c r="AA1287" i="16"/>
  <c r="AA2572" i="16"/>
  <c r="AA2185" i="16"/>
  <c r="AA3342" i="16"/>
  <c r="AA1127" i="16"/>
  <c r="AA410" i="16"/>
  <c r="AA1490" i="16"/>
  <c r="AA332" i="16"/>
  <c r="AA2259" i="16"/>
  <c r="AA2974" i="16"/>
  <c r="AA2682" i="16"/>
  <c r="AA472" i="16"/>
  <c r="AA3023" i="16"/>
  <c r="AA988" i="16"/>
  <c r="AA2420" i="16"/>
  <c r="AA2655" i="16"/>
  <c r="AA821" i="16"/>
  <c r="AA1289" i="16"/>
  <c r="AA3239" i="16"/>
  <c r="AA1968" i="16"/>
  <c r="AA2678" i="16"/>
  <c r="AA2006" i="16"/>
  <c r="AA3530" i="16"/>
  <c r="AA1571" i="16"/>
  <c r="AA1771" i="16"/>
  <c r="AA3392" i="16"/>
  <c r="AA475" i="16"/>
  <c r="AA1563" i="16"/>
  <c r="AA338" i="16"/>
  <c r="AA2752" i="16"/>
  <c r="AA2070" i="16"/>
  <c r="AA3009" i="16"/>
  <c r="AA3352" i="16"/>
  <c r="AA598" i="16"/>
  <c r="AA2082" i="16"/>
  <c r="AA1233" i="16"/>
  <c r="AA3458" i="16"/>
  <c r="AA3279" i="16"/>
  <c r="AA2268" i="16"/>
  <c r="AA1618" i="16"/>
  <c r="AA3107" i="16"/>
  <c r="AA1993" i="16"/>
  <c r="AA3070" i="16"/>
  <c r="AA1788" i="16"/>
  <c r="AA1946" i="16"/>
  <c r="AA1256" i="16"/>
  <c r="AA2196" i="16"/>
  <c r="AA663" i="16"/>
  <c r="AA1338" i="16"/>
  <c r="AA2192" i="16"/>
  <c r="AA597" i="16"/>
  <c r="AA603" i="16"/>
  <c r="AA2038" i="16"/>
  <c r="AA2840" i="16"/>
  <c r="AA1965" i="16"/>
  <c r="AA1606" i="16"/>
  <c r="AA1134" i="16"/>
  <c r="AA1650" i="16"/>
  <c r="AA2709" i="16"/>
  <c r="AA1792" i="16"/>
  <c r="AA222" i="16"/>
  <c r="AA763" i="16"/>
  <c r="AA1290" i="16"/>
  <c r="AA2312" i="16"/>
  <c r="AA2756" i="16"/>
  <c r="AA122" i="16"/>
  <c r="AA3303" i="16"/>
  <c r="AA959" i="16"/>
  <c r="AA648" i="16"/>
  <c r="AA350" i="16"/>
  <c r="AA910" i="16"/>
  <c r="AA714" i="16"/>
  <c r="AA3451" i="16"/>
  <c r="AA2617" i="16"/>
  <c r="AA2481" i="16"/>
  <c r="AA890" i="16"/>
  <c r="AA2918" i="16"/>
  <c r="AA2633" i="16"/>
  <c r="AA3115" i="16"/>
  <c r="AA3082" i="16"/>
  <c r="AA115" i="16"/>
  <c r="AA3190" i="16"/>
  <c r="AA3146" i="16"/>
  <c r="AA1137" i="16"/>
  <c r="AA2148" i="16"/>
  <c r="AA2494" i="16"/>
  <c r="AA129" i="16"/>
  <c r="AA958" i="16"/>
  <c r="AA2908" i="16"/>
  <c r="AA3242" i="16"/>
  <c r="AA914" i="16"/>
  <c r="AA1178" i="16"/>
  <c r="AA2791" i="16"/>
  <c r="AA3010" i="16"/>
  <c r="AA1181" i="16"/>
  <c r="AA3487" i="16"/>
  <c r="AA1050" i="16"/>
  <c r="AA3136" i="16"/>
  <c r="AA2305" i="16"/>
  <c r="AA1693" i="16"/>
  <c r="AA1281" i="16"/>
  <c r="AA24" i="16"/>
  <c r="AA2675" i="16"/>
  <c r="AA2282" i="16"/>
  <c r="AA2437" i="16"/>
  <c r="AA1179" i="16"/>
  <c r="AA1746" i="16"/>
  <c r="AA944" i="16"/>
  <c r="AA2158" i="16"/>
  <c r="AA453" i="16"/>
  <c r="AA860" i="16"/>
  <c r="AA1405" i="16"/>
  <c r="AA1800" i="16"/>
  <c r="AA1835" i="16"/>
  <c r="AA1150" i="16"/>
  <c r="AA833" i="16"/>
  <c r="AA3380" i="16"/>
  <c r="AA1904" i="16"/>
  <c r="AA2518" i="16"/>
  <c r="AA2526" i="16"/>
  <c r="AA1654" i="16"/>
  <c r="AA1138" i="16"/>
  <c r="AA3425" i="16"/>
  <c r="AA2878" i="16"/>
  <c r="AA857" i="16"/>
  <c r="AA1518" i="16"/>
  <c r="AA2522" i="16"/>
  <c r="AA231" i="16"/>
  <c r="AA2890" i="16"/>
  <c r="AA701" i="16"/>
  <c r="AA1497" i="16"/>
  <c r="AA2421" i="16"/>
  <c r="AA484" i="16"/>
  <c r="AA611" i="16"/>
  <c r="AA1976" i="16"/>
  <c r="AA2901" i="16"/>
  <c r="AA2739" i="16"/>
  <c r="AA1669" i="16"/>
  <c r="AA2413" i="16"/>
  <c r="AA2457" i="16"/>
  <c r="AA359" i="16"/>
  <c r="AA3329" i="16"/>
  <c r="AA791" i="16"/>
  <c r="AA2446" i="16"/>
  <c r="AA1588" i="16"/>
  <c r="AA2397" i="16"/>
  <c r="AA3341" i="16"/>
  <c r="AA1355" i="16"/>
  <c r="AA1751" i="16"/>
  <c r="AA1069" i="16"/>
  <c r="AA1807" i="16"/>
  <c r="AA1110" i="16"/>
  <c r="AA404" i="16"/>
  <c r="AA637" i="16"/>
  <c r="AA1895" i="16"/>
  <c r="AA3048" i="16"/>
  <c r="AA861" i="16"/>
  <c r="AA1172" i="16"/>
  <c r="AA76" i="16"/>
  <c r="AA3201" i="16"/>
  <c r="AA724" i="16"/>
  <c r="AA863" i="16"/>
  <c r="AA1913" i="16"/>
  <c r="AA2483" i="16"/>
  <c r="AA2629" i="16"/>
  <c r="AA2927" i="16"/>
  <c r="AA1818" i="16"/>
  <c r="AA208" i="16"/>
  <c r="AA3226" i="16"/>
  <c r="AA3250" i="16"/>
  <c r="AA3037" i="16"/>
  <c r="AA2386" i="16"/>
  <c r="AA2521" i="16"/>
  <c r="AA920" i="16"/>
  <c r="AA2614" i="16"/>
  <c r="AA2925" i="16"/>
  <c r="AA2781" i="16"/>
  <c r="AA1719" i="16"/>
  <c r="AA3369" i="16"/>
  <c r="AA153" i="16"/>
  <c r="AA3046" i="16"/>
  <c r="AA3305" i="16"/>
  <c r="AA2263" i="16"/>
  <c r="AA1505" i="16"/>
  <c r="AA1239" i="16"/>
  <c r="AA3377" i="16"/>
  <c r="AA313" i="16"/>
  <c r="AA2537" i="16"/>
  <c r="AA3542" i="16"/>
  <c r="AA2725" i="16"/>
  <c r="AA1194" i="16"/>
  <c r="AA1000" i="16"/>
  <c r="AA2957" i="16"/>
  <c r="AA2052" i="16"/>
  <c r="AA2273" i="16"/>
  <c r="AA987" i="16"/>
  <c r="AA2797" i="16"/>
  <c r="AA2487" i="16"/>
  <c r="AA1133" i="16"/>
  <c r="AA334" i="16"/>
  <c r="AA100" i="16"/>
  <c r="AA3401" i="16"/>
  <c r="AA395" i="16"/>
  <c r="AA2404" i="16"/>
  <c r="AA518" i="16"/>
  <c r="AA92" i="16"/>
  <c r="AA1302" i="16"/>
  <c r="AA932" i="16"/>
  <c r="AA2406" i="16"/>
  <c r="AA339" i="16"/>
  <c r="AA2292" i="16"/>
  <c r="AA1345" i="16"/>
  <c r="AA1933" i="16"/>
  <c r="AA277" i="16"/>
  <c r="AA1547" i="16"/>
  <c r="AA3006" i="16"/>
  <c r="AA2933" i="16"/>
  <c r="AA2007" i="16"/>
  <c r="AA1879" i="16"/>
  <c r="AA3389" i="16"/>
  <c r="AA1016" i="16"/>
  <c r="AA789" i="16"/>
  <c r="AA1275" i="16"/>
  <c r="AA3074" i="16"/>
  <c r="AA1034" i="16"/>
  <c r="AA1892" i="16"/>
  <c r="AA2499" i="16"/>
  <c r="AA348" i="16"/>
  <c r="AA2205" i="16"/>
  <c r="AA1717" i="16"/>
  <c r="AA2992" i="16"/>
  <c r="AA1558" i="16"/>
  <c r="AA2821" i="16"/>
  <c r="AA743" i="16"/>
  <c r="AA1193" i="16"/>
  <c r="AA2827" i="16"/>
  <c r="AA1014" i="16"/>
  <c r="AA2394" i="16"/>
  <c r="AA3210" i="16"/>
  <c r="AA2713" i="16"/>
  <c r="AA2246" i="16"/>
  <c r="AA2849" i="16"/>
  <c r="AA3164" i="16"/>
  <c r="AA818" i="16"/>
  <c r="AA2191" i="16"/>
  <c r="AA2114" i="16"/>
  <c r="AA2109" i="16"/>
  <c r="AA399" i="16"/>
  <c r="AA1227" i="16"/>
  <c r="AA2108" i="16"/>
  <c r="AA1559" i="16"/>
  <c r="AA1753" i="16"/>
  <c r="AA2667" i="16"/>
  <c r="AA1243" i="16"/>
  <c r="AA1972" i="16"/>
  <c r="AA1616" i="16"/>
  <c r="AA1821" i="16"/>
  <c r="AA1046" i="16"/>
  <c r="AA347" i="16"/>
  <c r="AA1108" i="16"/>
  <c r="AA3495" i="16"/>
  <c r="AA3405" i="16"/>
  <c r="AA1643" i="16"/>
  <c r="AA255" i="16"/>
  <c r="AA3159" i="16"/>
  <c r="AA1820" i="16"/>
  <c r="AA3184" i="16"/>
  <c r="AA884" i="16"/>
  <c r="AA784" i="16"/>
  <c r="AA2754" i="16"/>
  <c r="AA1628" i="16"/>
  <c r="AA1255" i="16"/>
  <c r="AA59" i="16"/>
  <c r="AA1893" i="16"/>
  <c r="AA2325" i="16"/>
  <c r="AA692" i="16"/>
  <c r="AA2212" i="16"/>
  <c r="AA1215" i="16"/>
  <c r="AA2700" i="16"/>
  <c r="AA2117" i="16"/>
  <c r="AA474" i="16"/>
  <c r="AA3310" i="16"/>
  <c r="AA1744" i="16"/>
  <c r="AA756" i="16"/>
  <c r="AA1019" i="16"/>
  <c r="AA3050" i="16"/>
  <c r="AA3409" i="16"/>
  <c r="AA2145" i="16"/>
  <c r="AA2877" i="16"/>
  <c r="AA249" i="16"/>
  <c r="AA3072" i="16"/>
  <c r="AA1220" i="16"/>
  <c r="AA3183" i="16"/>
  <c r="AA459" i="16"/>
  <c r="AA2106" i="16"/>
  <c r="AA1102" i="16"/>
  <c r="AA2661" i="16"/>
  <c r="AA3294" i="16"/>
  <c r="AA1785" i="16"/>
  <c r="AA2606" i="16"/>
  <c r="AA1706" i="16"/>
  <c r="AA2745" i="16"/>
  <c r="AA1499" i="16"/>
  <c r="AA163" i="16"/>
  <c r="AA1078" i="16"/>
  <c r="AA181" i="16"/>
  <c r="AA422" i="16"/>
  <c r="AA1720" i="16"/>
  <c r="AA3520" i="16"/>
  <c r="AA1186" i="16"/>
  <c r="AA33" i="16"/>
  <c r="AA1784" i="16"/>
  <c r="AA449" i="16"/>
  <c r="AA1240" i="16"/>
  <c r="AA587" i="16"/>
  <c r="AA2966" i="16"/>
  <c r="AA1259" i="16"/>
  <c r="AA3322" i="16"/>
  <c r="AA1438" i="16"/>
  <c r="AA493" i="16"/>
  <c r="AA2492" i="16"/>
  <c r="AA989" i="16"/>
  <c r="AA2095" i="16"/>
  <c r="AA32" i="16"/>
  <c r="AA1760" i="16"/>
  <c r="AA720" i="16"/>
  <c r="AA673" i="16"/>
  <c r="AA2165" i="16"/>
  <c r="AA1381" i="16"/>
  <c r="T43" i="16"/>
  <c r="T42" i="16"/>
  <c r="T66" i="16"/>
  <c r="T48" i="16"/>
  <c r="T55" i="16"/>
  <c r="T56" i="16"/>
  <c r="T89" i="16"/>
  <c r="T45" i="16"/>
  <c r="T79" i="16"/>
  <c r="T53" i="16"/>
  <c r="T39" i="16"/>
  <c r="T36" i="16"/>
  <c r="T57" i="16"/>
  <c r="T73" i="16"/>
  <c r="T71" i="16"/>
  <c r="T65" i="16"/>
  <c r="T33" i="16"/>
  <c r="U33" i="16" s="1" a="1"/>
  <c r="T58" i="16"/>
  <c r="T62" i="16"/>
  <c r="T90" i="16"/>
  <c r="T49" i="16"/>
  <c r="T63" i="16"/>
  <c r="T97" i="16"/>
  <c r="T96" i="16"/>
  <c r="T51" i="16"/>
  <c r="T37" i="16"/>
  <c r="T86" i="16"/>
  <c r="T100" i="16"/>
  <c r="T94" i="16"/>
  <c r="T80" i="16"/>
  <c r="T34" i="16"/>
  <c r="T61" i="16"/>
  <c r="T38" i="16"/>
  <c r="T91" i="16"/>
  <c r="T75" i="16"/>
  <c r="T46" i="16"/>
  <c r="T83" i="16"/>
  <c r="T87" i="16"/>
  <c r="T19" i="16"/>
  <c r="U19" i="16" s="1"/>
  <c r="T84" i="16"/>
  <c r="U84" i="16" s="1" a="1"/>
  <c r="T98" i="16"/>
  <c r="T85" i="16"/>
  <c r="T64" i="16"/>
  <c r="T72" i="16"/>
  <c r="T70" i="16"/>
  <c r="T92" i="16"/>
  <c r="T59" i="16"/>
  <c r="T74" i="16"/>
  <c r="T82" i="16"/>
  <c r="T52" i="16"/>
  <c r="T88" i="16"/>
  <c r="T35" i="16"/>
  <c r="T60" i="16"/>
  <c r="T95" i="16"/>
  <c r="T47" i="16"/>
  <c r="T40" i="16"/>
  <c r="T44" i="16"/>
  <c r="T93" i="16"/>
  <c r="T99" i="16"/>
  <c r="T76" i="16"/>
  <c r="T81" i="16"/>
  <c r="D24" i="6"/>
  <c r="D25" i="6"/>
  <c r="K8" i="16"/>
  <c r="J16" i="16"/>
  <c r="K6" i="16"/>
  <c r="K15" i="16"/>
  <c r="J15" i="16"/>
  <c r="J13" i="16"/>
  <c r="J14" i="16"/>
  <c r="K12" i="16"/>
  <c r="K5" i="16"/>
  <c r="K16" i="16"/>
  <c r="K13" i="16"/>
  <c r="J6" i="16"/>
  <c r="J8" i="16"/>
  <c r="J9" i="16"/>
  <c r="K14" i="16"/>
  <c r="K7" i="16"/>
  <c r="K10" i="16"/>
  <c r="J7" i="16"/>
  <c r="J3" i="16"/>
  <c r="K11" i="16"/>
  <c r="J12" i="16"/>
  <c r="J4" i="16"/>
  <c r="J11" i="16"/>
  <c r="J10" i="16"/>
  <c r="K4" i="16"/>
  <c r="K3" i="16"/>
  <c r="J5" i="16"/>
  <c r="K9" i="16"/>
  <c r="U33" i="16" l="1"/>
  <c r="U69" i="16"/>
  <c r="G7" i="16"/>
  <c r="G13" i="16"/>
  <c r="G12" i="16"/>
  <c r="G9" i="16"/>
  <c r="G8" i="16"/>
  <c r="G6" i="16"/>
  <c r="G5" i="16"/>
  <c r="G3" i="16"/>
  <c r="G14" i="16"/>
  <c r="G10" i="16"/>
  <c r="G11" i="16"/>
  <c r="G4" i="16"/>
  <c r="G15" i="16"/>
  <c r="G16" i="16"/>
  <c r="U84" i="16"/>
  <c r="H3" i="16"/>
  <c r="H14" i="16"/>
  <c r="I14" i="16"/>
  <c r="H16" i="16"/>
  <c r="H9" i="16"/>
  <c r="H4" i="16"/>
  <c r="I4" i="16" s="1"/>
  <c r="H12" i="16"/>
  <c r="H8" i="16"/>
  <c r="H11" i="16"/>
  <c r="H5" i="16"/>
  <c r="H10" i="16"/>
  <c r="H13" i="16"/>
  <c r="I13" i="16"/>
  <c r="H6" i="16"/>
  <c r="H7" i="16"/>
  <c r="H15" i="16"/>
  <c r="I11" i="16" l="1"/>
  <c r="I16" i="16"/>
  <c r="I7" i="16"/>
  <c r="I9" i="16"/>
  <c r="I12" i="16"/>
  <c r="I15" i="16"/>
  <c r="I5" i="16"/>
  <c r="I10" i="16"/>
  <c r="I3" i="16"/>
  <c r="I8" i="16"/>
  <c r="I6" i="16"/>
  <c r="C27"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<sst xmlns="http://schemas.openxmlformats.org/spreadsheetml/2006/main" count="583" uniqueCount="190">
  <si>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</si>
  <si>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</si>
  <si>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</si>
  <si>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</si>
  <si>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</si>
  <si>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</si>
  <si>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</si>
  <si>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</si>
  <si>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</si>
  <si>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</si>
  <si>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</si>
  <si>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</si>
  <si>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</si>
  <si>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</si>
  <si>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</si>
  <si>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</si>
  <si>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</si>
  <si>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</si>
  <si>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</si>
  <si>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</si>
  <si>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</si>
  <si>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</si>
  <si>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</si>
  <si>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</si>
  <si>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</si>
  <si>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</si>
  <si>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</si>
  <si>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</si>
  <si>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</si>
  <si>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</si>
  <si>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</si>
  <si>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</si>
  <si>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</si>
  <si>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</si>
  <si>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</si>
  <si>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</si>
  <si>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</si>
  <si>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</si>
  <si>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</si>
  <si>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</si>
  <si>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</si>
  <si>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</si>
  <si>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</si>
  <si>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</si>
  <si>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</si>
  <si>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</si>
  <si>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</si>
  <si>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</si>
  <si>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</si>
  <si>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</si>
  <si>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</si>
  <si>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</si>
  <si>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</si>
  <si>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</si>
  <si>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</si>
  <si>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</si>
  <si>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</si>
  <si>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</si>
  <si>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</si>
  <si>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</si>
  <si>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</si>
  <si>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</si>
  <si>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</si>
  <si>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</si>
  <si>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</si>
  <si>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</si>
  <si>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</si>
  <si>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</si>
  <si>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</si>
  <si>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</si>
  <si>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</si>
  <si>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</si>
  <si>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</si>
  <si>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</si>
  <si>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</si>
  <si>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</si>
  <si>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</si>
  <si>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</si>
  <si>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</si>
  <si>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</si>
  <si>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</si>
  <si>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</si>
  <si>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</si>
  <si>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</si>
  <si>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</si>
  <si>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</si>
  <si>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</si>
  <si>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</si>
  <si>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</si>
  <si>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</si>
  <si>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</si>
  <si>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</si>
  <si>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</si>
  <si>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</si>
  <si>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</si>
  <si>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</si>
  <si>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</si>
  <si>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</si>
  <si>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</si>
  <si>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</si>
  <si>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</si>
  <si>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</si>
  <si>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</si>
  <si>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</si>
  <si>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</si>
  <si>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</si>
  <si>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</si>
  <si>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</si>
  <si>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</si>
  <si>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</si>
  <si>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</si>
  <si>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</si>
  <si>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</si>
  <si>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</si>
  <si>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</si>
  <si>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</si>
  <si>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</si>
  <si>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</si>
  <si>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</si>
  <si>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</si>
  <si>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</si>
  <si>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</si>
  <si>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</si>
  <si>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</si>
  <si>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</si>
  <si>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</si>
  <si>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</si>
  <si>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</si>
  <si>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</si>
  <si>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</si>
  <si>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</si>
  <si>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</si>
  <si>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</si>
  <si>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</si>
  <si>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</si>
  <si>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</si>
  <si>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</si>
  <si>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</si>
  <si>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</si>
  <si>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</si>
  <si>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</si>
  <si>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</si>
  <si>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</si>
  <si>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</si>
  <si>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</si>
  <si>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</si>
  <si>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</si>
  <si>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</si>
  <si>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</si>
  <si>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</si>
  <si>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</si>
  <si>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</si>
  <si>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</si>
  <si>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</si>
  <si>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</si>
  <si>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</si>
  <si>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</si>
  <si>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</si>
  <si>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</si>
  <si>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</si>
  <si>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</si>
  <si>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</si>
  <si>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</si>
  <si>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</si>
  <si>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</si>
  <si>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</si>
  <si>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</si>
  <si>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</si>
  <si>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</si>
  <si>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</si>
  <si>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</si>
  <si>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</si>
  <si>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</si>
  <si>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</si>
  <si>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</si>
  <si>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</si>
  <si>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</si>
  <si>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</si>
  <si>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</si>
  <si>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</si>
  <si>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</si>
  <si>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</si>
  <si>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</si>
  <si>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</si>
  <si>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</si>
  <si>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</si>
  <si>
    <t>IMM</t>
  </si>
  <si>
    <t>Future Type</t>
  </si>
  <si>
    <t>Future Date</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</si>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</sst>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 numFmtId="180" formatCode="dd\-mmm\-yy"/>
  </numFmts>
  <fonts count="25"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u/>
      <sz val="8"/>
      <name val="Courier New"/>
      <family val="3"/>
    </font>
    <font>
      <i/>
      <sz val="8"/>
      <name val="Courier New"/>
      <family val="3"/>
    </font>
    <font>
      <b/>
      <u/>
      <sz val="8"/>
      <name val="Courier New"/>
      <family val="3"/>
    </font>
    <font>
      <sz val="10"/>
      <name val="Courier New"/>
      <family val="3"/>
    </font>
    <font>
      <sz val="8"/>
      <color indexed="9"/>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 fillId="0" borderId="0" applyFont="0" applyFill="0" applyBorder="0" applyAlignment="0" applyProtection="0"/>
    <xf numFmtId="178" fontId="15" fillId="0" borderId="0" applyFont="0" applyFill="0" applyBorder="0" applyAlignment="0" applyProtection="0"/>
    <xf numFmtId="0" fontId="15" fillId="0" borderId="0"/>
    <xf numFmtId="9" fontId="1" fillId="0" borderId="0" applyFont="0" applyFill="0" applyBorder="0" applyAlignment="0" applyProtection="0"/>
  </cellStyleXfs>
  <cellXfs count="334">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0" fontId="2" fillId="2" borderId="20" xfId="2"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4" xfId="1" quotePrefix="1" applyNumberFormat="1" applyFont="1" applyFill="1" applyBorder="1" applyAlignment="1" applyProtection="1">
      <alignment horizontal="center"/>
    </xf>
    <xf numFmtId="0" fontId="13" fillId="4" borderId="23" xfId="1" applyFont="1" applyFill="1" applyBorder="1"/>
    <xf numFmtId="0" fontId="12" fillId="2" borderId="5" xfId="1" applyFont="1" applyFill="1" applyBorder="1"/>
    <xf numFmtId="171" fontId="8" fillId="3" borderId="24"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3" xfId="1" applyNumberFormat="1" applyFont="1" applyFill="1" applyBorder="1"/>
    <xf numFmtId="0" fontId="8" fillId="2" borderId="5" xfId="1" applyFont="1" applyFill="1" applyBorder="1"/>
    <xf numFmtId="171" fontId="8" fillId="3" borderId="24"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18"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19"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18"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18"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18"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11" borderId="0" xfId="0" applyFont="1" applyFill="1" applyBorder="1"/>
    <xf numFmtId="0" fontId="18" fillId="11" borderId="4" xfId="0" applyFont="1" applyFill="1" applyBorder="1"/>
    <xf numFmtId="0" fontId="18" fillId="11" borderId="2" xfId="0" applyFont="1" applyFill="1" applyBorder="1"/>
    <xf numFmtId="0" fontId="18" fillId="11" borderId="1" xfId="0" applyFont="1" applyFill="1" applyBorder="1"/>
    <xf numFmtId="0" fontId="18" fillId="11" borderId="29" xfId="0" applyFont="1" applyFill="1" applyBorder="1"/>
    <xf numFmtId="165" fontId="18" fillId="11" borderId="29" xfId="0" applyNumberFormat="1" applyFont="1" applyFill="1" applyBorder="1"/>
    <xf numFmtId="179" fontId="18" fillId="11" borderId="29" xfId="0" applyNumberFormat="1" applyFont="1" applyFill="1" applyBorder="1"/>
    <xf numFmtId="179" fontId="18" fillId="14" borderId="29" xfId="0" applyNumberFormat="1" applyFont="1" applyFill="1" applyBorder="1"/>
    <xf numFmtId="0" fontId="18" fillId="11" borderId="28" xfId="0" applyFont="1" applyFill="1" applyBorder="1"/>
    <xf numFmtId="165" fontId="18" fillId="11" borderId="28" xfId="0" applyNumberFormat="1" applyFont="1" applyFill="1" applyBorder="1"/>
    <xf numFmtId="179" fontId="18" fillId="11" borderId="28" xfId="0" applyNumberFormat="1" applyFont="1" applyFill="1" applyBorder="1"/>
    <xf numFmtId="179" fontId="18" fillId="14" borderId="28" xfId="0" applyNumberFormat="1" applyFont="1" applyFill="1" applyBorder="1"/>
    <xf numFmtId="0" fontId="18" fillId="11" borderId="27" xfId="0" applyFont="1" applyFill="1" applyBorder="1"/>
    <xf numFmtId="165" fontId="18" fillId="11" borderId="27" xfId="0" applyNumberFormat="1" applyFont="1" applyFill="1" applyBorder="1"/>
    <xf numFmtId="179" fontId="18" fillId="11" borderId="27" xfId="0" applyNumberFormat="1" applyFont="1" applyFill="1" applyBorder="1"/>
    <xf numFmtId="179" fontId="18" fillId="14" borderId="27" xfId="0" applyNumberFormat="1" applyFont="1" applyFill="1" applyBorder="1"/>
    <xf numFmtId="10" fontId="2" fillId="14" borderId="36" xfId="1" applyNumberFormat="1" applyFont="1" applyFill="1" applyBorder="1"/>
    <xf numFmtId="10" fontId="2" fillId="14" borderId="38" xfId="1" applyNumberFormat="1" applyFont="1" applyFill="1" applyBorder="1"/>
    <xf numFmtId="0" fontId="2" fillId="2" borderId="31" xfId="1" applyFont="1" applyFill="1" applyBorder="1" applyAlignment="1">
      <alignment horizontal="left"/>
    </xf>
    <xf numFmtId="0" fontId="2" fillId="2" borderId="32" xfId="1" applyFont="1" applyFill="1" applyBorder="1" applyAlignment="1">
      <alignment horizontal="left"/>
    </xf>
    <xf numFmtId="0" fontId="2" fillId="2" borderId="32" xfId="1" applyFont="1" applyFill="1" applyBorder="1"/>
    <xf numFmtId="0" fontId="20" fillId="2" borderId="30" xfId="1" applyFont="1" applyFill="1" applyBorder="1"/>
    <xf numFmtId="0" fontId="2" fillId="2" borderId="5" xfId="1" applyFont="1" applyFill="1" applyBorder="1" applyAlignment="1">
      <alignment horizontal="center"/>
    </xf>
    <xf numFmtId="0" fontId="2" fillId="2" borderId="0" xfId="1" applyFont="1" applyFill="1" applyBorder="1"/>
    <xf numFmtId="0" fontId="21" fillId="2" borderId="23" xfId="1" applyFont="1" applyFill="1" applyBorder="1" applyAlignment="1">
      <alignment horizontal="left" vertical="center"/>
    </xf>
    <xf numFmtId="0" fontId="20" fillId="2" borderId="4" xfId="1" applyFont="1" applyFill="1" applyBorder="1"/>
    <xf numFmtId="0" fontId="2"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0" fontId="2" fillId="2" borderId="23" xfId="1" applyFont="1" applyFill="1" applyBorder="1"/>
    <xf numFmtId="172" fontId="3" fillId="3" borderId="23" xfId="1" applyNumberFormat="1" applyFont="1" applyFill="1" applyBorder="1" applyAlignment="1" applyProtection="1">
      <alignment horizontal="left"/>
    </xf>
    <xf numFmtId="0" fontId="2" fillId="2" borderId="29" xfId="1" applyNumberFormat="1" applyFont="1" applyFill="1" applyBorder="1" applyAlignment="1">
      <alignment horizontal="center"/>
    </xf>
    <xf numFmtId="0" fontId="2" fillId="0" borderId="29" xfId="3" applyNumberFormat="1" applyFont="1" applyFill="1" applyBorder="1" applyAlignment="1">
      <alignment horizontal="center"/>
    </xf>
    <xf numFmtId="0" fontId="2" fillId="2" borderId="29" xfId="1" applyFont="1" applyFill="1" applyBorder="1" applyAlignment="1">
      <alignment horizontal="center"/>
    </xf>
    <xf numFmtId="166" fontId="2" fillId="2" borderId="29" xfId="1" applyNumberFormat="1" applyFont="1" applyFill="1" applyBorder="1" applyAlignment="1"/>
    <xf numFmtId="0" fontId="2" fillId="2" borderId="29" xfId="1" applyNumberFormat="1" applyFont="1" applyFill="1" applyBorder="1" applyAlignment="1">
      <alignment horizontal="left"/>
    </xf>
    <xf numFmtId="0" fontId="2" fillId="2" borderId="29" xfId="1" applyNumberFormat="1" applyFont="1" applyFill="1" applyBorder="1" applyAlignment="1"/>
    <xf numFmtId="0" fontId="2" fillId="3" borderId="29" xfId="1" applyNumberFormat="1" applyFont="1" applyFill="1" applyBorder="1" applyAlignment="1" applyProtection="1">
      <alignment horizontal="left" vertical="center"/>
    </xf>
    <xf numFmtId="0" fontId="2" fillId="0" borderId="31" xfId="1" applyFont="1" applyBorder="1"/>
    <xf numFmtId="0" fontId="2" fillId="0" borderId="32" xfId="1" applyFont="1" applyBorder="1" applyAlignment="1">
      <alignment horizontal="center"/>
    </xf>
    <xf numFmtId="0" fontId="2" fillId="0" borderId="30" xfId="1" applyFont="1" applyBorder="1" applyAlignment="1">
      <alignment horizontal="center"/>
    </xf>
    <xf numFmtId="0" fontId="2" fillId="2" borderId="28" xfId="1" applyNumberFormat="1" applyFont="1" applyFill="1" applyBorder="1" applyAlignment="1">
      <alignment horizontal="center"/>
    </xf>
    <xf numFmtId="0" fontId="2" fillId="0" borderId="28" xfId="3" applyNumberFormat="1" applyFont="1" applyFill="1" applyBorder="1" applyAlignment="1">
      <alignment horizontal="center"/>
    </xf>
    <xf numFmtId="166" fontId="2" fillId="2" borderId="28" xfId="1" applyNumberFormat="1" applyFont="1" applyFill="1" applyBorder="1" applyAlignment="1"/>
    <xf numFmtId="0" fontId="2" fillId="2" borderId="28" xfId="1" applyNumberFormat="1" applyFont="1" applyFill="1" applyBorder="1" applyAlignment="1">
      <alignment horizontal="left"/>
    </xf>
    <xf numFmtId="0" fontId="2" fillId="2" borderId="28" xfId="1" applyNumberFormat="1" applyFont="1" applyFill="1" applyBorder="1" applyAlignment="1"/>
    <xf numFmtId="0" fontId="2" fillId="3" borderId="28" xfId="1" applyNumberFormat="1" applyFont="1" applyFill="1" applyBorder="1" applyAlignment="1" applyProtection="1">
      <alignment horizontal="left" vertical="center"/>
    </xf>
    <xf numFmtId="0" fontId="2" fillId="0" borderId="0" xfId="1" applyFont="1" applyBorder="1" applyAlignment="1">
      <alignment horizontal="center"/>
    </xf>
    <xf numFmtId="0" fontId="2" fillId="0" borderId="4"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2" borderId="27" xfId="1" applyNumberFormat="1" applyFont="1" applyFill="1" applyBorder="1" applyAlignment="1">
      <alignment horizontal="center"/>
    </xf>
    <xf numFmtId="0" fontId="2" fillId="0" borderId="27" xfId="3" applyNumberFormat="1" applyFont="1" applyFill="1" applyBorder="1" applyAlignment="1">
      <alignment horizontal="center"/>
    </xf>
    <xf numFmtId="0" fontId="2" fillId="2" borderId="27" xfId="1" applyFont="1" applyFill="1" applyBorder="1" applyAlignment="1">
      <alignment horizontal="center"/>
    </xf>
    <xf numFmtId="166" fontId="2" fillId="2" borderId="27" xfId="1" applyNumberFormat="1" applyFont="1" applyFill="1" applyBorder="1" applyAlignment="1"/>
    <xf numFmtId="0" fontId="2" fillId="2" borderId="27" xfId="1" applyNumberFormat="1" applyFont="1" applyFill="1" applyBorder="1" applyAlignment="1">
      <alignment horizontal="left"/>
    </xf>
    <xf numFmtId="0" fontId="2" fillId="2" borderId="27" xfId="1" applyNumberFormat="1" applyFont="1" applyFill="1" applyBorder="1" applyAlignment="1"/>
    <xf numFmtId="0" fontId="2" fillId="3" borderId="27" xfId="1" applyNumberFormat="1" applyFont="1" applyFill="1" applyBorder="1" applyAlignment="1" applyProtection="1">
      <alignment horizontal="left" vertical="center"/>
    </xf>
    <xf numFmtId="0" fontId="2" fillId="2" borderId="3" xfId="1" applyFont="1" applyFill="1" applyBorder="1"/>
    <xf numFmtId="0" fontId="2" fillId="2" borderId="2" xfId="1" applyFont="1" applyFill="1" applyBorder="1"/>
    <xf numFmtId="0" fontId="20" fillId="2" borderId="1" xfId="1" applyFont="1" applyFill="1" applyBorder="1"/>
    <xf numFmtId="0" fontId="2" fillId="8" borderId="29" xfId="1" applyNumberFormat="1" applyFont="1" applyFill="1" applyBorder="1" applyAlignment="1">
      <alignment horizontal="center"/>
    </xf>
    <xf numFmtId="0" fontId="2" fillId="2" borderId="29" xfId="1" applyFont="1" applyFill="1" applyBorder="1" applyAlignment="1"/>
    <xf numFmtId="0" fontId="2" fillId="2" borderId="28" xfId="1" applyFont="1" applyFill="1" applyBorder="1" applyAlignment="1"/>
    <xf numFmtId="0" fontId="2" fillId="0" borderId="30" xfId="1" applyFont="1" applyBorder="1"/>
    <xf numFmtId="0" fontId="2" fillId="0" borderId="4" xfId="1" applyFont="1" applyBorder="1"/>
    <xf numFmtId="0" fontId="2" fillId="0" borderId="1" xfId="1" applyFont="1" applyBorder="1"/>
    <xf numFmtId="0" fontId="2" fillId="2" borderId="27" xfId="1" applyFont="1" applyFill="1" applyBorder="1" applyAlignment="1"/>
    <xf numFmtId="0" fontId="2" fillId="2" borderId="2" xfId="1" applyFont="1" applyFill="1" applyBorder="1" applyAlignment="1">
      <alignment horizontal="left"/>
    </xf>
    <xf numFmtId="0" fontId="2" fillId="2" borderId="1" xfId="1" applyFont="1" applyFill="1" applyBorder="1" applyAlignment="1">
      <alignment horizontal="left"/>
    </xf>
    <xf numFmtId="0" fontId="22"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1" fillId="2" borderId="23" xfId="1" applyFont="1" applyFill="1" applyBorder="1" applyAlignment="1">
      <alignment horizontal="center" vertical="center"/>
    </xf>
    <xf numFmtId="0" fontId="2" fillId="2" borderId="0" xfId="1" applyFont="1" applyFill="1"/>
    <xf numFmtId="0" fontId="2" fillId="2" borderId="4" xfId="1" applyFont="1" applyFill="1" applyBorder="1"/>
    <xf numFmtId="0" fontId="23" fillId="0" borderId="0" xfId="1" applyFont="1"/>
    <xf numFmtId="0" fontId="2" fillId="2" borderId="26" xfId="1" applyFont="1" applyFill="1" applyBorder="1" applyAlignment="1">
      <alignment horizontal="center" vertical="center" wrapText="1"/>
    </xf>
    <xf numFmtId="0" fontId="2" fillId="2" borderId="24" xfId="1" applyFont="1" applyFill="1" applyBorder="1" applyAlignment="1">
      <alignment horizontal="center" vertical="center" wrapText="1"/>
    </xf>
    <xf numFmtId="0" fontId="3" fillId="3" borderId="23" xfId="1" applyNumberFormat="1" applyFont="1" applyFill="1" applyBorder="1" applyAlignment="1" applyProtection="1">
      <alignment horizontal="left" vertical="center"/>
    </xf>
    <xf numFmtId="0" fontId="24" fillId="2" borderId="5" xfId="1" applyFont="1" applyFill="1" applyBorder="1"/>
    <xf numFmtId="0" fontId="2" fillId="2" borderId="29" xfId="1" quotePrefix="1" applyFont="1" applyFill="1" applyBorder="1" applyAlignment="1">
      <alignment horizontal="center"/>
    </xf>
    <xf numFmtId="180" fontId="2" fillId="2" borderId="29" xfId="1" quotePrefix="1" applyNumberFormat="1" applyFont="1" applyFill="1" applyBorder="1" applyAlignment="1">
      <alignment horizontal="center"/>
    </xf>
    <xf numFmtId="0" fontId="2" fillId="2" borderId="29" xfId="3" applyNumberFormat="1" applyFont="1" applyFill="1" applyBorder="1" applyAlignment="1">
      <alignment horizontal="left"/>
    </xf>
    <xf numFmtId="173" fontId="2" fillId="2" borderId="29" xfId="3" applyNumberFormat="1" applyFont="1" applyFill="1" applyBorder="1" applyAlignment="1"/>
    <xf numFmtId="172" fontId="3" fillId="3" borderId="29" xfId="1" applyNumberFormat="1" applyFont="1" applyFill="1" applyBorder="1" applyAlignment="1" applyProtection="1">
      <alignment horizontal="left"/>
    </xf>
    <xf numFmtId="172" fontId="23" fillId="0" borderId="0" xfId="1" applyNumberFormat="1" applyFont="1"/>
    <xf numFmtId="0" fontId="2" fillId="2" borderId="28" xfId="1" quotePrefix="1" applyFont="1" applyFill="1" applyBorder="1" applyAlignment="1">
      <alignment horizontal="center"/>
    </xf>
    <xf numFmtId="180" fontId="2" fillId="2" borderId="28" xfId="1" quotePrefix="1" applyNumberFormat="1" applyFont="1" applyFill="1" applyBorder="1" applyAlignment="1">
      <alignment horizontal="center"/>
    </xf>
    <xf numFmtId="0" fontId="2" fillId="2" borderId="28" xfId="3" applyNumberFormat="1" applyFont="1" applyFill="1" applyBorder="1" applyAlignment="1">
      <alignment horizontal="left"/>
    </xf>
    <xf numFmtId="173" fontId="2" fillId="2" borderId="28" xfId="3" applyNumberFormat="1" applyFont="1" applyFill="1" applyBorder="1" applyAlignment="1"/>
    <xf numFmtId="172" fontId="3" fillId="3" borderId="28" xfId="1" applyNumberFormat="1" applyFont="1" applyFill="1" applyBorder="1" applyAlignment="1" applyProtection="1">
      <alignment horizontal="left"/>
    </xf>
    <xf numFmtId="0" fontId="2" fillId="2" borderId="27" xfId="1" quotePrefix="1" applyFont="1" applyFill="1" applyBorder="1" applyAlignment="1">
      <alignment horizontal="center"/>
    </xf>
    <xf numFmtId="180" fontId="2" fillId="2" borderId="27" xfId="1" quotePrefix="1" applyNumberFormat="1" applyFont="1" applyFill="1" applyBorder="1" applyAlignment="1">
      <alignment horizontal="center"/>
    </xf>
    <xf numFmtId="0" fontId="2" fillId="2" borderId="27" xfId="3" applyNumberFormat="1" applyFont="1" applyFill="1" applyBorder="1" applyAlignment="1">
      <alignment horizontal="left"/>
    </xf>
    <xf numFmtId="173" fontId="2" fillId="2" borderId="27" xfId="3" applyNumberFormat="1" applyFont="1" applyFill="1" applyBorder="1" applyAlignment="1"/>
    <xf numFmtId="172" fontId="3" fillId="3" borderId="27" xfId="1" applyNumberFormat="1" applyFont="1" applyFill="1" applyBorder="1" applyAlignment="1" applyProtection="1">
      <alignment horizontal="left"/>
    </xf>
    <xf numFmtId="0" fontId="24" fillId="2" borderId="3" xfId="1" applyFont="1" applyFill="1" applyBorder="1"/>
    <xf numFmtId="0" fontId="24" fillId="2" borderId="2" xfId="1" applyFont="1" applyFill="1" applyBorder="1"/>
    <xf numFmtId="0" fontId="2" fillId="2" borderId="1" xfId="1" applyFont="1" applyFill="1" applyBorder="1"/>
    <xf numFmtId="0" fontId="2" fillId="2" borderId="32" xfId="1" applyFont="1" applyFill="1" applyBorder="1" applyAlignment="1">
      <alignment horizontal="center"/>
    </xf>
    <xf numFmtId="0" fontId="2" fillId="2" borderId="30"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3" fillId="3" borderId="29" xfId="1" applyNumberFormat="1" applyFont="1" applyFill="1" applyBorder="1" applyAlignment="1" applyProtection="1"/>
    <xf numFmtId="0" fontId="3" fillId="3" borderId="28" xfId="1" applyNumberFormat="1" applyFont="1" applyFill="1" applyBorder="1" applyAlignment="1" applyProtection="1"/>
    <xf numFmtId="0" fontId="3" fillId="3" borderId="27" xfId="1" applyNumberFormat="1" applyFont="1" applyFill="1" applyBorder="1" applyAlignment="1" applyProtection="1"/>
    <xf numFmtId="173" fontId="2" fillId="2" borderId="27" xfId="1" applyNumberFormat="1" applyFont="1" applyFill="1" applyBorder="1" applyAlignment="1"/>
    <xf numFmtId="0" fontId="2" fillId="3" borderId="24" xfId="1" applyNumberFormat="1" applyFont="1" applyFill="1" applyBorder="1" applyAlignment="1" applyProtection="1">
      <alignment horizontal="center" vertical="center"/>
    </xf>
    <xf numFmtId="0" fontId="4" fillId="2" borderId="29" xfId="1" applyFont="1" applyFill="1" applyBorder="1" applyAlignment="1">
      <alignment horizontal="center" vertical="center" wrapText="1"/>
    </xf>
    <xf numFmtId="173" fontId="2" fillId="2" borderId="29" xfId="1" applyNumberFormat="1" applyFont="1" applyFill="1" applyBorder="1" applyAlignment="1"/>
    <xf numFmtId="173" fontId="2" fillId="11" borderId="29" xfId="1" applyNumberFormat="1" applyFont="1" applyFill="1" applyBorder="1" applyAlignment="1">
      <alignment horizontal="left"/>
    </xf>
    <xf numFmtId="0" fontId="4" fillId="2" borderId="28" xfId="1" applyFont="1" applyFill="1" applyBorder="1" applyAlignment="1">
      <alignment horizontal="center"/>
    </xf>
    <xf numFmtId="173" fontId="2" fillId="2" borderId="28" xfId="1" applyNumberFormat="1" applyFont="1" applyFill="1" applyBorder="1" applyAlignment="1"/>
    <xf numFmtId="173" fontId="2" fillId="11" borderId="28" xfId="1" applyNumberFormat="1" applyFont="1" applyFill="1" applyBorder="1" applyAlignment="1">
      <alignment horizontal="left"/>
    </xf>
    <xf numFmtId="0" fontId="4" fillId="2" borderId="27" xfId="1" applyFont="1" applyFill="1" applyBorder="1" applyAlignment="1">
      <alignment horizontal="center"/>
    </xf>
    <xf numFmtId="173" fontId="2" fillId="11" borderId="27" xfId="1" applyNumberFormat="1" applyFont="1" applyFill="1" applyBorder="1" applyAlignment="1">
      <alignment horizontal="left"/>
    </xf>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5" fontId="18" fillId="0" borderId="23" xfId="0" applyNumberFormat="1" applyFont="1" applyBorder="1"/>
    <xf numFmtId="165" fontId="18" fillId="0" borderId="23" xfId="0" applyNumberFormat="1" applyFont="1" applyBorder="1" applyAlignment="1">
      <alignment vertical="center"/>
    </xf>
    <xf numFmtId="0" fontId="2" fillId="11" borderId="3" xfId="1" applyFont="1" applyFill="1" applyBorder="1" applyAlignment="1">
      <alignment horizontal="center"/>
    </xf>
    <xf numFmtId="0" fontId="2" fillId="11" borderId="2" xfId="1" applyFont="1" applyFill="1" applyBorder="1"/>
    <xf numFmtId="0" fontId="2" fillId="11" borderId="2" xfId="1" applyFont="1" applyFill="1" applyBorder="1" applyAlignment="1">
      <alignment horizontal="left"/>
    </xf>
    <xf numFmtId="0" fontId="2" fillId="11" borderId="1" xfId="1" applyFont="1" applyFill="1" applyBorder="1"/>
    <xf numFmtId="0" fontId="14" fillId="7" borderId="14" xfId="2" applyFont="1" applyFill="1" applyBorder="1" applyAlignment="1">
      <alignment horizontal="center"/>
    </xf>
    <xf numFmtId="0" fontId="14" fillId="7" borderId="33" xfId="2" applyFont="1" applyFill="1" applyBorder="1" applyAlignment="1">
      <alignment horizontal="center"/>
    </xf>
    <xf numFmtId="0" fontId="14" fillId="0" borderId="13" xfId="1" applyFont="1" applyBorder="1" applyAlignment="1"/>
    <xf numFmtId="0" fontId="14"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42258</c:v>
                </c:pt>
                <c:pt idx="1">
                  <c:v>42261</c:v>
                </c:pt>
                <c:pt idx="2">
                  <c:v>42262</c:v>
                </c:pt>
                <c:pt idx="3">
                  <c:v>42263</c:v>
                </c:pt>
                <c:pt idx="4">
                  <c:v>42264</c:v>
                </c:pt>
                <c:pt idx="5">
                  <c:v>42265</c:v>
                </c:pt>
                <c:pt idx="6">
                  <c:v>42268</c:v>
                </c:pt>
                <c:pt idx="7">
                  <c:v>42269</c:v>
                </c:pt>
                <c:pt idx="8">
                  <c:v>42270</c:v>
                </c:pt>
                <c:pt idx="9">
                  <c:v>42271</c:v>
                </c:pt>
                <c:pt idx="10">
                  <c:v>42272</c:v>
                </c:pt>
                <c:pt idx="11">
                  <c:v>42275</c:v>
                </c:pt>
                <c:pt idx="12">
                  <c:v>42276</c:v>
                </c:pt>
                <c:pt idx="13">
                  <c:v>42277</c:v>
                </c:pt>
                <c:pt idx="14">
                  <c:v>42278</c:v>
                </c:pt>
                <c:pt idx="15">
                  <c:v>42279</c:v>
                </c:pt>
                <c:pt idx="16">
                  <c:v>42282</c:v>
                </c:pt>
                <c:pt idx="17">
                  <c:v>42283</c:v>
                </c:pt>
                <c:pt idx="18">
                  <c:v>42284</c:v>
                </c:pt>
                <c:pt idx="19">
                  <c:v>42285</c:v>
                </c:pt>
                <c:pt idx="20">
                  <c:v>42286</c:v>
                </c:pt>
                <c:pt idx="21">
                  <c:v>42289</c:v>
                </c:pt>
                <c:pt idx="22">
                  <c:v>42290</c:v>
                </c:pt>
                <c:pt idx="23">
                  <c:v>42291</c:v>
                </c:pt>
                <c:pt idx="24">
                  <c:v>42292</c:v>
                </c:pt>
                <c:pt idx="25">
                  <c:v>42293</c:v>
                </c:pt>
                <c:pt idx="26">
                  <c:v>42296</c:v>
                </c:pt>
                <c:pt idx="27">
                  <c:v>42297</c:v>
                </c:pt>
                <c:pt idx="28">
                  <c:v>42298</c:v>
                </c:pt>
                <c:pt idx="29">
                  <c:v>42299</c:v>
                </c:pt>
                <c:pt idx="30">
                  <c:v>42300</c:v>
                </c:pt>
                <c:pt idx="31">
                  <c:v>42303</c:v>
                </c:pt>
                <c:pt idx="32">
                  <c:v>42304</c:v>
                </c:pt>
                <c:pt idx="33">
                  <c:v>42305</c:v>
                </c:pt>
                <c:pt idx="34">
                  <c:v>42306</c:v>
                </c:pt>
                <c:pt idx="35">
                  <c:v>42307</c:v>
                </c:pt>
                <c:pt idx="36">
                  <c:v>42310</c:v>
                </c:pt>
                <c:pt idx="37">
                  <c:v>42311</c:v>
                </c:pt>
                <c:pt idx="38">
                  <c:v>42312</c:v>
                </c:pt>
                <c:pt idx="39">
                  <c:v>42313</c:v>
                </c:pt>
                <c:pt idx="40">
                  <c:v>42314</c:v>
                </c:pt>
                <c:pt idx="41">
                  <c:v>42317</c:v>
                </c:pt>
                <c:pt idx="42">
                  <c:v>42318</c:v>
                </c:pt>
                <c:pt idx="43">
                  <c:v>42319</c:v>
                </c:pt>
                <c:pt idx="44">
                  <c:v>42320</c:v>
                </c:pt>
                <c:pt idx="45">
                  <c:v>42321</c:v>
                </c:pt>
                <c:pt idx="46">
                  <c:v>42324</c:v>
                </c:pt>
                <c:pt idx="47">
                  <c:v>42325</c:v>
                </c:pt>
                <c:pt idx="48">
                  <c:v>42326</c:v>
                </c:pt>
                <c:pt idx="49">
                  <c:v>42327</c:v>
                </c:pt>
                <c:pt idx="50">
                  <c:v>42328</c:v>
                </c:pt>
                <c:pt idx="51">
                  <c:v>42331</c:v>
                </c:pt>
                <c:pt idx="52">
                  <c:v>42332</c:v>
                </c:pt>
                <c:pt idx="53">
                  <c:v>42333</c:v>
                </c:pt>
                <c:pt idx="54">
                  <c:v>42334</c:v>
                </c:pt>
                <c:pt idx="55">
                  <c:v>42335</c:v>
                </c:pt>
                <c:pt idx="56">
                  <c:v>42338</c:v>
                </c:pt>
                <c:pt idx="57">
                  <c:v>42339</c:v>
                </c:pt>
                <c:pt idx="58">
                  <c:v>42340</c:v>
                </c:pt>
                <c:pt idx="59">
                  <c:v>42341</c:v>
                </c:pt>
                <c:pt idx="60">
                  <c:v>42342</c:v>
                </c:pt>
                <c:pt idx="61">
                  <c:v>42345</c:v>
                </c:pt>
                <c:pt idx="62">
                  <c:v>42346</c:v>
                </c:pt>
                <c:pt idx="63">
                  <c:v>42347</c:v>
                </c:pt>
                <c:pt idx="64">
                  <c:v>42348</c:v>
                </c:pt>
                <c:pt idx="65">
                  <c:v>42349</c:v>
                </c:pt>
                <c:pt idx="66">
                  <c:v>42352</c:v>
                </c:pt>
                <c:pt idx="67">
                  <c:v>42353</c:v>
                </c:pt>
                <c:pt idx="68">
                  <c:v>42354</c:v>
                </c:pt>
                <c:pt idx="69">
                  <c:v>42355</c:v>
                </c:pt>
                <c:pt idx="70">
                  <c:v>42356</c:v>
                </c:pt>
                <c:pt idx="71">
                  <c:v>42359</c:v>
                </c:pt>
                <c:pt idx="72">
                  <c:v>42360</c:v>
                </c:pt>
                <c:pt idx="73">
                  <c:v>42361</c:v>
                </c:pt>
                <c:pt idx="74">
                  <c:v>42362</c:v>
                </c:pt>
                <c:pt idx="75">
                  <c:v>42366</c:v>
                </c:pt>
                <c:pt idx="76">
                  <c:v>42367</c:v>
                </c:pt>
                <c:pt idx="77">
                  <c:v>42368</c:v>
                </c:pt>
                <c:pt idx="78">
                  <c:v>42369</c:v>
                </c:pt>
                <c:pt idx="79">
                  <c:v>42373</c:v>
                </c:pt>
                <c:pt idx="80">
                  <c:v>42374</c:v>
                </c:pt>
                <c:pt idx="81">
                  <c:v>42375</c:v>
                </c:pt>
                <c:pt idx="82">
                  <c:v>42376</c:v>
                </c:pt>
                <c:pt idx="83">
                  <c:v>42377</c:v>
                </c:pt>
                <c:pt idx="84">
                  <c:v>42380</c:v>
                </c:pt>
                <c:pt idx="85">
                  <c:v>42381</c:v>
                </c:pt>
                <c:pt idx="86">
                  <c:v>42382</c:v>
                </c:pt>
                <c:pt idx="87">
                  <c:v>42383</c:v>
                </c:pt>
                <c:pt idx="88">
                  <c:v>42384</c:v>
                </c:pt>
                <c:pt idx="89">
                  <c:v>42387</c:v>
                </c:pt>
                <c:pt idx="90">
                  <c:v>42388</c:v>
                </c:pt>
                <c:pt idx="91">
                  <c:v>42389</c:v>
                </c:pt>
                <c:pt idx="92">
                  <c:v>42390</c:v>
                </c:pt>
                <c:pt idx="93">
                  <c:v>42391</c:v>
                </c:pt>
                <c:pt idx="94">
                  <c:v>42394</c:v>
                </c:pt>
                <c:pt idx="95">
                  <c:v>42395</c:v>
                </c:pt>
                <c:pt idx="96">
                  <c:v>42396</c:v>
                </c:pt>
                <c:pt idx="97">
                  <c:v>42397</c:v>
                </c:pt>
                <c:pt idx="98">
                  <c:v>42398</c:v>
                </c:pt>
                <c:pt idx="99">
                  <c:v>42401</c:v>
                </c:pt>
                <c:pt idx="100">
                  <c:v>42402</c:v>
                </c:pt>
                <c:pt idx="101">
                  <c:v>42403</c:v>
                </c:pt>
                <c:pt idx="102">
                  <c:v>42404</c:v>
                </c:pt>
                <c:pt idx="103">
                  <c:v>42405</c:v>
                </c:pt>
                <c:pt idx="104">
                  <c:v>42408</c:v>
                </c:pt>
                <c:pt idx="105">
                  <c:v>42409</c:v>
                </c:pt>
                <c:pt idx="106">
                  <c:v>42410</c:v>
                </c:pt>
                <c:pt idx="107">
                  <c:v>42411</c:v>
                </c:pt>
                <c:pt idx="108">
                  <c:v>42412</c:v>
                </c:pt>
                <c:pt idx="109">
                  <c:v>42415</c:v>
                </c:pt>
                <c:pt idx="110">
                  <c:v>42416</c:v>
                </c:pt>
                <c:pt idx="111">
                  <c:v>42417</c:v>
                </c:pt>
                <c:pt idx="112">
                  <c:v>42418</c:v>
                </c:pt>
                <c:pt idx="113">
                  <c:v>42419</c:v>
                </c:pt>
                <c:pt idx="114">
                  <c:v>42422</c:v>
                </c:pt>
                <c:pt idx="115">
                  <c:v>42423</c:v>
                </c:pt>
                <c:pt idx="116">
                  <c:v>42424</c:v>
                </c:pt>
                <c:pt idx="117">
                  <c:v>42425</c:v>
                </c:pt>
                <c:pt idx="118">
                  <c:v>42426</c:v>
                </c:pt>
                <c:pt idx="119">
                  <c:v>42429</c:v>
                </c:pt>
                <c:pt idx="120">
                  <c:v>42430</c:v>
                </c:pt>
                <c:pt idx="121">
                  <c:v>42431</c:v>
                </c:pt>
                <c:pt idx="122">
                  <c:v>42432</c:v>
                </c:pt>
                <c:pt idx="123">
                  <c:v>42433</c:v>
                </c:pt>
                <c:pt idx="124">
                  <c:v>42436</c:v>
                </c:pt>
                <c:pt idx="125">
                  <c:v>42437</c:v>
                </c:pt>
                <c:pt idx="126">
                  <c:v>42438</c:v>
                </c:pt>
                <c:pt idx="127">
                  <c:v>42439</c:v>
                </c:pt>
                <c:pt idx="128">
                  <c:v>42440</c:v>
                </c:pt>
                <c:pt idx="129">
                  <c:v>42443</c:v>
                </c:pt>
                <c:pt idx="130">
                  <c:v>42444</c:v>
                </c:pt>
                <c:pt idx="131">
                  <c:v>42445</c:v>
                </c:pt>
                <c:pt idx="132">
                  <c:v>42446</c:v>
                </c:pt>
                <c:pt idx="133">
                  <c:v>42447</c:v>
                </c:pt>
                <c:pt idx="134">
                  <c:v>42450</c:v>
                </c:pt>
                <c:pt idx="135">
                  <c:v>42451</c:v>
                </c:pt>
                <c:pt idx="136">
                  <c:v>42452</c:v>
                </c:pt>
                <c:pt idx="137">
                  <c:v>42453</c:v>
                </c:pt>
                <c:pt idx="138">
                  <c:v>42458</c:v>
                </c:pt>
                <c:pt idx="139">
                  <c:v>42459</c:v>
                </c:pt>
                <c:pt idx="140">
                  <c:v>42460</c:v>
                </c:pt>
                <c:pt idx="141">
                  <c:v>42461</c:v>
                </c:pt>
                <c:pt idx="142">
                  <c:v>42464</c:v>
                </c:pt>
                <c:pt idx="143">
                  <c:v>42465</c:v>
                </c:pt>
                <c:pt idx="144">
                  <c:v>42466</c:v>
                </c:pt>
                <c:pt idx="145">
                  <c:v>42467</c:v>
                </c:pt>
                <c:pt idx="146">
                  <c:v>42468</c:v>
                </c:pt>
                <c:pt idx="147">
                  <c:v>42471</c:v>
                </c:pt>
                <c:pt idx="148">
                  <c:v>42472</c:v>
                </c:pt>
                <c:pt idx="149">
                  <c:v>42473</c:v>
                </c:pt>
                <c:pt idx="150">
                  <c:v>42474</c:v>
                </c:pt>
                <c:pt idx="151">
                  <c:v>42475</c:v>
                </c:pt>
                <c:pt idx="152">
                  <c:v>42478</c:v>
                </c:pt>
                <c:pt idx="153">
                  <c:v>42479</c:v>
                </c:pt>
                <c:pt idx="154">
                  <c:v>42480</c:v>
                </c:pt>
                <c:pt idx="155">
                  <c:v>42481</c:v>
                </c:pt>
                <c:pt idx="156">
                  <c:v>42482</c:v>
                </c:pt>
                <c:pt idx="157">
                  <c:v>42485</c:v>
                </c:pt>
                <c:pt idx="158">
                  <c:v>42486</c:v>
                </c:pt>
                <c:pt idx="159">
                  <c:v>42487</c:v>
                </c:pt>
                <c:pt idx="160">
                  <c:v>42488</c:v>
                </c:pt>
                <c:pt idx="161">
                  <c:v>42489</c:v>
                </c:pt>
                <c:pt idx="162">
                  <c:v>42492</c:v>
                </c:pt>
                <c:pt idx="163">
                  <c:v>42493</c:v>
                </c:pt>
                <c:pt idx="164">
                  <c:v>42494</c:v>
                </c:pt>
                <c:pt idx="165">
                  <c:v>42495</c:v>
                </c:pt>
                <c:pt idx="166">
                  <c:v>42496</c:v>
                </c:pt>
                <c:pt idx="167">
                  <c:v>42499</c:v>
                </c:pt>
                <c:pt idx="168">
                  <c:v>42500</c:v>
                </c:pt>
                <c:pt idx="169">
                  <c:v>42501</c:v>
                </c:pt>
                <c:pt idx="170">
                  <c:v>42502</c:v>
                </c:pt>
                <c:pt idx="171">
                  <c:v>42503</c:v>
                </c:pt>
                <c:pt idx="172">
                  <c:v>42506</c:v>
                </c:pt>
                <c:pt idx="173">
                  <c:v>42507</c:v>
                </c:pt>
                <c:pt idx="174">
                  <c:v>42508</c:v>
                </c:pt>
                <c:pt idx="175">
                  <c:v>42509</c:v>
                </c:pt>
                <c:pt idx="176">
                  <c:v>42510</c:v>
                </c:pt>
                <c:pt idx="177">
                  <c:v>42513</c:v>
                </c:pt>
                <c:pt idx="178">
                  <c:v>42514</c:v>
                </c:pt>
                <c:pt idx="179">
                  <c:v>42515</c:v>
                </c:pt>
                <c:pt idx="180">
                  <c:v>42516</c:v>
                </c:pt>
                <c:pt idx="181">
                  <c:v>42517</c:v>
                </c:pt>
                <c:pt idx="182">
                  <c:v>42520</c:v>
                </c:pt>
                <c:pt idx="183">
                  <c:v>42521</c:v>
                </c:pt>
                <c:pt idx="184">
                  <c:v>42522</c:v>
                </c:pt>
                <c:pt idx="185">
                  <c:v>42523</c:v>
                </c:pt>
                <c:pt idx="186">
                  <c:v>42524</c:v>
                </c:pt>
                <c:pt idx="187">
                  <c:v>42527</c:v>
                </c:pt>
                <c:pt idx="188">
                  <c:v>42528</c:v>
                </c:pt>
                <c:pt idx="189">
                  <c:v>42529</c:v>
                </c:pt>
                <c:pt idx="190">
                  <c:v>42530</c:v>
                </c:pt>
                <c:pt idx="191">
                  <c:v>42531</c:v>
                </c:pt>
                <c:pt idx="192">
                  <c:v>42534</c:v>
                </c:pt>
                <c:pt idx="193">
                  <c:v>42535</c:v>
                </c:pt>
                <c:pt idx="194">
                  <c:v>42536</c:v>
                </c:pt>
                <c:pt idx="195">
                  <c:v>42537</c:v>
                </c:pt>
                <c:pt idx="196">
                  <c:v>42538</c:v>
                </c:pt>
                <c:pt idx="197">
                  <c:v>42541</c:v>
                </c:pt>
                <c:pt idx="198">
                  <c:v>42542</c:v>
                </c:pt>
                <c:pt idx="199">
                  <c:v>42543</c:v>
                </c:pt>
                <c:pt idx="200">
                  <c:v>42544</c:v>
                </c:pt>
                <c:pt idx="201">
                  <c:v>42545</c:v>
                </c:pt>
                <c:pt idx="202">
                  <c:v>42548</c:v>
                </c:pt>
                <c:pt idx="203">
                  <c:v>42549</c:v>
                </c:pt>
                <c:pt idx="204">
                  <c:v>42550</c:v>
                </c:pt>
                <c:pt idx="205">
                  <c:v>42551</c:v>
                </c:pt>
                <c:pt idx="206">
                  <c:v>42552</c:v>
                </c:pt>
                <c:pt idx="207">
                  <c:v>42555</c:v>
                </c:pt>
                <c:pt idx="208">
                  <c:v>42556</c:v>
                </c:pt>
                <c:pt idx="209">
                  <c:v>42557</c:v>
                </c:pt>
                <c:pt idx="210">
                  <c:v>42558</c:v>
                </c:pt>
                <c:pt idx="211">
                  <c:v>42559</c:v>
                </c:pt>
                <c:pt idx="212">
                  <c:v>42562</c:v>
                </c:pt>
                <c:pt idx="213">
                  <c:v>42563</c:v>
                </c:pt>
                <c:pt idx="214">
                  <c:v>42564</c:v>
                </c:pt>
                <c:pt idx="215">
                  <c:v>42565</c:v>
                </c:pt>
                <c:pt idx="216">
                  <c:v>42566</c:v>
                </c:pt>
                <c:pt idx="217">
                  <c:v>42569</c:v>
                </c:pt>
                <c:pt idx="218">
                  <c:v>42570</c:v>
                </c:pt>
                <c:pt idx="219">
                  <c:v>42571</c:v>
                </c:pt>
                <c:pt idx="220">
                  <c:v>42572</c:v>
                </c:pt>
                <c:pt idx="221">
                  <c:v>42573</c:v>
                </c:pt>
                <c:pt idx="222">
                  <c:v>42576</c:v>
                </c:pt>
                <c:pt idx="223">
                  <c:v>42577</c:v>
                </c:pt>
                <c:pt idx="224">
                  <c:v>42578</c:v>
                </c:pt>
                <c:pt idx="225">
                  <c:v>42579</c:v>
                </c:pt>
                <c:pt idx="226">
                  <c:v>42580</c:v>
                </c:pt>
                <c:pt idx="227">
                  <c:v>42583</c:v>
                </c:pt>
                <c:pt idx="228">
                  <c:v>42584</c:v>
                </c:pt>
                <c:pt idx="229">
                  <c:v>42585</c:v>
                </c:pt>
                <c:pt idx="230">
                  <c:v>42586</c:v>
                </c:pt>
                <c:pt idx="231">
                  <c:v>42587</c:v>
                </c:pt>
                <c:pt idx="232">
                  <c:v>42590</c:v>
                </c:pt>
                <c:pt idx="233">
                  <c:v>42591</c:v>
                </c:pt>
                <c:pt idx="234">
                  <c:v>42592</c:v>
                </c:pt>
                <c:pt idx="235">
                  <c:v>42593</c:v>
                </c:pt>
                <c:pt idx="236">
                  <c:v>42594</c:v>
                </c:pt>
                <c:pt idx="237">
                  <c:v>42597</c:v>
                </c:pt>
                <c:pt idx="238">
                  <c:v>42598</c:v>
                </c:pt>
                <c:pt idx="239">
                  <c:v>42599</c:v>
                </c:pt>
                <c:pt idx="240">
                  <c:v>42600</c:v>
                </c:pt>
                <c:pt idx="241">
                  <c:v>42601</c:v>
                </c:pt>
                <c:pt idx="242">
                  <c:v>42604</c:v>
                </c:pt>
                <c:pt idx="243">
                  <c:v>42605</c:v>
                </c:pt>
                <c:pt idx="244">
                  <c:v>42606</c:v>
                </c:pt>
                <c:pt idx="245">
                  <c:v>42607</c:v>
                </c:pt>
                <c:pt idx="246">
                  <c:v>42608</c:v>
                </c:pt>
                <c:pt idx="247">
                  <c:v>42611</c:v>
                </c:pt>
                <c:pt idx="248">
                  <c:v>42612</c:v>
                </c:pt>
                <c:pt idx="249">
                  <c:v>42613</c:v>
                </c:pt>
                <c:pt idx="250">
                  <c:v>42614</c:v>
                </c:pt>
                <c:pt idx="251">
                  <c:v>42615</c:v>
                </c:pt>
                <c:pt idx="252">
                  <c:v>42618</c:v>
                </c:pt>
                <c:pt idx="253">
                  <c:v>42619</c:v>
                </c:pt>
                <c:pt idx="254">
                  <c:v>42620</c:v>
                </c:pt>
                <c:pt idx="255">
                  <c:v>42621</c:v>
                </c:pt>
                <c:pt idx="256">
                  <c:v>42622</c:v>
                </c:pt>
                <c:pt idx="257">
                  <c:v>42625</c:v>
                </c:pt>
                <c:pt idx="258">
                  <c:v>42626</c:v>
                </c:pt>
                <c:pt idx="259">
                  <c:v>42627</c:v>
                </c:pt>
                <c:pt idx="260">
                  <c:v>42628</c:v>
                </c:pt>
                <c:pt idx="261">
                  <c:v>42629</c:v>
                </c:pt>
                <c:pt idx="262">
                  <c:v>42632</c:v>
                </c:pt>
                <c:pt idx="263">
                  <c:v>42633</c:v>
                </c:pt>
                <c:pt idx="264">
                  <c:v>42634</c:v>
                </c:pt>
                <c:pt idx="265">
                  <c:v>42635</c:v>
                </c:pt>
                <c:pt idx="266">
                  <c:v>42636</c:v>
                </c:pt>
                <c:pt idx="267">
                  <c:v>42639</c:v>
                </c:pt>
                <c:pt idx="268">
                  <c:v>42640</c:v>
                </c:pt>
                <c:pt idx="269">
                  <c:v>42641</c:v>
                </c:pt>
                <c:pt idx="270">
                  <c:v>42642</c:v>
                </c:pt>
                <c:pt idx="271">
                  <c:v>42643</c:v>
                </c:pt>
                <c:pt idx="272">
                  <c:v>42646</c:v>
                </c:pt>
                <c:pt idx="273">
                  <c:v>42647</c:v>
                </c:pt>
                <c:pt idx="274">
                  <c:v>42648</c:v>
                </c:pt>
                <c:pt idx="275">
                  <c:v>42649</c:v>
                </c:pt>
                <c:pt idx="276">
                  <c:v>42650</c:v>
                </c:pt>
                <c:pt idx="277">
                  <c:v>42653</c:v>
                </c:pt>
                <c:pt idx="278">
                  <c:v>42654</c:v>
                </c:pt>
                <c:pt idx="279">
                  <c:v>42655</c:v>
                </c:pt>
                <c:pt idx="280">
                  <c:v>42656</c:v>
                </c:pt>
                <c:pt idx="281">
                  <c:v>42657</c:v>
                </c:pt>
                <c:pt idx="282">
                  <c:v>42660</c:v>
                </c:pt>
                <c:pt idx="283">
                  <c:v>42661</c:v>
                </c:pt>
                <c:pt idx="284">
                  <c:v>42662</c:v>
                </c:pt>
                <c:pt idx="285">
                  <c:v>42663</c:v>
                </c:pt>
                <c:pt idx="286">
                  <c:v>42664</c:v>
                </c:pt>
                <c:pt idx="287">
                  <c:v>42667</c:v>
                </c:pt>
                <c:pt idx="288">
                  <c:v>42668</c:v>
                </c:pt>
                <c:pt idx="289">
                  <c:v>42669</c:v>
                </c:pt>
                <c:pt idx="290">
                  <c:v>42670</c:v>
                </c:pt>
                <c:pt idx="291">
                  <c:v>42671</c:v>
                </c:pt>
                <c:pt idx="292">
                  <c:v>42674</c:v>
                </c:pt>
                <c:pt idx="293">
                  <c:v>42675</c:v>
                </c:pt>
                <c:pt idx="294">
                  <c:v>42676</c:v>
                </c:pt>
                <c:pt idx="295">
                  <c:v>42677</c:v>
                </c:pt>
                <c:pt idx="296">
                  <c:v>42678</c:v>
                </c:pt>
                <c:pt idx="297">
                  <c:v>42681</c:v>
                </c:pt>
                <c:pt idx="298">
                  <c:v>42682</c:v>
                </c:pt>
                <c:pt idx="299">
                  <c:v>42683</c:v>
                </c:pt>
                <c:pt idx="300">
                  <c:v>42684</c:v>
                </c:pt>
                <c:pt idx="301">
                  <c:v>42685</c:v>
                </c:pt>
                <c:pt idx="302">
                  <c:v>42688</c:v>
                </c:pt>
                <c:pt idx="303">
                  <c:v>42689</c:v>
                </c:pt>
                <c:pt idx="304">
                  <c:v>42690</c:v>
                </c:pt>
                <c:pt idx="305">
                  <c:v>42691</c:v>
                </c:pt>
                <c:pt idx="306">
                  <c:v>42692</c:v>
                </c:pt>
                <c:pt idx="307">
                  <c:v>42695</c:v>
                </c:pt>
                <c:pt idx="308">
                  <c:v>42696</c:v>
                </c:pt>
                <c:pt idx="309">
                  <c:v>42697</c:v>
                </c:pt>
                <c:pt idx="310">
                  <c:v>42698</c:v>
                </c:pt>
                <c:pt idx="311">
                  <c:v>42699</c:v>
                </c:pt>
                <c:pt idx="312">
                  <c:v>42702</c:v>
                </c:pt>
                <c:pt idx="313">
                  <c:v>42703</c:v>
                </c:pt>
                <c:pt idx="314">
                  <c:v>42704</c:v>
                </c:pt>
                <c:pt idx="315">
                  <c:v>42705</c:v>
                </c:pt>
                <c:pt idx="316">
                  <c:v>42706</c:v>
                </c:pt>
                <c:pt idx="317">
                  <c:v>42709</c:v>
                </c:pt>
                <c:pt idx="318">
                  <c:v>42710</c:v>
                </c:pt>
                <c:pt idx="319">
                  <c:v>42711</c:v>
                </c:pt>
                <c:pt idx="320">
                  <c:v>42712</c:v>
                </c:pt>
                <c:pt idx="321">
                  <c:v>42713</c:v>
                </c:pt>
                <c:pt idx="322">
                  <c:v>42716</c:v>
                </c:pt>
                <c:pt idx="323">
                  <c:v>42717</c:v>
                </c:pt>
                <c:pt idx="324">
                  <c:v>42718</c:v>
                </c:pt>
                <c:pt idx="325">
                  <c:v>42719</c:v>
                </c:pt>
                <c:pt idx="326">
                  <c:v>42720</c:v>
                </c:pt>
                <c:pt idx="327">
                  <c:v>42723</c:v>
                </c:pt>
                <c:pt idx="328">
                  <c:v>42724</c:v>
                </c:pt>
                <c:pt idx="329">
                  <c:v>42725</c:v>
                </c:pt>
                <c:pt idx="330">
                  <c:v>42726</c:v>
                </c:pt>
                <c:pt idx="331">
                  <c:v>42727</c:v>
                </c:pt>
                <c:pt idx="332">
                  <c:v>42731</c:v>
                </c:pt>
                <c:pt idx="333">
                  <c:v>42732</c:v>
                </c:pt>
                <c:pt idx="334">
                  <c:v>42733</c:v>
                </c:pt>
                <c:pt idx="335">
                  <c:v>42734</c:v>
                </c:pt>
                <c:pt idx="336">
                  <c:v>42737</c:v>
                </c:pt>
                <c:pt idx="337">
                  <c:v>42738</c:v>
                </c:pt>
                <c:pt idx="338">
                  <c:v>42739</c:v>
                </c:pt>
                <c:pt idx="339">
                  <c:v>42740</c:v>
                </c:pt>
                <c:pt idx="340">
                  <c:v>42741</c:v>
                </c:pt>
                <c:pt idx="341">
                  <c:v>42744</c:v>
                </c:pt>
                <c:pt idx="342">
                  <c:v>42745</c:v>
                </c:pt>
                <c:pt idx="343">
                  <c:v>42746</c:v>
                </c:pt>
                <c:pt idx="344">
                  <c:v>42747</c:v>
                </c:pt>
                <c:pt idx="345">
                  <c:v>42748</c:v>
                </c:pt>
                <c:pt idx="346">
                  <c:v>42751</c:v>
                </c:pt>
                <c:pt idx="347">
                  <c:v>42752</c:v>
                </c:pt>
                <c:pt idx="348">
                  <c:v>42753</c:v>
                </c:pt>
                <c:pt idx="349">
                  <c:v>42754</c:v>
                </c:pt>
                <c:pt idx="350">
                  <c:v>42755</c:v>
                </c:pt>
                <c:pt idx="351">
                  <c:v>42758</c:v>
                </c:pt>
                <c:pt idx="352">
                  <c:v>42759</c:v>
                </c:pt>
                <c:pt idx="353">
                  <c:v>42760</c:v>
                </c:pt>
                <c:pt idx="354">
                  <c:v>42761</c:v>
                </c:pt>
                <c:pt idx="355">
                  <c:v>42762</c:v>
                </c:pt>
                <c:pt idx="356">
                  <c:v>42765</c:v>
                </c:pt>
                <c:pt idx="357">
                  <c:v>42766</c:v>
                </c:pt>
                <c:pt idx="358">
                  <c:v>42767</c:v>
                </c:pt>
                <c:pt idx="359">
                  <c:v>42768</c:v>
                </c:pt>
                <c:pt idx="360">
                  <c:v>42769</c:v>
                </c:pt>
                <c:pt idx="361">
                  <c:v>42772</c:v>
                </c:pt>
                <c:pt idx="362">
                  <c:v>42773</c:v>
                </c:pt>
                <c:pt idx="363">
                  <c:v>42774</c:v>
                </c:pt>
                <c:pt idx="364">
                  <c:v>42775</c:v>
                </c:pt>
                <c:pt idx="365">
                  <c:v>42776</c:v>
                </c:pt>
                <c:pt idx="366">
                  <c:v>42779</c:v>
                </c:pt>
                <c:pt idx="367">
                  <c:v>42780</c:v>
                </c:pt>
                <c:pt idx="368">
                  <c:v>42781</c:v>
                </c:pt>
                <c:pt idx="369">
                  <c:v>42782</c:v>
                </c:pt>
                <c:pt idx="370">
                  <c:v>42783</c:v>
                </c:pt>
                <c:pt idx="371">
                  <c:v>42786</c:v>
                </c:pt>
                <c:pt idx="372">
                  <c:v>42787</c:v>
                </c:pt>
                <c:pt idx="373">
                  <c:v>42788</c:v>
                </c:pt>
                <c:pt idx="374">
                  <c:v>42789</c:v>
                </c:pt>
                <c:pt idx="375">
                  <c:v>42790</c:v>
                </c:pt>
                <c:pt idx="376">
                  <c:v>42793</c:v>
                </c:pt>
                <c:pt idx="377">
                  <c:v>42794</c:v>
                </c:pt>
                <c:pt idx="378">
                  <c:v>42795</c:v>
                </c:pt>
                <c:pt idx="379">
                  <c:v>42796</c:v>
                </c:pt>
                <c:pt idx="380">
                  <c:v>42797</c:v>
                </c:pt>
                <c:pt idx="381">
                  <c:v>42800</c:v>
                </c:pt>
                <c:pt idx="382">
                  <c:v>42801</c:v>
                </c:pt>
                <c:pt idx="383">
                  <c:v>42802</c:v>
                </c:pt>
                <c:pt idx="384">
                  <c:v>42803</c:v>
                </c:pt>
                <c:pt idx="385">
                  <c:v>42804</c:v>
                </c:pt>
                <c:pt idx="386">
                  <c:v>42807</c:v>
                </c:pt>
                <c:pt idx="387">
                  <c:v>42808</c:v>
                </c:pt>
                <c:pt idx="388">
                  <c:v>42809</c:v>
                </c:pt>
                <c:pt idx="389">
                  <c:v>42810</c:v>
                </c:pt>
                <c:pt idx="390">
                  <c:v>42811</c:v>
                </c:pt>
                <c:pt idx="391">
                  <c:v>42814</c:v>
                </c:pt>
                <c:pt idx="392">
                  <c:v>42815</c:v>
                </c:pt>
                <c:pt idx="393">
                  <c:v>42816</c:v>
                </c:pt>
                <c:pt idx="394">
                  <c:v>42817</c:v>
                </c:pt>
                <c:pt idx="395">
                  <c:v>42818</c:v>
                </c:pt>
                <c:pt idx="396">
                  <c:v>42821</c:v>
                </c:pt>
                <c:pt idx="397">
                  <c:v>42822</c:v>
                </c:pt>
                <c:pt idx="398">
                  <c:v>42823</c:v>
                </c:pt>
                <c:pt idx="399">
                  <c:v>42824</c:v>
                </c:pt>
                <c:pt idx="400">
                  <c:v>42825</c:v>
                </c:pt>
                <c:pt idx="401">
                  <c:v>42828</c:v>
                </c:pt>
                <c:pt idx="402">
                  <c:v>42829</c:v>
                </c:pt>
                <c:pt idx="403">
                  <c:v>42830</c:v>
                </c:pt>
                <c:pt idx="404">
                  <c:v>42831</c:v>
                </c:pt>
                <c:pt idx="405">
                  <c:v>42832</c:v>
                </c:pt>
                <c:pt idx="406">
                  <c:v>42835</c:v>
                </c:pt>
                <c:pt idx="407">
                  <c:v>42836</c:v>
                </c:pt>
                <c:pt idx="408">
                  <c:v>42837</c:v>
                </c:pt>
                <c:pt idx="409">
                  <c:v>42838</c:v>
                </c:pt>
                <c:pt idx="410">
                  <c:v>42843</c:v>
                </c:pt>
                <c:pt idx="411">
                  <c:v>42844</c:v>
                </c:pt>
                <c:pt idx="412">
                  <c:v>42845</c:v>
                </c:pt>
                <c:pt idx="413">
                  <c:v>42846</c:v>
                </c:pt>
                <c:pt idx="414">
                  <c:v>42849</c:v>
                </c:pt>
                <c:pt idx="415">
                  <c:v>42850</c:v>
                </c:pt>
                <c:pt idx="416">
                  <c:v>42851</c:v>
                </c:pt>
                <c:pt idx="417">
                  <c:v>42852</c:v>
                </c:pt>
                <c:pt idx="418">
                  <c:v>42853</c:v>
                </c:pt>
                <c:pt idx="419">
                  <c:v>42857</c:v>
                </c:pt>
                <c:pt idx="420">
                  <c:v>42858</c:v>
                </c:pt>
                <c:pt idx="421">
                  <c:v>42859</c:v>
                </c:pt>
                <c:pt idx="422">
                  <c:v>42860</c:v>
                </c:pt>
                <c:pt idx="423">
                  <c:v>42863</c:v>
                </c:pt>
                <c:pt idx="424">
                  <c:v>42864</c:v>
                </c:pt>
                <c:pt idx="425">
                  <c:v>42865</c:v>
                </c:pt>
                <c:pt idx="426">
                  <c:v>42866</c:v>
                </c:pt>
                <c:pt idx="427">
                  <c:v>42867</c:v>
                </c:pt>
                <c:pt idx="428">
                  <c:v>42870</c:v>
                </c:pt>
                <c:pt idx="429">
                  <c:v>42871</c:v>
                </c:pt>
                <c:pt idx="430">
                  <c:v>42872</c:v>
                </c:pt>
                <c:pt idx="431">
                  <c:v>42873</c:v>
                </c:pt>
                <c:pt idx="432">
                  <c:v>42874</c:v>
                </c:pt>
                <c:pt idx="433">
                  <c:v>42877</c:v>
                </c:pt>
                <c:pt idx="434">
                  <c:v>42878</c:v>
                </c:pt>
                <c:pt idx="435">
                  <c:v>42879</c:v>
                </c:pt>
                <c:pt idx="436">
                  <c:v>42880</c:v>
                </c:pt>
                <c:pt idx="437">
                  <c:v>42881</c:v>
                </c:pt>
                <c:pt idx="438">
                  <c:v>42884</c:v>
                </c:pt>
                <c:pt idx="439">
                  <c:v>42885</c:v>
                </c:pt>
                <c:pt idx="440">
                  <c:v>42886</c:v>
                </c:pt>
                <c:pt idx="441">
                  <c:v>42887</c:v>
                </c:pt>
                <c:pt idx="442">
                  <c:v>42888</c:v>
                </c:pt>
                <c:pt idx="443">
                  <c:v>42891</c:v>
                </c:pt>
                <c:pt idx="444">
                  <c:v>42892</c:v>
                </c:pt>
                <c:pt idx="445">
                  <c:v>42893</c:v>
                </c:pt>
                <c:pt idx="446">
                  <c:v>42894</c:v>
                </c:pt>
                <c:pt idx="447">
                  <c:v>42895</c:v>
                </c:pt>
                <c:pt idx="448">
                  <c:v>42898</c:v>
                </c:pt>
                <c:pt idx="449">
                  <c:v>42899</c:v>
                </c:pt>
                <c:pt idx="450">
                  <c:v>42900</c:v>
                </c:pt>
                <c:pt idx="451">
                  <c:v>42901</c:v>
                </c:pt>
                <c:pt idx="452">
                  <c:v>42902</c:v>
                </c:pt>
                <c:pt idx="453">
                  <c:v>42905</c:v>
                </c:pt>
                <c:pt idx="454">
                  <c:v>42906</c:v>
                </c:pt>
                <c:pt idx="455">
                  <c:v>42907</c:v>
                </c:pt>
                <c:pt idx="456">
                  <c:v>42908</c:v>
                </c:pt>
                <c:pt idx="457">
                  <c:v>42909</c:v>
                </c:pt>
                <c:pt idx="458">
                  <c:v>42912</c:v>
                </c:pt>
                <c:pt idx="459">
                  <c:v>42913</c:v>
                </c:pt>
                <c:pt idx="460">
                  <c:v>42914</c:v>
                </c:pt>
                <c:pt idx="461">
                  <c:v>42915</c:v>
                </c:pt>
                <c:pt idx="462">
                  <c:v>42916</c:v>
                </c:pt>
                <c:pt idx="463">
                  <c:v>42919</c:v>
                </c:pt>
                <c:pt idx="464">
                  <c:v>42920</c:v>
                </c:pt>
                <c:pt idx="465">
                  <c:v>42921</c:v>
                </c:pt>
                <c:pt idx="466">
                  <c:v>42922</c:v>
                </c:pt>
                <c:pt idx="467">
                  <c:v>42923</c:v>
                </c:pt>
                <c:pt idx="468">
                  <c:v>42926</c:v>
                </c:pt>
                <c:pt idx="469">
                  <c:v>42927</c:v>
                </c:pt>
                <c:pt idx="470">
                  <c:v>42928</c:v>
                </c:pt>
                <c:pt idx="471">
                  <c:v>42929</c:v>
                </c:pt>
                <c:pt idx="472">
                  <c:v>42930</c:v>
                </c:pt>
                <c:pt idx="473">
                  <c:v>42933</c:v>
                </c:pt>
                <c:pt idx="474">
                  <c:v>42934</c:v>
                </c:pt>
                <c:pt idx="475">
                  <c:v>42935</c:v>
                </c:pt>
                <c:pt idx="476">
                  <c:v>42936</c:v>
                </c:pt>
                <c:pt idx="477">
                  <c:v>42937</c:v>
                </c:pt>
                <c:pt idx="478">
                  <c:v>42940</c:v>
                </c:pt>
                <c:pt idx="479">
                  <c:v>42941</c:v>
                </c:pt>
                <c:pt idx="480">
                  <c:v>42942</c:v>
                </c:pt>
                <c:pt idx="481">
                  <c:v>42943</c:v>
                </c:pt>
                <c:pt idx="482">
                  <c:v>42944</c:v>
                </c:pt>
                <c:pt idx="483">
                  <c:v>42947</c:v>
                </c:pt>
                <c:pt idx="484">
                  <c:v>42948</c:v>
                </c:pt>
                <c:pt idx="485">
                  <c:v>42949</c:v>
                </c:pt>
                <c:pt idx="486">
                  <c:v>42950</c:v>
                </c:pt>
                <c:pt idx="487">
                  <c:v>42951</c:v>
                </c:pt>
                <c:pt idx="488">
                  <c:v>42954</c:v>
                </c:pt>
                <c:pt idx="489">
                  <c:v>42955</c:v>
                </c:pt>
                <c:pt idx="490">
                  <c:v>42956</c:v>
                </c:pt>
                <c:pt idx="491">
                  <c:v>42957</c:v>
                </c:pt>
                <c:pt idx="492">
                  <c:v>42958</c:v>
                </c:pt>
                <c:pt idx="493">
                  <c:v>42961</c:v>
                </c:pt>
                <c:pt idx="494">
                  <c:v>42962</c:v>
                </c:pt>
                <c:pt idx="495">
                  <c:v>42963</c:v>
                </c:pt>
                <c:pt idx="496">
                  <c:v>42964</c:v>
                </c:pt>
                <c:pt idx="497">
                  <c:v>42965</c:v>
                </c:pt>
                <c:pt idx="498">
                  <c:v>42968</c:v>
                </c:pt>
                <c:pt idx="499">
                  <c:v>42969</c:v>
                </c:pt>
                <c:pt idx="500">
                  <c:v>42970</c:v>
                </c:pt>
                <c:pt idx="501">
                  <c:v>42971</c:v>
                </c:pt>
                <c:pt idx="502">
                  <c:v>42972</c:v>
                </c:pt>
                <c:pt idx="503">
                  <c:v>42975</c:v>
                </c:pt>
                <c:pt idx="504">
                  <c:v>42976</c:v>
                </c:pt>
                <c:pt idx="505">
                  <c:v>42977</c:v>
                </c:pt>
                <c:pt idx="506">
                  <c:v>42978</c:v>
                </c:pt>
                <c:pt idx="507">
                  <c:v>42979</c:v>
                </c:pt>
                <c:pt idx="508">
                  <c:v>42982</c:v>
                </c:pt>
                <c:pt idx="509">
                  <c:v>42983</c:v>
                </c:pt>
                <c:pt idx="510">
                  <c:v>42984</c:v>
                </c:pt>
                <c:pt idx="511">
                  <c:v>42985</c:v>
                </c:pt>
                <c:pt idx="512">
                  <c:v>42986</c:v>
                </c:pt>
                <c:pt idx="513">
                  <c:v>42989</c:v>
                </c:pt>
                <c:pt idx="514">
                  <c:v>42990</c:v>
                </c:pt>
                <c:pt idx="515">
                  <c:v>42991</c:v>
                </c:pt>
                <c:pt idx="516">
                  <c:v>42992</c:v>
                </c:pt>
                <c:pt idx="517">
                  <c:v>42993</c:v>
                </c:pt>
                <c:pt idx="518">
                  <c:v>43000</c:v>
                </c:pt>
                <c:pt idx="519">
                  <c:v>43007</c:v>
                </c:pt>
                <c:pt idx="520">
                  <c:v>43014</c:v>
                </c:pt>
                <c:pt idx="521">
                  <c:v>43021</c:v>
                </c:pt>
                <c:pt idx="522">
                  <c:v>43028</c:v>
                </c:pt>
                <c:pt idx="523">
                  <c:v>43035</c:v>
                </c:pt>
                <c:pt idx="524">
                  <c:v>43042</c:v>
                </c:pt>
                <c:pt idx="525">
                  <c:v>43049</c:v>
                </c:pt>
                <c:pt idx="526">
                  <c:v>43056</c:v>
                </c:pt>
                <c:pt idx="527">
                  <c:v>43063</c:v>
                </c:pt>
                <c:pt idx="528">
                  <c:v>43070</c:v>
                </c:pt>
                <c:pt idx="529">
                  <c:v>43077</c:v>
                </c:pt>
                <c:pt idx="530">
                  <c:v>43084</c:v>
                </c:pt>
                <c:pt idx="531">
                  <c:v>43091</c:v>
                </c:pt>
                <c:pt idx="532">
                  <c:v>43098</c:v>
                </c:pt>
                <c:pt idx="533">
                  <c:v>43105</c:v>
                </c:pt>
                <c:pt idx="534">
                  <c:v>43112</c:v>
                </c:pt>
                <c:pt idx="535">
                  <c:v>43119</c:v>
                </c:pt>
                <c:pt idx="536">
                  <c:v>43126</c:v>
                </c:pt>
                <c:pt idx="537">
                  <c:v>43133</c:v>
                </c:pt>
                <c:pt idx="538">
                  <c:v>43140</c:v>
                </c:pt>
                <c:pt idx="539">
                  <c:v>43147</c:v>
                </c:pt>
                <c:pt idx="540">
                  <c:v>43154</c:v>
                </c:pt>
                <c:pt idx="541">
                  <c:v>43161</c:v>
                </c:pt>
                <c:pt idx="542">
                  <c:v>43168</c:v>
                </c:pt>
                <c:pt idx="543">
                  <c:v>43175</c:v>
                </c:pt>
                <c:pt idx="544">
                  <c:v>43182</c:v>
                </c:pt>
                <c:pt idx="545">
                  <c:v>43193</c:v>
                </c:pt>
                <c:pt idx="546">
                  <c:v>43196</c:v>
                </c:pt>
                <c:pt idx="547">
                  <c:v>43203</c:v>
                </c:pt>
                <c:pt idx="548">
                  <c:v>43210</c:v>
                </c:pt>
                <c:pt idx="549">
                  <c:v>43217</c:v>
                </c:pt>
                <c:pt idx="550">
                  <c:v>43224</c:v>
                </c:pt>
                <c:pt idx="551">
                  <c:v>43231</c:v>
                </c:pt>
                <c:pt idx="552">
                  <c:v>43238</c:v>
                </c:pt>
                <c:pt idx="553">
                  <c:v>43245</c:v>
                </c:pt>
                <c:pt idx="554">
                  <c:v>43252</c:v>
                </c:pt>
                <c:pt idx="555">
                  <c:v>43259</c:v>
                </c:pt>
                <c:pt idx="556">
                  <c:v>43266</c:v>
                </c:pt>
                <c:pt idx="557">
                  <c:v>43273</c:v>
                </c:pt>
                <c:pt idx="558">
                  <c:v>43280</c:v>
                </c:pt>
                <c:pt idx="559">
                  <c:v>43287</c:v>
                </c:pt>
                <c:pt idx="560">
                  <c:v>43294</c:v>
                </c:pt>
                <c:pt idx="561">
                  <c:v>43301</c:v>
                </c:pt>
                <c:pt idx="562">
                  <c:v>43308</c:v>
                </c:pt>
                <c:pt idx="563">
                  <c:v>43315</c:v>
                </c:pt>
                <c:pt idx="564">
                  <c:v>43322</c:v>
                </c:pt>
                <c:pt idx="565">
                  <c:v>43329</c:v>
                </c:pt>
                <c:pt idx="566">
                  <c:v>43336</c:v>
                </c:pt>
                <c:pt idx="567">
                  <c:v>43343</c:v>
                </c:pt>
                <c:pt idx="568">
                  <c:v>43350</c:v>
                </c:pt>
                <c:pt idx="569">
                  <c:v>43357</c:v>
                </c:pt>
                <c:pt idx="570">
                  <c:v>43364</c:v>
                </c:pt>
                <c:pt idx="571">
                  <c:v>43371</c:v>
                </c:pt>
                <c:pt idx="572">
                  <c:v>43378</c:v>
                </c:pt>
                <c:pt idx="573">
                  <c:v>43385</c:v>
                </c:pt>
                <c:pt idx="574">
                  <c:v>43392</c:v>
                </c:pt>
                <c:pt idx="575">
                  <c:v>43399</c:v>
                </c:pt>
                <c:pt idx="576">
                  <c:v>43406</c:v>
                </c:pt>
                <c:pt idx="577">
                  <c:v>43413</c:v>
                </c:pt>
                <c:pt idx="578">
                  <c:v>43420</c:v>
                </c:pt>
                <c:pt idx="579">
                  <c:v>43427</c:v>
                </c:pt>
                <c:pt idx="580">
                  <c:v>43434</c:v>
                </c:pt>
                <c:pt idx="581">
                  <c:v>43441</c:v>
                </c:pt>
                <c:pt idx="582">
                  <c:v>43448</c:v>
                </c:pt>
                <c:pt idx="583">
                  <c:v>43455</c:v>
                </c:pt>
                <c:pt idx="584">
                  <c:v>43465</c:v>
                </c:pt>
                <c:pt idx="585">
                  <c:v>43472</c:v>
                </c:pt>
                <c:pt idx="586">
                  <c:v>43479</c:v>
                </c:pt>
                <c:pt idx="587">
                  <c:v>43486</c:v>
                </c:pt>
                <c:pt idx="588">
                  <c:v>43493</c:v>
                </c:pt>
                <c:pt idx="589">
                  <c:v>43500</c:v>
                </c:pt>
                <c:pt idx="590">
                  <c:v>43507</c:v>
                </c:pt>
                <c:pt idx="591">
                  <c:v>43514</c:v>
                </c:pt>
                <c:pt idx="592">
                  <c:v>43521</c:v>
                </c:pt>
                <c:pt idx="593">
                  <c:v>43528</c:v>
                </c:pt>
                <c:pt idx="594">
                  <c:v>43535</c:v>
                </c:pt>
                <c:pt idx="595">
                  <c:v>43542</c:v>
                </c:pt>
                <c:pt idx="596">
                  <c:v>43549</c:v>
                </c:pt>
                <c:pt idx="597">
                  <c:v>43556</c:v>
                </c:pt>
                <c:pt idx="598">
                  <c:v>43563</c:v>
                </c:pt>
                <c:pt idx="599">
                  <c:v>43570</c:v>
                </c:pt>
                <c:pt idx="600">
                  <c:v>43579</c:v>
                </c:pt>
                <c:pt idx="601">
                  <c:v>43584</c:v>
                </c:pt>
                <c:pt idx="602">
                  <c:v>43591</c:v>
                </c:pt>
                <c:pt idx="603">
                  <c:v>43598</c:v>
                </c:pt>
                <c:pt idx="604">
                  <c:v>43605</c:v>
                </c:pt>
                <c:pt idx="605">
                  <c:v>43612</c:v>
                </c:pt>
                <c:pt idx="606">
                  <c:v>43619</c:v>
                </c:pt>
                <c:pt idx="607">
                  <c:v>43626</c:v>
                </c:pt>
                <c:pt idx="608">
                  <c:v>43633</c:v>
                </c:pt>
                <c:pt idx="609">
                  <c:v>43640</c:v>
                </c:pt>
                <c:pt idx="610">
                  <c:v>43647</c:v>
                </c:pt>
                <c:pt idx="611">
                  <c:v>43654</c:v>
                </c:pt>
                <c:pt idx="612">
                  <c:v>43661</c:v>
                </c:pt>
                <c:pt idx="613">
                  <c:v>43668</c:v>
                </c:pt>
                <c:pt idx="614">
                  <c:v>43675</c:v>
                </c:pt>
                <c:pt idx="615">
                  <c:v>43682</c:v>
                </c:pt>
                <c:pt idx="616">
                  <c:v>43689</c:v>
                </c:pt>
                <c:pt idx="617">
                  <c:v>43696</c:v>
                </c:pt>
                <c:pt idx="618">
                  <c:v>43703</c:v>
                </c:pt>
                <c:pt idx="619">
                  <c:v>43710</c:v>
                </c:pt>
                <c:pt idx="620">
                  <c:v>43717</c:v>
                </c:pt>
                <c:pt idx="621">
                  <c:v>43724</c:v>
                </c:pt>
                <c:pt idx="622">
                  <c:v>43731</c:v>
                </c:pt>
                <c:pt idx="623">
                  <c:v>43738</c:v>
                </c:pt>
                <c:pt idx="624">
                  <c:v>43745</c:v>
                </c:pt>
                <c:pt idx="625">
                  <c:v>43752</c:v>
                </c:pt>
                <c:pt idx="626">
                  <c:v>43759</c:v>
                </c:pt>
                <c:pt idx="627">
                  <c:v>43766</c:v>
                </c:pt>
                <c:pt idx="628">
                  <c:v>43773</c:v>
                </c:pt>
                <c:pt idx="629">
                  <c:v>43780</c:v>
                </c:pt>
                <c:pt idx="630">
                  <c:v>43787</c:v>
                </c:pt>
                <c:pt idx="631">
                  <c:v>43794</c:v>
                </c:pt>
                <c:pt idx="632">
                  <c:v>43801</c:v>
                </c:pt>
                <c:pt idx="633">
                  <c:v>43808</c:v>
                </c:pt>
                <c:pt idx="634">
                  <c:v>43815</c:v>
                </c:pt>
                <c:pt idx="635">
                  <c:v>43822</c:v>
                </c:pt>
                <c:pt idx="636">
                  <c:v>43830</c:v>
                </c:pt>
                <c:pt idx="637">
                  <c:v>43837</c:v>
                </c:pt>
                <c:pt idx="638">
                  <c:v>43844</c:v>
                </c:pt>
                <c:pt idx="639">
                  <c:v>43851</c:v>
                </c:pt>
                <c:pt idx="640">
                  <c:v>43858</c:v>
                </c:pt>
                <c:pt idx="641">
                  <c:v>43865</c:v>
                </c:pt>
                <c:pt idx="642">
                  <c:v>43872</c:v>
                </c:pt>
                <c:pt idx="643">
                  <c:v>43879</c:v>
                </c:pt>
                <c:pt idx="644">
                  <c:v>43886</c:v>
                </c:pt>
                <c:pt idx="645">
                  <c:v>43893</c:v>
                </c:pt>
                <c:pt idx="646">
                  <c:v>43900</c:v>
                </c:pt>
                <c:pt idx="647">
                  <c:v>43907</c:v>
                </c:pt>
                <c:pt idx="648">
                  <c:v>43914</c:v>
                </c:pt>
                <c:pt idx="649">
                  <c:v>43921</c:v>
                </c:pt>
                <c:pt idx="650">
                  <c:v>43928</c:v>
                </c:pt>
                <c:pt idx="651">
                  <c:v>43937</c:v>
                </c:pt>
                <c:pt idx="652">
                  <c:v>43944</c:v>
                </c:pt>
                <c:pt idx="653">
                  <c:v>43951</c:v>
                </c:pt>
                <c:pt idx="654">
                  <c:v>43958</c:v>
                </c:pt>
                <c:pt idx="655">
                  <c:v>43965</c:v>
                </c:pt>
                <c:pt idx="656">
                  <c:v>43972</c:v>
                </c:pt>
                <c:pt idx="657">
                  <c:v>43979</c:v>
                </c:pt>
                <c:pt idx="658">
                  <c:v>43986</c:v>
                </c:pt>
                <c:pt idx="659">
                  <c:v>43993</c:v>
                </c:pt>
                <c:pt idx="660">
                  <c:v>44000</c:v>
                </c:pt>
                <c:pt idx="661">
                  <c:v>44007</c:v>
                </c:pt>
                <c:pt idx="662">
                  <c:v>44014</c:v>
                </c:pt>
                <c:pt idx="663">
                  <c:v>44021</c:v>
                </c:pt>
                <c:pt idx="664">
                  <c:v>44028</c:v>
                </c:pt>
                <c:pt idx="665">
                  <c:v>44035</c:v>
                </c:pt>
                <c:pt idx="666">
                  <c:v>44042</c:v>
                </c:pt>
                <c:pt idx="667">
                  <c:v>44049</c:v>
                </c:pt>
                <c:pt idx="668">
                  <c:v>44056</c:v>
                </c:pt>
                <c:pt idx="669">
                  <c:v>44063</c:v>
                </c:pt>
                <c:pt idx="670">
                  <c:v>44070</c:v>
                </c:pt>
                <c:pt idx="671">
                  <c:v>44077</c:v>
                </c:pt>
                <c:pt idx="672">
                  <c:v>44084</c:v>
                </c:pt>
                <c:pt idx="673">
                  <c:v>44091</c:v>
                </c:pt>
                <c:pt idx="674">
                  <c:v>44098</c:v>
                </c:pt>
                <c:pt idx="675">
                  <c:v>44105</c:v>
                </c:pt>
                <c:pt idx="676">
                  <c:v>44112</c:v>
                </c:pt>
                <c:pt idx="677">
                  <c:v>44119</c:v>
                </c:pt>
                <c:pt idx="678">
                  <c:v>44126</c:v>
                </c:pt>
                <c:pt idx="679">
                  <c:v>44133</c:v>
                </c:pt>
                <c:pt idx="680">
                  <c:v>44140</c:v>
                </c:pt>
                <c:pt idx="681">
                  <c:v>44147</c:v>
                </c:pt>
                <c:pt idx="682">
                  <c:v>44154</c:v>
                </c:pt>
                <c:pt idx="683">
                  <c:v>44161</c:v>
                </c:pt>
                <c:pt idx="684">
                  <c:v>44168</c:v>
                </c:pt>
                <c:pt idx="685">
                  <c:v>44175</c:v>
                </c:pt>
                <c:pt idx="686">
                  <c:v>44182</c:v>
                </c:pt>
                <c:pt idx="687">
                  <c:v>44189</c:v>
                </c:pt>
                <c:pt idx="688">
                  <c:v>44196</c:v>
                </c:pt>
                <c:pt idx="689">
                  <c:v>44203</c:v>
                </c:pt>
                <c:pt idx="690">
                  <c:v>44210</c:v>
                </c:pt>
                <c:pt idx="691">
                  <c:v>44217</c:v>
                </c:pt>
                <c:pt idx="692">
                  <c:v>44224</c:v>
                </c:pt>
                <c:pt idx="693">
                  <c:v>44231</c:v>
                </c:pt>
                <c:pt idx="694">
                  <c:v>44238</c:v>
                </c:pt>
                <c:pt idx="695">
                  <c:v>44245</c:v>
                </c:pt>
                <c:pt idx="696">
                  <c:v>44252</c:v>
                </c:pt>
                <c:pt idx="697">
                  <c:v>44259</c:v>
                </c:pt>
                <c:pt idx="698">
                  <c:v>44266</c:v>
                </c:pt>
                <c:pt idx="699">
                  <c:v>44273</c:v>
                </c:pt>
                <c:pt idx="700">
                  <c:v>44280</c:v>
                </c:pt>
                <c:pt idx="701">
                  <c:v>44287</c:v>
                </c:pt>
                <c:pt idx="702">
                  <c:v>44294</c:v>
                </c:pt>
                <c:pt idx="703">
                  <c:v>44301</c:v>
                </c:pt>
                <c:pt idx="704">
                  <c:v>44308</c:v>
                </c:pt>
                <c:pt idx="705">
                  <c:v>44315</c:v>
                </c:pt>
                <c:pt idx="706">
                  <c:v>44322</c:v>
                </c:pt>
                <c:pt idx="707">
                  <c:v>44329</c:v>
                </c:pt>
                <c:pt idx="708">
                  <c:v>44336</c:v>
                </c:pt>
                <c:pt idx="709">
                  <c:v>44343</c:v>
                </c:pt>
                <c:pt idx="710">
                  <c:v>44350</c:v>
                </c:pt>
                <c:pt idx="711">
                  <c:v>44357</c:v>
                </c:pt>
                <c:pt idx="712">
                  <c:v>44364</c:v>
                </c:pt>
                <c:pt idx="713">
                  <c:v>44371</c:v>
                </c:pt>
                <c:pt idx="714">
                  <c:v>44378</c:v>
                </c:pt>
                <c:pt idx="715">
                  <c:v>44385</c:v>
                </c:pt>
                <c:pt idx="716">
                  <c:v>44392</c:v>
                </c:pt>
                <c:pt idx="717">
                  <c:v>44399</c:v>
                </c:pt>
                <c:pt idx="718">
                  <c:v>44406</c:v>
                </c:pt>
                <c:pt idx="719">
                  <c:v>44413</c:v>
                </c:pt>
                <c:pt idx="720">
                  <c:v>44420</c:v>
                </c:pt>
                <c:pt idx="721">
                  <c:v>44427</c:v>
                </c:pt>
                <c:pt idx="722">
                  <c:v>44434</c:v>
                </c:pt>
                <c:pt idx="723">
                  <c:v>44441</c:v>
                </c:pt>
                <c:pt idx="724">
                  <c:v>44448</c:v>
                </c:pt>
                <c:pt idx="725">
                  <c:v>44455</c:v>
                </c:pt>
                <c:pt idx="726">
                  <c:v>44462</c:v>
                </c:pt>
                <c:pt idx="727">
                  <c:v>44469</c:v>
                </c:pt>
                <c:pt idx="728">
                  <c:v>44476</c:v>
                </c:pt>
                <c:pt idx="729">
                  <c:v>44483</c:v>
                </c:pt>
                <c:pt idx="730">
                  <c:v>44490</c:v>
                </c:pt>
                <c:pt idx="731">
                  <c:v>44497</c:v>
                </c:pt>
                <c:pt idx="732">
                  <c:v>44504</c:v>
                </c:pt>
                <c:pt idx="733">
                  <c:v>44511</c:v>
                </c:pt>
                <c:pt idx="734">
                  <c:v>44518</c:v>
                </c:pt>
                <c:pt idx="735">
                  <c:v>44525</c:v>
                </c:pt>
                <c:pt idx="736">
                  <c:v>44532</c:v>
                </c:pt>
                <c:pt idx="737">
                  <c:v>44539</c:v>
                </c:pt>
                <c:pt idx="738">
                  <c:v>44546</c:v>
                </c:pt>
                <c:pt idx="739">
                  <c:v>44553</c:v>
                </c:pt>
                <c:pt idx="740">
                  <c:v>44560</c:v>
                </c:pt>
                <c:pt idx="741">
                  <c:v>44567</c:v>
                </c:pt>
                <c:pt idx="742">
                  <c:v>44574</c:v>
                </c:pt>
                <c:pt idx="743">
                  <c:v>44581</c:v>
                </c:pt>
                <c:pt idx="744">
                  <c:v>44588</c:v>
                </c:pt>
                <c:pt idx="745">
                  <c:v>44595</c:v>
                </c:pt>
                <c:pt idx="746">
                  <c:v>44602</c:v>
                </c:pt>
                <c:pt idx="747">
                  <c:v>44609</c:v>
                </c:pt>
                <c:pt idx="748">
                  <c:v>44616</c:v>
                </c:pt>
                <c:pt idx="749">
                  <c:v>44623</c:v>
                </c:pt>
                <c:pt idx="750">
                  <c:v>44630</c:v>
                </c:pt>
                <c:pt idx="751">
                  <c:v>44637</c:v>
                </c:pt>
                <c:pt idx="752">
                  <c:v>44644</c:v>
                </c:pt>
                <c:pt idx="753">
                  <c:v>44651</c:v>
                </c:pt>
                <c:pt idx="754">
                  <c:v>44658</c:v>
                </c:pt>
                <c:pt idx="755">
                  <c:v>44665</c:v>
                </c:pt>
                <c:pt idx="756">
                  <c:v>44672</c:v>
                </c:pt>
                <c:pt idx="757">
                  <c:v>44679</c:v>
                </c:pt>
                <c:pt idx="758">
                  <c:v>44686</c:v>
                </c:pt>
                <c:pt idx="759">
                  <c:v>44693</c:v>
                </c:pt>
                <c:pt idx="760">
                  <c:v>44700</c:v>
                </c:pt>
                <c:pt idx="761">
                  <c:v>44707</c:v>
                </c:pt>
                <c:pt idx="762">
                  <c:v>44714</c:v>
                </c:pt>
                <c:pt idx="763">
                  <c:v>44721</c:v>
                </c:pt>
                <c:pt idx="764">
                  <c:v>44728</c:v>
                </c:pt>
                <c:pt idx="765">
                  <c:v>44735</c:v>
                </c:pt>
                <c:pt idx="766">
                  <c:v>44742</c:v>
                </c:pt>
                <c:pt idx="767">
                  <c:v>44749</c:v>
                </c:pt>
                <c:pt idx="768">
                  <c:v>44756</c:v>
                </c:pt>
                <c:pt idx="769">
                  <c:v>44763</c:v>
                </c:pt>
                <c:pt idx="770">
                  <c:v>44770</c:v>
                </c:pt>
                <c:pt idx="771">
                  <c:v>44777</c:v>
                </c:pt>
                <c:pt idx="772">
                  <c:v>44784</c:v>
                </c:pt>
                <c:pt idx="773">
                  <c:v>44791</c:v>
                </c:pt>
                <c:pt idx="774">
                  <c:v>44798</c:v>
                </c:pt>
                <c:pt idx="775">
                  <c:v>44805</c:v>
                </c:pt>
                <c:pt idx="776">
                  <c:v>44812</c:v>
                </c:pt>
                <c:pt idx="777">
                  <c:v>44819</c:v>
                </c:pt>
                <c:pt idx="778">
                  <c:v>44826</c:v>
                </c:pt>
                <c:pt idx="779">
                  <c:v>44833</c:v>
                </c:pt>
                <c:pt idx="780">
                  <c:v>44840</c:v>
                </c:pt>
                <c:pt idx="781">
                  <c:v>44847</c:v>
                </c:pt>
                <c:pt idx="782">
                  <c:v>44854</c:v>
                </c:pt>
                <c:pt idx="783">
                  <c:v>44861</c:v>
                </c:pt>
                <c:pt idx="784">
                  <c:v>44868</c:v>
                </c:pt>
                <c:pt idx="785">
                  <c:v>44875</c:v>
                </c:pt>
                <c:pt idx="786">
                  <c:v>44882</c:v>
                </c:pt>
                <c:pt idx="787">
                  <c:v>44889</c:v>
                </c:pt>
                <c:pt idx="788">
                  <c:v>44896</c:v>
                </c:pt>
                <c:pt idx="789">
                  <c:v>44903</c:v>
                </c:pt>
                <c:pt idx="790">
                  <c:v>44910</c:v>
                </c:pt>
                <c:pt idx="791">
                  <c:v>44917</c:v>
                </c:pt>
                <c:pt idx="792">
                  <c:v>44924</c:v>
                </c:pt>
                <c:pt idx="793">
                  <c:v>44931</c:v>
                </c:pt>
                <c:pt idx="794">
                  <c:v>44938</c:v>
                </c:pt>
                <c:pt idx="795">
                  <c:v>44945</c:v>
                </c:pt>
                <c:pt idx="796">
                  <c:v>44952</c:v>
                </c:pt>
                <c:pt idx="797">
                  <c:v>44959</c:v>
                </c:pt>
                <c:pt idx="798">
                  <c:v>44966</c:v>
                </c:pt>
                <c:pt idx="799">
                  <c:v>44973</c:v>
                </c:pt>
                <c:pt idx="800">
                  <c:v>44980</c:v>
                </c:pt>
                <c:pt idx="801">
                  <c:v>44987</c:v>
                </c:pt>
                <c:pt idx="802">
                  <c:v>44994</c:v>
                </c:pt>
                <c:pt idx="803">
                  <c:v>45001</c:v>
                </c:pt>
                <c:pt idx="804">
                  <c:v>45008</c:v>
                </c:pt>
                <c:pt idx="805">
                  <c:v>45015</c:v>
                </c:pt>
                <c:pt idx="806">
                  <c:v>45022</c:v>
                </c:pt>
                <c:pt idx="807">
                  <c:v>45029</c:v>
                </c:pt>
                <c:pt idx="808">
                  <c:v>45036</c:v>
                </c:pt>
                <c:pt idx="809">
                  <c:v>45043</c:v>
                </c:pt>
                <c:pt idx="810">
                  <c:v>45050</c:v>
                </c:pt>
                <c:pt idx="811">
                  <c:v>45057</c:v>
                </c:pt>
                <c:pt idx="812">
                  <c:v>45064</c:v>
                </c:pt>
                <c:pt idx="813">
                  <c:v>45071</c:v>
                </c:pt>
                <c:pt idx="814">
                  <c:v>45078</c:v>
                </c:pt>
                <c:pt idx="815">
                  <c:v>45085</c:v>
                </c:pt>
                <c:pt idx="816">
                  <c:v>45092</c:v>
                </c:pt>
                <c:pt idx="817">
                  <c:v>45099</c:v>
                </c:pt>
                <c:pt idx="818">
                  <c:v>45106</c:v>
                </c:pt>
                <c:pt idx="819">
                  <c:v>45113</c:v>
                </c:pt>
                <c:pt idx="820">
                  <c:v>45120</c:v>
                </c:pt>
                <c:pt idx="821">
                  <c:v>45127</c:v>
                </c:pt>
                <c:pt idx="822">
                  <c:v>45134</c:v>
                </c:pt>
                <c:pt idx="823">
                  <c:v>45141</c:v>
                </c:pt>
                <c:pt idx="824">
                  <c:v>45148</c:v>
                </c:pt>
                <c:pt idx="825">
                  <c:v>45155</c:v>
                </c:pt>
                <c:pt idx="826">
                  <c:v>45162</c:v>
                </c:pt>
                <c:pt idx="827">
                  <c:v>45169</c:v>
                </c:pt>
                <c:pt idx="828">
                  <c:v>45176</c:v>
                </c:pt>
                <c:pt idx="829">
                  <c:v>45183</c:v>
                </c:pt>
                <c:pt idx="830">
                  <c:v>45190</c:v>
                </c:pt>
                <c:pt idx="831">
                  <c:v>45197</c:v>
                </c:pt>
                <c:pt idx="832">
                  <c:v>45204</c:v>
                </c:pt>
                <c:pt idx="833">
                  <c:v>45211</c:v>
                </c:pt>
                <c:pt idx="834">
                  <c:v>45218</c:v>
                </c:pt>
                <c:pt idx="835">
                  <c:v>45225</c:v>
                </c:pt>
                <c:pt idx="836">
                  <c:v>45232</c:v>
                </c:pt>
                <c:pt idx="837">
                  <c:v>45239</c:v>
                </c:pt>
                <c:pt idx="838">
                  <c:v>45246</c:v>
                </c:pt>
                <c:pt idx="839">
                  <c:v>45253</c:v>
                </c:pt>
                <c:pt idx="840">
                  <c:v>45260</c:v>
                </c:pt>
                <c:pt idx="841">
                  <c:v>45267</c:v>
                </c:pt>
                <c:pt idx="842">
                  <c:v>45274</c:v>
                </c:pt>
                <c:pt idx="843">
                  <c:v>45281</c:v>
                </c:pt>
                <c:pt idx="844">
                  <c:v>45289</c:v>
                </c:pt>
                <c:pt idx="845">
                  <c:v>45296</c:v>
                </c:pt>
                <c:pt idx="846">
                  <c:v>45303</c:v>
                </c:pt>
                <c:pt idx="847">
                  <c:v>45310</c:v>
                </c:pt>
                <c:pt idx="848">
                  <c:v>45317</c:v>
                </c:pt>
                <c:pt idx="849">
                  <c:v>45324</c:v>
                </c:pt>
                <c:pt idx="850">
                  <c:v>45331</c:v>
                </c:pt>
                <c:pt idx="851">
                  <c:v>45338</c:v>
                </c:pt>
                <c:pt idx="852">
                  <c:v>45345</c:v>
                </c:pt>
                <c:pt idx="853">
                  <c:v>45352</c:v>
                </c:pt>
                <c:pt idx="854">
                  <c:v>45359</c:v>
                </c:pt>
                <c:pt idx="855">
                  <c:v>45366</c:v>
                </c:pt>
                <c:pt idx="856">
                  <c:v>45373</c:v>
                </c:pt>
                <c:pt idx="857">
                  <c:v>45384</c:v>
                </c:pt>
                <c:pt idx="858">
                  <c:v>45387</c:v>
                </c:pt>
                <c:pt idx="859">
                  <c:v>45394</c:v>
                </c:pt>
                <c:pt idx="860">
                  <c:v>45401</c:v>
                </c:pt>
                <c:pt idx="861">
                  <c:v>45408</c:v>
                </c:pt>
                <c:pt idx="862">
                  <c:v>45418</c:v>
                </c:pt>
                <c:pt idx="863">
                  <c:v>45425</c:v>
                </c:pt>
                <c:pt idx="864">
                  <c:v>45432</c:v>
                </c:pt>
                <c:pt idx="865">
                  <c:v>45439</c:v>
                </c:pt>
                <c:pt idx="866">
                  <c:v>45446</c:v>
                </c:pt>
                <c:pt idx="867">
                  <c:v>45453</c:v>
                </c:pt>
                <c:pt idx="868">
                  <c:v>45460</c:v>
                </c:pt>
                <c:pt idx="869">
                  <c:v>45467</c:v>
                </c:pt>
                <c:pt idx="870">
                  <c:v>45474</c:v>
                </c:pt>
                <c:pt idx="871">
                  <c:v>45481</c:v>
                </c:pt>
                <c:pt idx="872">
                  <c:v>45488</c:v>
                </c:pt>
                <c:pt idx="873">
                  <c:v>45495</c:v>
                </c:pt>
                <c:pt idx="874">
                  <c:v>45502</c:v>
                </c:pt>
                <c:pt idx="875">
                  <c:v>45509</c:v>
                </c:pt>
                <c:pt idx="876">
                  <c:v>45516</c:v>
                </c:pt>
                <c:pt idx="877">
                  <c:v>45523</c:v>
                </c:pt>
                <c:pt idx="878">
                  <c:v>45530</c:v>
                </c:pt>
                <c:pt idx="879">
                  <c:v>45537</c:v>
                </c:pt>
                <c:pt idx="880">
                  <c:v>45544</c:v>
                </c:pt>
                <c:pt idx="881">
                  <c:v>45551</c:v>
                </c:pt>
                <c:pt idx="882">
                  <c:v>45558</c:v>
                </c:pt>
                <c:pt idx="883">
                  <c:v>45565</c:v>
                </c:pt>
                <c:pt idx="884">
                  <c:v>45572</c:v>
                </c:pt>
                <c:pt idx="885">
                  <c:v>45579</c:v>
                </c:pt>
                <c:pt idx="886">
                  <c:v>45586</c:v>
                </c:pt>
                <c:pt idx="887">
                  <c:v>45593</c:v>
                </c:pt>
                <c:pt idx="888">
                  <c:v>45600</c:v>
                </c:pt>
                <c:pt idx="889">
                  <c:v>45607</c:v>
                </c:pt>
                <c:pt idx="890">
                  <c:v>45614</c:v>
                </c:pt>
                <c:pt idx="891">
                  <c:v>45621</c:v>
                </c:pt>
                <c:pt idx="892">
                  <c:v>45628</c:v>
                </c:pt>
                <c:pt idx="893">
                  <c:v>45635</c:v>
                </c:pt>
                <c:pt idx="894">
                  <c:v>45642</c:v>
                </c:pt>
                <c:pt idx="895">
                  <c:v>45649</c:v>
                </c:pt>
                <c:pt idx="896">
                  <c:v>45657</c:v>
                </c:pt>
                <c:pt idx="897">
                  <c:v>45664</c:v>
                </c:pt>
                <c:pt idx="898">
                  <c:v>45671</c:v>
                </c:pt>
                <c:pt idx="899">
                  <c:v>45678</c:v>
                </c:pt>
                <c:pt idx="900">
                  <c:v>45685</c:v>
                </c:pt>
                <c:pt idx="901">
                  <c:v>45692</c:v>
                </c:pt>
                <c:pt idx="902">
                  <c:v>45699</c:v>
                </c:pt>
                <c:pt idx="903">
                  <c:v>45706</c:v>
                </c:pt>
                <c:pt idx="904">
                  <c:v>45713</c:v>
                </c:pt>
                <c:pt idx="905">
                  <c:v>45720</c:v>
                </c:pt>
                <c:pt idx="906">
                  <c:v>45727</c:v>
                </c:pt>
                <c:pt idx="907">
                  <c:v>45734</c:v>
                </c:pt>
                <c:pt idx="908">
                  <c:v>45741</c:v>
                </c:pt>
                <c:pt idx="909">
                  <c:v>45748</c:v>
                </c:pt>
                <c:pt idx="910">
                  <c:v>45755</c:v>
                </c:pt>
                <c:pt idx="911">
                  <c:v>45762</c:v>
                </c:pt>
                <c:pt idx="912">
                  <c:v>45771</c:v>
                </c:pt>
                <c:pt idx="913">
                  <c:v>45779</c:v>
                </c:pt>
                <c:pt idx="914">
                  <c:v>45785</c:v>
                </c:pt>
                <c:pt idx="915">
                  <c:v>45792</c:v>
                </c:pt>
                <c:pt idx="916">
                  <c:v>45799</c:v>
                </c:pt>
                <c:pt idx="917">
                  <c:v>45806</c:v>
                </c:pt>
                <c:pt idx="918">
                  <c:v>45813</c:v>
                </c:pt>
                <c:pt idx="919">
                  <c:v>45820</c:v>
                </c:pt>
                <c:pt idx="920">
                  <c:v>45827</c:v>
                </c:pt>
                <c:pt idx="921">
                  <c:v>45834</c:v>
                </c:pt>
                <c:pt idx="922">
                  <c:v>45841</c:v>
                </c:pt>
                <c:pt idx="923">
                  <c:v>45848</c:v>
                </c:pt>
                <c:pt idx="924">
                  <c:v>45855</c:v>
                </c:pt>
                <c:pt idx="925">
                  <c:v>45862</c:v>
                </c:pt>
                <c:pt idx="926">
                  <c:v>45869</c:v>
                </c:pt>
                <c:pt idx="927">
                  <c:v>45876</c:v>
                </c:pt>
                <c:pt idx="928">
                  <c:v>45883</c:v>
                </c:pt>
                <c:pt idx="929">
                  <c:v>45890</c:v>
                </c:pt>
                <c:pt idx="930">
                  <c:v>45897</c:v>
                </c:pt>
                <c:pt idx="931">
                  <c:v>45904</c:v>
                </c:pt>
                <c:pt idx="932">
                  <c:v>45911</c:v>
                </c:pt>
                <c:pt idx="933">
                  <c:v>45918</c:v>
                </c:pt>
                <c:pt idx="934">
                  <c:v>45925</c:v>
                </c:pt>
                <c:pt idx="935">
                  <c:v>45932</c:v>
                </c:pt>
                <c:pt idx="936">
                  <c:v>45939</c:v>
                </c:pt>
                <c:pt idx="937">
                  <c:v>45946</c:v>
                </c:pt>
                <c:pt idx="938">
                  <c:v>45953</c:v>
                </c:pt>
                <c:pt idx="939">
                  <c:v>45960</c:v>
                </c:pt>
                <c:pt idx="940">
                  <c:v>45967</c:v>
                </c:pt>
                <c:pt idx="941">
                  <c:v>45974</c:v>
                </c:pt>
                <c:pt idx="942">
                  <c:v>45981</c:v>
                </c:pt>
                <c:pt idx="943">
                  <c:v>45988</c:v>
                </c:pt>
                <c:pt idx="944">
                  <c:v>45995</c:v>
                </c:pt>
                <c:pt idx="945">
                  <c:v>46002</c:v>
                </c:pt>
                <c:pt idx="946">
                  <c:v>46009</c:v>
                </c:pt>
                <c:pt idx="947">
                  <c:v>46020</c:v>
                </c:pt>
                <c:pt idx="948">
                  <c:v>46024</c:v>
                </c:pt>
                <c:pt idx="949">
                  <c:v>46030</c:v>
                </c:pt>
                <c:pt idx="950">
                  <c:v>46037</c:v>
                </c:pt>
                <c:pt idx="951">
                  <c:v>46044</c:v>
                </c:pt>
                <c:pt idx="952">
                  <c:v>46051</c:v>
                </c:pt>
                <c:pt idx="953">
                  <c:v>46058</c:v>
                </c:pt>
                <c:pt idx="954">
                  <c:v>46065</c:v>
                </c:pt>
                <c:pt idx="955">
                  <c:v>46072</c:v>
                </c:pt>
                <c:pt idx="956">
                  <c:v>46079</c:v>
                </c:pt>
                <c:pt idx="957">
                  <c:v>46086</c:v>
                </c:pt>
                <c:pt idx="958">
                  <c:v>46093</c:v>
                </c:pt>
                <c:pt idx="959">
                  <c:v>46100</c:v>
                </c:pt>
                <c:pt idx="960">
                  <c:v>46107</c:v>
                </c:pt>
                <c:pt idx="961">
                  <c:v>46114</c:v>
                </c:pt>
                <c:pt idx="962">
                  <c:v>46121</c:v>
                </c:pt>
                <c:pt idx="963">
                  <c:v>46128</c:v>
                </c:pt>
                <c:pt idx="964">
                  <c:v>46135</c:v>
                </c:pt>
                <c:pt idx="965">
                  <c:v>46142</c:v>
                </c:pt>
                <c:pt idx="966">
                  <c:v>46149</c:v>
                </c:pt>
                <c:pt idx="967">
                  <c:v>46156</c:v>
                </c:pt>
                <c:pt idx="968">
                  <c:v>46163</c:v>
                </c:pt>
                <c:pt idx="969">
                  <c:v>46170</c:v>
                </c:pt>
                <c:pt idx="970">
                  <c:v>46177</c:v>
                </c:pt>
                <c:pt idx="971">
                  <c:v>46184</c:v>
                </c:pt>
                <c:pt idx="972">
                  <c:v>46191</c:v>
                </c:pt>
                <c:pt idx="973">
                  <c:v>46198</c:v>
                </c:pt>
                <c:pt idx="974">
                  <c:v>46205</c:v>
                </c:pt>
                <c:pt idx="975">
                  <c:v>46212</c:v>
                </c:pt>
                <c:pt idx="976">
                  <c:v>46219</c:v>
                </c:pt>
                <c:pt idx="977">
                  <c:v>46226</c:v>
                </c:pt>
                <c:pt idx="978">
                  <c:v>46233</c:v>
                </c:pt>
                <c:pt idx="979">
                  <c:v>46240</c:v>
                </c:pt>
                <c:pt idx="980">
                  <c:v>46247</c:v>
                </c:pt>
                <c:pt idx="981">
                  <c:v>46254</c:v>
                </c:pt>
                <c:pt idx="982">
                  <c:v>46261</c:v>
                </c:pt>
                <c:pt idx="983">
                  <c:v>46268</c:v>
                </c:pt>
                <c:pt idx="984">
                  <c:v>46275</c:v>
                </c:pt>
                <c:pt idx="985">
                  <c:v>46282</c:v>
                </c:pt>
                <c:pt idx="986">
                  <c:v>46289</c:v>
                </c:pt>
                <c:pt idx="987">
                  <c:v>46296</c:v>
                </c:pt>
                <c:pt idx="988">
                  <c:v>46303</c:v>
                </c:pt>
                <c:pt idx="989">
                  <c:v>46310</c:v>
                </c:pt>
                <c:pt idx="990">
                  <c:v>46317</c:v>
                </c:pt>
                <c:pt idx="991">
                  <c:v>46324</c:v>
                </c:pt>
                <c:pt idx="992">
                  <c:v>46331</c:v>
                </c:pt>
                <c:pt idx="993">
                  <c:v>46338</c:v>
                </c:pt>
                <c:pt idx="994">
                  <c:v>46345</c:v>
                </c:pt>
                <c:pt idx="995">
                  <c:v>46352</c:v>
                </c:pt>
                <c:pt idx="996">
                  <c:v>46359</c:v>
                </c:pt>
                <c:pt idx="997">
                  <c:v>46366</c:v>
                </c:pt>
                <c:pt idx="998">
                  <c:v>46373</c:v>
                </c:pt>
                <c:pt idx="999">
                  <c:v>46380</c:v>
                </c:pt>
                <c:pt idx="1000">
                  <c:v>46387</c:v>
                </c:pt>
                <c:pt idx="1001">
                  <c:v>46394</c:v>
                </c:pt>
                <c:pt idx="1002">
                  <c:v>46401</c:v>
                </c:pt>
                <c:pt idx="1003">
                  <c:v>46408</c:v>
                </c:pt>
                <c:pt idx="1004">
                  <c:v>46415</c:v>
                </c:pt>
                <c:pt idx="1005">
                  <c:v>46422</c:v>
                </c:pt>
                <c:pt idx="1006">
                  <c:v>46429</c:v>
                </c:pt>
                <c:pt idx="1007">
                  <c:v>46436</c:v>
                </c:pt>
                <c:pt idx="1008">
                  <c:v>46443</c:v>
                </c:pt>
                <c:pt idx="1009">
                  <c:v>46450</c:v>
                </c:pt>
                <c:pt idx="1010">
                  <c:v>46457</c:v>
                </c:pt>
                <c:pt idx="1011">
                  <c:v>46464</c:v>
                </c:pt>
                <c:pt idx="1012">
                  <c:v>46471</c:v>
                </c:pt>
                <c:pt idx="1013">
                  <c:v>46478</c:v>
                </c:pt>
                <c:pt idx="1014">
                  <c:v>46485</c:v>
                </c:pt>
                <c:pt idx="1015">
                  <c:v>46492</c:v>
                </c:pt>
                <c:pt idx="1016">
                  <c:v>46499</c:v>
                </c:pt>
                <c:pt idx="1017">
                  <c:v>46506</c:v>
                </c:pt>
                <c:pt idx="1018">
                  <c:v>46513</c:v>
                </c:pt>
                <c:pt idx="1019">
                  <c:v>46520</c:v>
                </c:pt>
                <c:pt idx="1020">
                  <c:v>46527</c:v>
                </c:pt>
                <c:pt idx="1021">
                  <c:v>46534</c:v>
                </c:pt>
                <c:pt idx="1022">
                  <c:v>46541</c:v>
                </c:pt>
                <c:pt idx="1023">
                  <c:v>46548</c:v>
                </c:pt>
                <c:pt idx="1024">
                  <c:v>46555</c:v>
                </c:pt>
                <c:pt idx="1025">
                  <c:v>46562</c:v>
                </c:pt>
                <c:pt idx="1026">
                  <c:v>46569</c:v>
                </c:pt>
                <c:pt idx="1027">
                  <c:v>46576</c:v>
                </c:pt>
                <c:pt idx="1028">
                  <c:v>46583</c:v>
                </c:pt>
                <c:pt idx="1029">
                  <c:v>46590</c:v>
                </c:pt>
                <c:pt idx="1030">
                  <c:v>46597</c:v>
                </c:pt>
                <c:pt idx="1031">
                  <c:v>46604</c:v>
                </c:pt>
                <c:pt idx="1032">
                  <c:v>46611</c:v>
                </c:pt>
                <c:pt idx="1033">
                  <c:v>46618</c:v>
                </c:pt>
                <c:pt idx="1034">
                  <c:v>46625</c:v>
                </c:pt>
                <c:pt idx="1035">
                  <c:v>46632</c:v>
                </c:pt>
                <c:pt idx="1036">
                  <c:v>46639</c:v>
                </c:pt>
                <c:pt idx="1037">
                  <c:v>46646</c:v>
                </c:pt>
                <c:pt idx="1038">
                  <c:v>46653</c:v>
                </c:pt>
                <c:pt idx="1039">
                  <c:v>46660</c:v>
                </c:pt>
                <c:pt idx="1040">
                  <c:v>46667</c:v>
                </c:pt>
                <c:pt idx="1041">
                  <c:v>46674</c:v>
                </c:pt>
                <c:pt idx="1042">
                  <c:v>46681</c:v>
                </c:pt>
                <c:pt idx="1043">
                  <c:v>46688</c:v>
                </c:pt>
                <c:pt idx="1044">
                  <c:v>46695</c:v>
                </c:pt>
                <c:pt idx="1045">
                  <c:v>46702</c:v>
                </c:pt>
                <c:pt idx="1046">
                  <c:v>46709</c:v>
                </c:pt>
                <c:pt idx="1047">
                  <c:v>46716</c:v>
                </c:pt>
                <c:pt idx="1048">
                  <c:v>46723</c:v>
                </c:pt>
                <c:pt idx="1049">
                  <c:v>46730</c:v>
                </c:pt>
                <c:pt idx="1050">
                  <c:v>46737</c:v>
                </c:pt>
                <c:pt idx="1051">
                  <c:v>46744</c:v>
                </c:pt>
                <c:pt idx="1052">
                  <c:v>46751</c:v>
                </c:pt>
                <c:pt idx="1053">
                  <c:v>46758</c:v>
                </c:pt>
                <c:pt idx="1054">
                  <c:v>46765</c:v>
                </c:pt>
                <c:pt idx="1055">
                  <c:v>46772</c:v>
                </c:pt>
                <c:pt idx="1056">
                  <c:v>46779</c:v>
                </c:pt>
                <c:pt idx="1057">
                  <c:v>46786</c:v>
                </c:pt>
                <c:pt idx="1058">
                  <c:v>46793</c:v>
                </c:pt>
                <c:pt idx="1059">
                  <c:v>46800</c:v>
                </c:pt>
                <c:pt idx="1060">
                  <c:v>46807</c:v>
                </c:pt>
                <c:pt idx="1061">
                  <c:v>46814</c:v>
                </c:pt>
                <c:pt idx="1062">
                  <c:v>46821</c:v>
                </c:pt>
                <c:pt idx="1063">
                  <c:v>46828</c:v>
                </c:pt>
                <c:pt idx="1064">
                  <c:v>46835</c:v>
                </c:pt>
                <c:pt idx="1065">
                  <c:v>46842</c:v>
                </c:pt>
                <c:pt idx="1066">
                  <c:v>46849</c:v>
                </c:pt>
                <c:pt idx="1067">
                  <c:v>46856</c:v>
                </c:pt>
                <c:pt idx="1068">
                  <c:v>46863</c:v>
                </c:pt>
                <c:pt idx="1069">
                  <c:v>46870</c:v>
                </c:pt>
                <c:pt idx="1070">
                  <c:v>46877</c:v>
                </c:pt>
                <c:pt idx="1071">
                  <c:v>46884</c:v>
                </c:pt>
                <c:pt idx="1072">
                  <c:v>46891</c:v>
                </c:pt>
                <c:pt idx="1073">
                  <c:v>46898</c:v>
                </c:pt>
                <c:pt idx="1074">
                  <c:v>46905</c:v>
                </c:pt>
                <c:pt idx="1075">
                  <c:v>46912</c:v>
                </c:pt>
                <c:pt idx="1076">
                  <c:v>46919</c:v>
                </c:pt>
                <c:pt idx="1077">
                  <c:v>46926</c:v>
                </c:pt>
                <c:pt idx="1078">
                  <c:v>46933</c:v>
                </c:pt>
                <c:pt idx="1079">
                  <c:v>46940</c:v>
                </c:pt>
                <c:pt idx="1080">
                  <c:v>46947</c:v>
                </c:pt>
                <c:pt idx="1081">
                  <c:v>46954</c:v>
                </c:pt>
                <c:pt idx="1082">
                  <c:v>46961</c:v>
                </c:pt>
                <c:pt idx="1083">
                  <c:v>46968</c:v>
                </c:pt>
                <c:pt idx="1084">
                  <c:v>46975</c:v>
                </c:pt>
                <c:pt idx="1085">
                  <c:v>46982</c:v>
                </c:pt>
                <c:pt idx="1086">
                  <c:v>46989</c:v>
                </c:pt>
                <c:pt idx="1087">
                  <c:v>46996</c:v>
                </c:pt>
                <c:pt idx="1088">
                  <c:v>47003</c:v>
                </c:pt>
                <c:pt idx="1089">
                  <c:v>47010</c:v>
                </c:pt>
                <c:pt idx="1090">
                  <c:v>47017</c:v>
                </c:pt>
                <c:pt idx="1091">
                  <c:v>47024</c:v>
                </c:pt>
                <c:pt idx="1092">
                  <c:v>47031</c:v>
                </c:pt>
                <c:pt idx="1093">
                  <c:v>47038</c:v>
                </c:pt>
                <c:pt idx="1094">
                  <c:v>47045</c:v>
                </c:pt>
                <c:pt idx="1095">
                  <c:v>47052</c:v>
                </c:pt>
                <c:pt idx="1096">
                  <c:v>47059</c:v>
                </c:pt>
                <c:pt idx="1097">
                  <c:v>47066</c:v>
                </c:pt>
                <c:pt idx="1098">
                  <c:v>47073</c:v>
                </c:pt>
                <c:pt idx="1099">
                  <c:v>47080</c:v>
                </c:pt>
                <c:pt idx="1100">
                  <c:v>47087</c:v>
                </c:pt>
                <c:pt idx="1101">
                  <c:v>47094</c:v>
                </c:pt>
                <c:pt idx="1102">
                  <c:v>47101</c:v>
                </c:pt>
                <c:pt idx="1103">
                  <c:v>47108</c:v>
                </c:pt>
                <c:pt idx="1104">
                  <c:v>47116</c:v>
                </c:pt>
                <c:pt idx="1105">
                  <c:v>47123</c:v>
                </c:pt>
                <c:pt idx="1106">
                  <c:v>47130</c:v>
                </c:pt>
                <c:pt idx="1107">
                  <c:v>47137</c:v>
                </c:pt>
                <c:pt idx="1108">
                  <c:v>47144</c:v>
                </c:pt>
                <c:pt idx="1109">
                  <c:v>47151</c:v>
                </c:pt>
                <c:pt idx="1110">
                  <c:v>47158</c:v>
                </c:pt>
                <c:pt idx="1111">
                  <c:v>47165</c:v>
                </c:pt>
                <c:pt idx="1112">
                  <c:v>47172</c:v>
                </c:pt>
                <c:pt idx="1113">
                  <c:v>47179</c:v>
                </c:pt>
                <c:pt idx="1114">
                  <c:v>47186</c:v>
                </c:pt>
                <c:pt idx="1115">
                  <c:v>47193</c:v>
                </c:pt>
                <c:pt idx="1116">
                  <c:v>47200</c:v>
                </c:pt>
                <c:pt idx="1117">
                  <c:v>47211</c:v>
                </c:pt>
                <c:pt idx="1118">
                  <c:v>47214</c:v>
                </c:pt>
                <c:pt idx="1119">
                  <c:v>47221</c:v>
                </c:pt>
                <c:pt idx="1120">
                  <c:v>47228</c:v>
                </c:pt>
                <c:pt idx="1121">
                  <c:v>47235</c:v>
                </c:pt>
                <c:pt idx="1122">
                  <c:v>47242</c:v>
                </c:pt>
                <c:pt idx="1123">
                  <c:v>47249</c:v>
                </c:pt>
                <c:pt idx="1124">
                  <c:v>47256</c:v>
                </c:pt>
                <c:pt idx="1125">
                  <c:v>47263</c:v>
                </c:pt>
                <c:pt idx="1126">
                  <c:v>47270</c:v>
                </c:pt>
                <c:pt idx="1127">
                  <c:v>47277</c:v>
                </c:pt>
                <c:pt idx="1128">
                  <c:v>47284</c:v>
                </c:pt>
                <c:pt idx="1129">
                  <c:v>47291</c:v>
                </c:pt>
                <c:pt idx="1130">
                  <c:v>47298</c:v>
                </c:pt>
                <c:pt idx="1131">
                  <c:v>47305</c:v>
                </c:pt>
                <c:pt idx="1132">
                  <c:v>47312</c:v>
                </c:pt>
                <c:pt idx="1133">
                  <c:v>47319</c:v>
                </c:pt>
                <c:pt idx="1134">
                  <c:v>47326</c:v>
                </c:pt>
                <c:pt idx="1135">
                  <c:v>47333</c:v>
                </c:pt>
                <c:pt idx="1136">
                  <c:v>47340</c:v>
                </c:pt>
                <c:pt idx="1137">
                  <c:v>47347</c:v>
                </c:pt>
                <c:pt idx="1138">
                  <c:v>47354</c:v>
                </c:pt>
                <c:pt idx="1139">
                  <c:v>47361</c:v>
                </c:pt>
                <c:pt idx="1140">
                  <c:v>47368</c:v>
                </c:pt>
                <c:pt idx="1141">
                  <c:v>47375</c:v>
                </c:pt>
                <c:pt idx="1142">
                  <c:v>47382</c:v>
                </c:pt>
                <c:pt idx="1143">
                  <c:v>47389</c:v>
                </c:pt>
                <c:pt idx="1144">
                  <c:v>47396</c:v>
                </c:pt>
                <c:pt idx="1145">
                  <c:v>47403</c:v>
                </c:pt>
                <c:pt idx="1146">
                  <c:v>47410</c:v>
                </c:pt>
                <c:pt idx="1147">
                  <c:v>47417</c:v>
                </c:pt>
                <c:pt idx="1148">
                  <c:v>47424</c:v>
                </c:pt>
                <c:pt idx="1149">
                  <c:v>47431</c:v>
                </c:pt>
                <c:pt idx="1150">
                  <c:v>47438</c:v>
                </c:pt>
                <c:pt idx="1151">
                  <c:v>47445</c:v>
                </c:pt>
                <c:pt idx="1152">
                  <c:v>47452</c:v>
                </c:pt>
                <c:pt idx="1153">
                  <c:v>47459</c:v>
                </c:pt>
                <c:pt idx="1154">
                  <c:v>47466</c:v>
                </c:pt>
                <c:pt idx="1155">
                  <c:v>47473</c:v>
                </c:pt>
                <c:pt idx="1156">
                  <c:v>47483</c:v>
                </c:pt>
                <c:pt idx="1157">
                  <c:v>47490</c:v>
                </c:pt>
                <c:pt idx="1158">
                  <c:v>47497</c:v>
                </c:pt>
                <c:pt idx="1159">
                  <c:v>47504</c:v>
                </c:pt>
                <c:pt idx="1160">
                  <c:v>47511</c:v>
                </c:pt>
                <c:pt idx="1161">
                  <c:v>47518</c:v>
                </c:pt>
                <c:pt idx="1162">
                  <c:v>47525</c:v>
                </c:pt>
                <c:pt idx="1163">
                  <c:v>47532</c:v>
                </c:pt>
                <c:pt idx="1164">
                  <c:v>47539</c:v>
                </c:pt>
                <c:pt idx="1165">
                  <c:v>47546</c:v>
                </c:pt>
                <c:pt idx="1166">
                  <c:v>47553</c:v>
                </c:pt>
                <c:pt idx="1167">
                  <c:v>47560</c:v>
                </c:pt>
                <c:pt idx="1168">
                  <c:v>47567</c:v>
                </c:pt>
                <c:pt idx="1169">
                  <c:v>47574</c:v>
                </c:pt>
                <c:pt idx="1170">
                  <c:v>47581</c:v>
                </c:pt>
                <c:pt idx="1171">
                  <c:v>47588</c:v>
                </c:pt>
                <c:pt idx="1172">
                  <c:v>47597</c:v>
                </c:pt>
                <c:pt idx="1173">
                  <c:v>47602</c:v>
                </c:pt>
                <c:pt idx="1174">
                  <c:v>47609</c:v>
                </c:pt>
                <c:pt idx="1175">
                  <c:v>47616</c:v>
                </c:pt>
                <c:pt idx="1176">
                  <c:v>47623</c:v>
                </c:pt>
                <c:pt idx="1177">
                  <c:v>47630</c:v>
                </c:pt>
                <c:pt idx="1178">
                  <c:v>47637</c:v>
                </c:pt>
                <c:pt idx="1179">
                  <c:v>47644</c:v>
                </c:pt>
                <c:pt idx="1180">
                  <c:v>47651</c:v>
                </c:pt>
                <c:pt idx="1181">
                  <c:v>47658</c:v>
                </c:pt>
                <c:pt idx="1182">
                  <c:v>47665</c:v>
                </c:pt>
                <c:pt idx="1183">
                  <c:v>47672</c:v>
                </c:pt>
                <c:pt idx="1184">
                  <c:v>47679</c:v>
                </c:pt>
                <c:pt idx="1185">
                  <c:v>47686</c:v>
                </c:pt>
                <c:pt idx="1186">
                  <c:v>47693</c:v>
                </c:pt>
                <c:pt idx="1187">
                  <c:v>47700</c:v>
                </c:pt>
                <c:pt idx="1188">
                  <c:v>47707</c:v>
                </c:pt>
                <c:pt idx="1189">
                  <c:v>47714</c:v>
                </c:pt>
                <c:pt idx="1190">
                  <c:v>47721</c:v>
                </c:pt>
                <c:pt idx="1191">
                  <c:v>47728</c:v>
                </c:pt>
                <c:pt idx="1192">
                  <c:v>47735</c:v>
                </c:pt>
                <c:pt idx="1193">
                  <c:v>47742</c:v>
                </c:pt>
                <c:pt idx="1194">
                  <c:v>47749</c:v>
                </c:pt>
                <c:pt idx="1195">
                  <c:v>47756</c:v>
                </c:pt>
                <c:pt idx="1196">
                  <c:v>47763</c:v>
                </c:pt>
                <c:pt idx="1197">
                  <c:v>47770</c:v>
                </c:pt>
                <c:pt idx="1198">
                  <c:v>47777</c:v>
                </c:pt>
                <c:pt idx="1199">
                  <c:v>47784</c:v>
                </c:pt>
                <c:pt idx="1200">
                  <c:v>47791</c:v>
                </c:pt>
                <c:pt idx="1201">
                  <c:v>47798</c:v>
                </c:pt>
                <c:pt idx="1202">
                  <c:v>47805</c:v>
                </c:pt>
                <c:pt idx="1203">
                  <c:v>47812</c:v>
                </c:pt>
                <c:pt idx="1204">
                  <c:v>47819</c:v>
                </c:pt>
                <c:pt idx="1205">
                  <c:v>47826</c:v>
                </c:pt>
                <c:pt idx="1206">
                  <c:v>47833</c:v>
                </c:pt>
                <c:pt idx="1207">
                  <c:v>47840</c:v>
                </c:pt>
                <c:pt idx="1208">
                  <c:v>47848</c:v>
                </c:pt>
                <c:pt idx="1209">
                  <c:v>47855</c:v>
                </c:pt>
                <c:pt idx="1210">
                  <c:v>47862</c:v>
                </c:pt>
                <c:pt idx="1211">
                  <c:v>47869</c:v>
                </c:pt>
                <c:pt idx="1212">
                  <c:v>47876</c:v>
                </c:pt>
                <c:pt idx="1213">
                  <c:v>47883</c:v>
                </c:pt>
                <c:pt idx="1214">
                  <c:v>47890</c:v>
                </c:pt>
                <c:pt idx="1215">
                  <c:v>47897</c:v>
                </c:pt>
                <c:pt idx="1216">
                  <c:v>47904</c:v>
                </c:pt>
                <c:pt idx="1217">
                  <c:v>47911</c:v>
                </c:pt>
                <c:pt idx="1218">
                  <c:v>47918</c:v>
                </c:pt>
                <c:pt idx="1219">
                  <c:v>47925</c:v>
                </c:pt>
                <c:pt idx="1220">
                  <c:v>47932</c:v>
                </c:pt>
                <c:pt idx="1221">
                  <c:v>47939</c:v>
                </c:pt>
                <c:pt idx="1222">
                  <c:v>47946</c:v>
                </c:pt>
                <c:pt idx="1223">
                  <c:v>47955</c:v>
                </c:pt>
                <c:pt idx="1224">
                  <c:v>47962</c:v>
                </c:pt>
                <c:pt idx="1225">
                  <c:v>47970</c:v>
                </c:pt>
                <c:pt idx="1226">
                  <c:v>47976</c:v>
                </c:pt>
                <c:pt idx="1227">
                  <c:v>47983</c:v>
                </c:pt>
                <c:pt idx="1228">
                  <c:v>47990</c:v>
                </c:pt>
                <c:pt idx="1229">
                  <c:v>47997</c:v>
                </c:pt>
                <c:pt idx="1230">
                  <c:v>48004</c:v>
                </c:pt>
                <c:pt idx="1231">
                  <c:v>48011</c:v>
                </c:pt>
                <c:pt idx="1232">
                  <c:v>48018</c:v>
                </c:pt>
                <c:pt idx="1233">
                  <c:v>48025</c:v>
                </c:pt>
                <c:pt idx="1234">
                  <c:v>48032</c:v>
                </c:pt>
                <c:pt idx="1235">
                  <c:v>48039</c:v>
                </c:pt>
                <c:pt idx="1236">
                  <c:v>48046</c:v>
                </c:pt>
                <c:pt idx="1237">
                  <c:v>48053</c:v>
                </c:pt>
                <c:pt idx="1238">
                  <c:v>48060</c:v>
                </c:pt>
                <c:pt idx="1239">
                  <c:v>48067</c:v>
                </c:pt>
                <c:pt idx="1240">
                  <c:v>48074</c:v>
                </c:pt>
                <c:pt idx="1241">
                  <c:v>48081</c:v>
                </c:pt>
                <c:pt idx="1242">
                  <c:v>48088</c:v>
                </c:pt>
                <c:pt idx="1243">
                  <c:v>48095</c:v>
                </c:pt>
                <c:pt idx="1244">
                  <c:v>48102</c:v>
                </c:pt>
                <c:pt idx="1245">
                  <c:v>48109</c:v>
                </c:pt>
                <c:pt idx="1246">
                  <c:v>48116</c:v>
                </c:pt>
                <c:pt idx="1247">
                  <c:v>48123</c:v>
                </c:pt>
                <c:pt idx="1248">
                  <c:v>48130</c:v>
                </c:pt>
                <c:pt idx="1249">
                  <c:v>48137</c:v>
                </c:pt>
                <c:pt idx="1250">
                  <c:v>48144</c:v>
                </c:pt>
                <c:pt idx="1251">
                  <c:v>48151</c:v>
                </c:pt>
                <c:pt idx="1252">
                  <c:v>48158</c:v>
                </c:pt>
                <c:pt idx="1253">
                  <c:v>48165</c:v>
                </c:pt>
                <c:pt idx="1254">
                  <c:v>48172</c:v>
                </c:pt>
                <c:pt idx="1255">
                  <c:v>48179</c:v>
                </c:pt>
                <c:pt idx="1256">
                  <c:v>48186</c:v>
                </c:pt>
                <c:pt idx="1257">
                  <c:v>48193</c:v>
                </c:pt>
                <c:pt idx="1258">
                  <c:v>48200</c:v>
                </c:pt>
                <c:pt idx="1259">
                  <c:v>48211</c:v>
                </c:pt>
                <c:pt idx="1260">
                  <c:v>48215</c:v>
                </c:pt>
                <c:pt idx="1261">
                  <c:v>48221</c:v>
                </c:pt>
                <c:pt idx="1262">
                  <c:v>48228</c:v>
                </c:pt>
                <c:pt idx="1263">
                  <c:v>48235</c:v>
                </c:pt>
                <c:pt idx="1264">
                  <c:v>48242</c:v>
                </c:pt>
                <c:pt idx="1265">
                  <c:v>48249</c:v>
                </c:pt>
                <c:pt idx="1266">
                  <c:v>48256</c:v>
                </c:pt>
                <c:pt idx="1267">
                  <c:v>48263</c:v>
                </c:pt>
                <c:pt idx="1268">
                  <c:v>48270</c:v>
                </c:pt>
                <c:pt idx="1269">
                  <c:v>48277</c:v>
                </c:pt>
                <c:pt idx="1270">
                  <c:v>48284</c:v>
                </c:pt>
                <c:pt idx="1271">
                  <c:v>48291</c:v>
                </c:pt>
                <c:pt idx="1272">
                  <c:v>48298</c:v>
                </c:pt>
                <c:pt idx="1273">
                  <c:v>48305</c:v>
                </c:pt>
                <c:pt idx="1274">
                  <c:v>48312</c:v>
                </c:pt>
                <c:pt idx="1275">
                  <c:v>48319</c:v>
                </c:pt>
                <c:pt idx="1276">
                  <c:v>48326</c:v>
                </c:pt>
                <c:pt idx="1277">
                  <c:v>48333</c:v>
                </c:pt>
                <c:pt idx="1278">
                  <c:v>48340</c:v>
                </c:pt>
                <c:pt idx="1279">
                  <c:v>48347</c:v>
                </c:pt>
                <c:pt idx="1280">
                  <c:v>48354</c:v>
                </c:pt>
                <c:pt idx="1281">
                  <c:v>48361</c:v>
                </c:pt>
                <c:pt idx="1282">
                  <c:v>48368</c:v>
                </c:pt>
                <c:pt idx="1283">
                  <c:v>48375</c:v>
                </c:pt>
                <c:pt idx="1284">
                  <c:v>48382</c:v>
                </c:pt>
                <c:pt idx="1285">
                  <c:v>48389</c:v>
                </c:pt>
                <c:pt idx="1286">
                  <c:v>48396</c:v>
                </c:pt>
                <c:pt idx="1287">
                  <c:v>48403</c:v>
                </c:pt>
                <c:pt idx="1288">
                  <c:v>48410</c:v>
                </c:pt>
                <c:pt idx="1289">
                  <c:v>48417</c:v>
                </c:pt>
                <c:pt idx="1290">
                  <c:v>48424</c:v>
                </c:pt>
                <c:pt idx="1291">
                  <c:v>48431</c:v>
                </c:pt>
                <c:pt idx="1292">
                  <c:v>48438</c:v>
                </c:pt>
                <c:pt idx="1293">
                  <c:v>48445</c:v>
                </c:pt>
                <c:pt idx="1294">
                  <c:v>48452</c:v>
                </c:pt>
                <c:pt idx="1295">
                  <c:v>48459</c:v>
                </c:pt>
                <c:pt idx="1296">
                  <c:v>48466</c:v>
                </c:pt>
                <c:pt idx="1297">
                  <c:v>48473</c:v>
                </c:pt>
                <c:pt idx="1298">
                  <c:v>48480</c:v>
                </c:pt>
                <c:pt idx="1299">
                  <c:v>48487</c:v>
                </c:pt>
                <c:pt idx="1300">
                  <c:v>48494</c:v>
                </c:pt>
                <c:pt idx="1301">
                  <c:v>48501</c:v>
                </c:pt>
                <c:pt idx="1302">
                  <c:v>48508</c:v>
                </c:pt>
                <c:pt idx="1303">
                  <c:v>48515</c:v>
                </c:pt>
                <c:pt idx="1304">
                  <c:v>48522</c:v>
                </c:pt>
                <c:pt idx="1305">
                  <c:v>48529</c:v>
                </c:pt>
                <c:pt idx="1306">
                  <c:v>48536</c:v>
                </c:pt>
                <c:pt idx="1307">
                  <c:v>48543</c:v>
                </c:pt>
                <c:pt idx="1308">
                  <c:v>48550</c:v>
                </c:pt>
                <c:pt idx="1309">
                  <c:v>48557</c:v>
                </c:pt>
                <c:pt idx="1310">
                  <c:v>48564</c:v>
                </c:pt>
                <c:pt idx="1311">
                  <c:v>48571</c:v>
                </c:pt>
                <c:pt idx="1312">
                  <c:v>48578</c:v>
                </c:pt>
                <c:pt idx="1313">
                  <c:v>48585</c:v>
                </c:pt>
                <c:pt idx="1314">
                  <c:v>48592</c:v>
                </c:pt>
                <c:pt idx="1315">
                  <c:v>48599</c:v>
                </c:pt>
                <c:pt idx="1316">
                  <c:v>48606</c:v>
                </c:pt>
                <c:pt idx="1317">
                  <c:v>48613</c:v>
                </c:pt>
                <c:pt idx="1318">
                  <c:v>48620</c:v>
                </c:pt>
                <c:pt idx="1319">
                  <c:v>48627</c:v>
                </c:pt>
                <c:pt idx="1320">
                  <c:v>48634</c:v>
                </c:pt>
                <c:pt idx="1321">
                  <c:v>48641</c:v>
                </c:pt>
                <c:pt idx="1322">
                  <c:v>48648</c:v>
                </c:pt>
                <c:pt idx="1323">
                  <c:v>48655</c:v>
                </c:pt>
                <c:pt idx="1324">
                  <c:v>48662</c:v>
                </c:pt>
                <c:pt idx="1325">
                  <c:v>48669</c:v>
                </c:pt>
                <c:pt idx="1326">
                  <c:v>48676</c:v>
                </c:pt>
                <c:pt idx="1327">
                  <c:v>48683</c:v>
                </c:pt>
                <c:pt idx="1328">
                  <c:v>48690</c:v>
                </c:pt>
                <c:pt idx="1329">
                  <c:v>48697</c:v>
                </c:pt>
                <c:pt idx="1330">
                  <c:v>48704</c:v>
                </c:pt>
                <c:pt idx="1331">
                  <c:v>48711</c:v>
                </c:pt>
                <c:pt idx="1332">
                  <c:v>48718</c:v>
                </c:pt>
                <c:pt idx="1333">
                  <c:v>48725</c:v>
                </c:pt>
                <c:pt idx="1334">
                  <c:v>48732</c:v>
                </c:pt>
                <c:pt idx="1335">
                  <c:v>48739</c:v>
                </c:pt>
                <c:pt idx="1336">
                  <c:v>48746</c:v>
                </c:pt>
                <c:pt idx="1337">
                  <c:v>48753</c:v>
                </c:pt>
                <c:pt idx="1338">
                  <c:v>48760</c:v>
                </c:pt>
                <c:pt idx="1339">
                  <c:v>48767</c:v>
                </c:pt>
                <c:pt idx="1340">
                  <c:v>48774</c:v>
                </c:pt>
                <c:pt idx="1341">
                  <c:v>48781</c:v>
                </c:pt>
                <c:pt idx="1342">
                  <c:v>48788</c:v>
                </c:pt>
                <c:pt idx="1343">
                  <c:v>48795</c:v>
                </c:pt>
                <c:pt idx="1344">
                  <c:v>48802</c:v>
                </c:pt>
                <c:pt idx="1345">
                  <c:v>48809</c:v>
                </c:pt>
                <c:pt idx="1346">
                  <c:v>48816</c:v>
                </c:pt>
                <c:pt idx="1347">
                  <c:v>48823</c:v>
                </c:pt>
                <c:pt idx="1348">
                  <c:v>48830</c:v>
                </c:pt>
                <c:pt idx="1349">
                  <c:v>48837</c:v>
                </c:pt>
                <c:pt idx="1350">
                  <c:v>48844</c:v>
                </c:pt>
                <c:pt idx="1351">
                  <c:v>48851</c:v>
                </c:pt>
                <c:pt idx="1352">
                  <c:v>48858</c:v>
                </c:pt>
                <c:pt idx="1353">
                  <c:v>48865</c:v>
                </c:pt>
                <c:pt idx="1354">
                  <c:v>48872</c:v>
                </c:pt>
                <c:pt idx="1355">
                  <c:v>48879</c:v>
                </c:pt>
                <c:pt idx="1356">
                  <c:v>48886</c:v>
                </c:pt>
                <c:pt idx="1357">
                  <c:v>48893</c:v>
                </c:pt>
                <c:pt idx="1358">
                  <c:v>48900</c:v>
                </c:pt>
                <c:pt idx="1359">
                  <c:v>48907</c:v>
                </c:pt>
                <c:pt idx="1360">
                  <c:v>48914</c:v>
                </c:pt>
                <c:pt idx="1361">
                  <c:v>48921</c:v>
                </c:pt>
                <c:pt idx="1362">
                  <c:v>48928</c:v>
                </c:pt>
                <c:pt idx="1363">
                  <c:v>48935</c:v>
                </c:pt>
                <c:pt idx="1364">
                  <c:v>48942</c:v>
                </c:pt>
                <c:pt idx="1365">
                  <c:v>48949</c:v>
                </c:pt>
                <c:pt idx="1366">
                  <c:v>48956</c:v>
                </c:pt>
                <c:pt idx="1367">
                  <c:v>48963</c:v>
                </c:pt>
                <c:pt idx="1368">
                  <c:v>48970</c:v>
                </c:pt>
                <c:pt idx="1369">
                  <c:v>48977</c:v>
                </c:pt>
                <c:pt idx="1370">
                  <c:v>48984</c:v>
                </c:pt>
                <c:pt idx="1371">
                  <c:v>48991</c:v>
                </c:pt>
                <c:pt idx="1372">
                  <c:v>48998</c:v>
                </c:pt>
                <c:pt idx="1373">
                  <c:v>49005</c:v>
                </c:pt>
                <c:pt idx="1374">
                  <c:v>49012</c:v>
                </c:pt>
                <c:pt idx="1375">
                  <c:v>49019</c:v>
                </c:pt>
                <c:pt idx="1376">
                  <c:v>49026</c:v>
                </c:pt>
                <c:pt idx="1377">
                  <c:v>49033</c:v>
                </c:pt>
                <c:pt idx="1378">
                  <c:v>49040</c:v>
                </c:pt>
                <c:pt idx="1379">
                  <c:v>49047</c:v>
                </c:pt>
                <c:pt idx="1380">
                  <c:v>49054</c:v>
                </c:pt>
                <c:pt idx="1381">
                  <c:v>49061</c:v>
                </c:pt>
                <c:pt idx="1382">
                  <c:v>49068</c:v>
                </c:pt>
                <c:pt idx="1383">
                  <c:v>49075</c:v>
                </c:pt>
                <c:pt idx="1384">
                  <c:v>49082</c:v>
                </c:pt>
                <c:pt idx="1385">
                  <c:v>49089</c:v>
                </c:pt>
                <c:pt idx="1386">
                  <c:v>49096</c:v>
                </c:pt>
                <c:pt idx="1387">
                  <c:v>49103</c:v>
                </c:pt>
                <c:pt idx="1388">
                  <c:v>49110</c:v>
                </c:pt>
                <c:pt idx="1389">
                  <c:v>49117</c:v>
                </c:pt>
                <c:pt idx="1390">
                  <c:v>49124</c:v>
                </c:pt>
                <c:pt idx="1391">
                  <c:v>49131</c:v>
                </c:pt>
                <c:pt idx="1392">
                  <c:v>49138</c:v>
                </c:pt>
                <c:pt idx="1393">
                  <c:v>49145</c:v>
                </c:pt>
                <c:pt idx="1394">
                  <c:v>49152</c:v>
                </c:pt>
                <c:pt idx="1395">
                  <c:v>49159</c:v>
                </c:pt>
                <c:pt idx="1396">
                  <c:v>49166</c:v>
                </c:pt>
                <c:pt idx="1397">
                  <c:v>49173</c:v>
                </c:pt>
                <c:pt idx="1398">
                  <c:v>49180</c:v>
                </c:pt>
                <c:pt idx="1399">
                  <c:v>49187</c:v>
                </c:pt>
                <c:pt idx="1400">
                  <c:v>49194</c:v>
                </c:pt>
                <c:pt idx="1401">
                  <c:v>49201</c:v>
                </c:pt>
                <c:pt idx="1402">
                  <c:v>49208</c:v>
                </c:pt>
                <c:pt idx="1403">
                  <c:v>49215</c:v>
                </c:pt>
                <c:pt idx="1404">
                  <c:v>49222</c:v>
                </c:pt>
                <c:pt idx="1405">
                  <c:v>49229</c:v>
                </c:pt>
                <c:pt idx="1406">
                  <c:v>49236</c:v>
                </c:pt>
                <c:pt idx="1407">
                  <c:v>49243</c:v>
                </c:pt>
                <c:pt idx="1408">
                  <c:v>49250</c:v>
                </c:pt>
                <c:pt idx="1409">
                  <c:v>49257</c:v>
                </c:pt>
                <c:pt idx="1410">
                  <c:v>49264</c:v>
                </c:pt>
                <c:pt idx="1411">
                  <c:v>49271</c:v>
                </c:pt>
                <c:pt idx="1412">
                  <c:v>49278</c:v>
                </c:pt>
                <c:pt idx="1413">
                  <c:v>49285</c:v>
                </c:pt>
                <c:pt idx="1414">
                  <c:v>49292</c:v>
                </c:pt>
                <c:pt idx="1415">
                  <c:v>49299</c:v>
                </c:pt>
                <c:pt idx="1416">
                  <c:v>49307</c:v>
                </c:pt>
                <c:pt idx="1417">
                  <c:v>49314</c:v>
                </c:pt>
                <c:pt idx="1418">
                  <c:v>49321</c:v>
                </c:pt>
                <c:pt idx="1419">
                  <c:v>49328</c:v>
                </c:pt>
                <c:pt idx="1420">
                  <c:v>49335</c:v>
                </c:pt>
                <c:pt idx="1421">
                  <c:v>49342</c:v>
                </c:pt>
                <c:pt idx="1422">
                  <c:v>49349</c:v>
                </c:pt>
                <c:pt idx="1423">
                  <c:v>49356</c:v>
                </c:pt>
                <c:pt idx="1424">
                  <c:v>49363</c:v>
                </c:pt>
                <c:pt idx="1425">
                  <c:v>49370</c:v>
                </c:pt>
                <c:pt idx="1426">
                  <c:v>49377</c:v>
                </c:pt>
                <c:pt idx="1427">
                  <c:v>49384</c:v>
                </c:pt>
                <c:pt idx="1428">
                  <c:v>49395</c:v>
                </c:pt>
                <c:pt idx="1429">
                  <c:v>49398</c:v>
                </c:pt>
                <c:pt idx="1430">
                  <c:v>49405</c:v>
                </c:pt>
                <c:pt idx="1431">
                  <c:v>49412</c:v>
                </c:pt>
                <c:pt idx="1432">
                  <c:v>49419</c:v>
                </c:pt>
                <c:pt idx="1433">
                  <c:v>49426</c:v>
                </c:pt>
                <c:pt idx="1434">
                  <c:v>49433</c:v>
                </c:pt>
                <c:pt idx="1435">
                  <c:v>49440</c:v>
                </c:pt>
                <c:pt idx="1436">
                  <c:v>49447</c:v>
                </c:pt>
                <c:pt idx="1437">
                  <c:v>49454</c:v>
                </c:pt>
                <c:pt idx="1438">
                  <c:v>49461</c:v>
                </c:pt>
                <c:pt idx="1439">
                  <c:v>49468</c:v>
                </c:pt>
                <c:pt idx="1440">
                  <c:v>49475</c:v>
                </c:pt>
                <c:pt idx="1441">
                  <c:v>49482</c:v>
                </c:pt>
                <c:pt idx="1442">
                  <c:v>49489</c:v>
                </c:pt>
                <c:pt idx="1443">
                  <c:v>49496</c:v>
                </c:pt>
                <c:pt idx="1444">
                  <c:v>49503</c:v>
                </c:pt>
                <c:pt idx="1445">
                  <c:v>49510</c:v>
                </c:pt>
                <c:pt idx="1446">
                  <c:v>49517</c:v>
                </c:pt>
                <c:pt idx="1447">
                  <c:v>49524</c:v>
                </c:pt>
                <c:pt idx="1448">
                  <c:v>49531</c:v>
                </c:pt>
                <c:pt idx="1449">
                  <c:v>49538</c:v>
                </c:pt>
                <c:pt idx="1450">
                  <c:v>49545</c:v>
                </c:pt>
                <c:pt idx="1451">
                  <c:v>49552</c:v>
                </c:pt>
                <c:pt idx="1452">
                  <c:v>49559</c:v>
                </c:pt>
                <c:pt idx="1453">
                  <c:v>49566</c:v>
                </c:pt>
                <c:pt idx="1454">
                  <c:v>49573</c:v>
                </c:pt>
                <c:pt idx="1455">
                  <c:v>49580</c:v>
                </c:pt>
                <c:pt idx="1456">
                  <c:v>49587</c:v>
                </c:pt>
                <c:pt idx="1457">
                  <c:v>49594</c:v>
                </c:pt>
                <c:pt idx="1458">
                  <c:v>49601</c:v>
                </c:pt>
                <c:pt idx="1459">
                  <c:v>49608</c:v>
                </c:pt>
                <c:pt idx="1460">
                  <c:v>49615</c:v>
                </c:pt>
                <c:pt idx="1461">
                  <c:v>49622</c:v>
                </c:pt>
                <c:pt idx="1462">
                  <c:v>49629</c:v>
                </c:pt>
                <c:pt idx="1463">
                  <c:v>49636</c:v>
                </c:pt>
                <c:pt idx="1464">
                  <c:v>49643</c:v>
                </c:pt>
                <c:pt idx="1465">
                  <c:v>49650</c:v>
                </c:pt>
                <c:pt idx="1466">
                  <c:v>49657</c:v>
                </c:pt>
                <c:pt idx="1467">
                  <c:v>49664</c:v>
                </c:pt>
                <c:pt idx="1468">
                  <c:v>49674</c:v>
                </c:pt>
                <c:pt idx="1469">
                  <c:v>49681</c:v>
                </c:pt>
                <c:pt idx="1470">
                  <c:v>49688</c:v>
                </c:pt>
                <c:pt idx="1471">
                  <c:v>49695</c:v>
                </c:pt>
                <c:pt idx="1472">
                  <c:v>49702</c:v>
                </c:pt>
                <c:pt idx="1473">
                  <c:v>49709</c:v>
                </c:pt>
                <c:pt idx="1474">
                  <c:v>49716</c:v>
                </c:pt>
                <c:pt idx="1475">
                  <c:v>49723</c:v>
                </c:pt>
                <c:pt idx="1476">
                  <c:v>49730</c:v>
                </c:pt>
                <c:pt idx="1477">
                  <c:v>49737</c:v>
                </c:pt>
                <c:pt idx="1478">
                  <c:v>49744</c:v>
                </c:pt>
                <c:pt idx="1479">
                  <c:v>49751</c:v>
                </c:pt>
                <c:pt idx="1480">
                  <c:v>49758</c:v>
                </c:pt>
                <c:pt idx="1481">
                  <c:v>49765</c:v>
                </c:pt>
                <c:pt idx="1482">
                  <c:v>49772</c:v>
                </c:pt>
                <c:pt idx="1483">
                  <c:v>49781</c:v>
                </c:pt>
                <c:pt idx="1484">
                  <c:v>49786</c:v>
                </c:pt>
                <c:pt idx="1485">
                  <c:v>49793</c:v>
                </c:pt>
                <c:pt idx="1486">
                  <c:v>49801</c:v>
                </c:pt>
                <c:pt idx="1487">
                  <c:v>49808</c:v>
                </c:pt>
                <c:pt idx="1488">
                  <c:v>49815</c:v>
                </c:pt>
                <c:pt idx="1489">
                  <c:v>49822</c:v>
                </c:pt>
                <c:pt idx="1490">
                  <c:v>49829</c:v>
                </c:pt>
                <c:pt idx="1491">
                  <c:v>49836</c:v>
                </c:pt>
                <c:pt idx="1492">
                  <c:v>49843</c:v>
                </c:pt>
                <c:pt idx="1493">
                  <c:v>49850</c:v>
                </c:pt>
                <c:pt idx="1494">
                  <c:v>49857</c:v>
                </c:pt>
                <c:pt idx="1495">
                  <c:v>49864</c:v>
                </c:pt>
                <c:pt idx="1496">
                  <c:v>49871</c:v>
                </c:pt>
                <c:pt idx="1497">
                  <c:v>49878</c:v>
                </c:pt>
                <c:pt idx="1498">
                  <c:v>49885</c:v>
                </c:pt>
                <c:pt idx="1499">
                  <c:v>49892</c:v>
                </c:pt>
                <c:pt idx="1500">
                  <c:v>49899</c:v>
                </c:pt>
                <c:pt idx="1501">
                  <c:v>49906</c:v>
                </c:pt>
                <c:pt idx="1502">
                  <c:v>49913</c:v>
                </c:pt>
                <c:pt idx="1503">
                  <c:v>49920</c:v>
                </c:pt>
                <c:pt idx="1504">
                  <c:v>49927</c:v>
                </c:pt>
                <c:pt idx="1505">
                  <c:v>49934</c:v>
                </c:pt>
                <c:pt idx="1506">
                  <c:v>49941</c:v>
                </c:pt>
                <c:pt idx="1507">
                  <c:v>49948</c:v>
                </c:pt>
                <c:pt idx="1508">
                  <c:v>49955</c:v>
                </c:pt>
                <c:pt idx="1509">
                  <c:v>49962</c:v>
                </c:pt>
                <c:pt idx="1510">
                  <c:v>49969</c:v>
                </c:pt>
                <c:pt idx="1511">
                  <c:v>49976</c:v>
                </c:pt>
                <c:pt idx="1512">
                  <c:v>49983</c:v>
                </c:pt>
                <c:pt idx="1513">
                  <c:v>49990</c:v>
                </c:pt>
                <c:pt idx="1514">
                  <c:v>49997</c:v>
                </c:pt>
                <c:pt idx="1515">
                  <c:v>50004</c:v>
                </c:pt>
                <c:pt idx="1516">
                  <c:v>50011</c:v>
                </c:pt>
                <c:pt idx="1517">
                  <c:v>50018</c:v>
                </c:pt>
                <c:pt idx="1518">
                  <c:v>50025</c:v>
                </c:pt>
                <c:pt idx="1519">
                  <c:v>50032</c:v>
                </c:pt>
                <c:pt idx="1520">
                  <c:v>50040</c:v>
                </c:pt>
                <c:pt idx="1521">
                  <c:v>50047</c:v>
                </c:pt>
                <c:pt idx="1522">
                  <c:v>50054</c:v>
                </c:pt>
                <c:pt idx="1523">
                  <c:v>50061</c:v>
                </c:pt>
                <c:pt idx="1524">
                  <c:v>50068</c:v>
                </c:pt>
                <c:pt idx="1525">
                  <c:v>50075</c:v>
                </c:pt>
                <c:pt idx="1526">
                  <c:v>50082</c:v>
                </c:pt>
                <c:pt idx="1527">
                  <c:v>50089</c:v>
                </c:pt>
                <c:pt idx="1528">
                  <c:v>50096</c:v>
                </c:pt>
                <c:pt idx="1529">
                  <c:v>50103</c:v>
                </c:pt>
                <c:pt idx="1530">
                  <c:v>50110</c:v>
                </c:pt>
                <c:pt idx="1531">
                  <c:v>50117</c:v>
                </c:pt>
                <c:pt idx="1532">
                  <c:v>50124</c:v>
                </c:pt>
                <c:pt idx="1533">
                  <c:v>50131</c:v>
                </c:pt>
                <c:pt idx="1534">
                  <c:v>50139</c:v>
                </c:pt>
                <c:pt idx="1535">
                  <c:v>50146</c:v>
                </c:pt>
                <c:pt idx="1536">
                  <c:v>50153</c:v>
                </c:pt>
                <c:pt idx="1537">
                  <c:v>50160</c:v>
                </c:pt>
                <c:pt idx="1538">
                  <c:v>50167</c:v>
                </c:pt>
                <c:pt idx="1539">
                  <c:v>50174</c:v>
                </c:pt>
                <c:pt idx="1540">
                  <c:v>50181</c:v>
                </c:pt>
                <c:pt idx="1541">
                  <c:v>50188</c:v>
                </c:pt>
                <c:pt idx="1542">
                  <c:v>50195</c:v>
                </c:pt>
                <c:pt idx="1543">
                  <c:v>50202</c:v>
                </c:pt>
                <c:pt idx="1544">
                  <c:v>50209</c:v>
                </c:pt>
                <c:pt idx="1545">
                  <c:v>50216</c:v>
                </c:pt>
                <c:pt idx="1546">
                  <c:v>50223</c:v>
                </c:pt>
                <c:pt idx="1547">
                  <c:v>50230</c:v>
                </c:pt>
                <c:pt idx="1548">
                  <c:v>50237</c:v>
                </c:pt>
                <c:pt idx="1549">
                  <c:v>50244</c:v>
                </c:pt>
                <c:pt idx="1550">
                  <c:v>50251</c:v>
                </c:pt>
                <c:pt idx="1551">
                  <c:v>50258</c:v>
                </c:pt>
                <c:pt idx="1552">
                  <c:v>50265</c:v>
                </c:pt>
                <c:pt idx="1553">
                  <c:v>50272</c:v>
                </c:pt>
                <c:pt idx="1554">
                  <c:v>50279</c:v>
                </c:pt>
                <c:pt idx="1555">
                  <c:v>50286</c:v>
                </c:pt>
                <c:pt idx="1556">
                  <c:v>50293</c:v>
                </c:pt>
                <c:pt idx="1557">
                  <c:v>50300</c:v>
                </c:pt>
                <c:pt idx="1558">
                  <c:v>50307</c:v>
                </c:pt>
                <c:pt idx="1559">
                  <c:v>50314</c:v>
                </c:pt>
                <c:pt idx="1560">
                  <c:v>50321</c:v>
                </c:pt>
                <c:pt idx="1561">
                  <c:v>50328</c:v>
                </c:pt>
                <c:pt idx="1562">
                  <c:v>50335</c:v>
                </c:pt>
                <c:pt idx="1563">
                  <c:v>50342</c:v>
                </c:pt>
                <c:pt idx="1564">
                  <c:v>50349</c:v>
                </c:pt>
                <c:pt idx="1565">
                  <c:v>50356</c:v>
                </c:pt>
                <c:pt idx="1566">
                  <c:v>50363</c:v>
                </c:pt>
                <c:pt idx="1567">
                  <c:v>50370</c:v>
                </c:pt>
                <c:pt idx="1568">
                  <c:v>50377</c:v>
                </c:pt>
                <c:pt idx="1569">
                  <c:v>50384</c:v>
                </c:pt>
                <c:pt idx="1570">
                  <c:v>50391</c:v>
                </c:pt>
                <c:pt idx="1571">
                  <c:v>50398</c:v>
                </c:pt>
                <c:pt idx="1572">
                  <c:v>50405</c:v>
                </c:pt>
                <c:pt idx="1573">
                  <c:v>50412</c:v>
                </c:pt>
                <c:pt idx="1574">
                  <c:v>50419</c:v>
                </c:pt>
                <c:pt idx="1575">
                  <c:v>50426</c:v>
                </c:pt>
                <c:pt idx="1576">
                  <c:v>50433</c:v>
                </c:pt>
                <c:pt idx="1577">
                  <c:v>50440</c:v>
                </c:pt>
                <c:pt idx="1578">
                  <c:v>50447</c:v>
                </c:pt>
                <c:pt idx="1579">
                  <c:v>50454</c:v>
                </c:pt>
                <c:pt idx="1580">
                  <c:v>50461</c:v>
                </c:pt>
                <c:pt idx="1581">
                  <c:v>50468</c:v>
                </c:pt>
                <c:pt idx="1582">
                  <c:v>50475</c:v>
                </c:pt>
                <c:pt idx="1583">
                  <c:v>50482</c:v>
                </c:pt>
                <c:pt idx="1584">
                  <c:v>50489</c:v>
                </c:pt>
                <c:pt idx="1585">
                  <c:v>50496</c:v>
                </c:pt>
                <c:pt idx="1586">
                  <c:v>50503</c:v>
                </c:pt>
                <c:pt idx="1587">
                  <c:v>50510</c:v>
                </c:pt>
                <c:pt idx="1588">
                  <c:v>50517</c:v>
                </c:pt>
                <c:pt idx="1589">
                  <c:v>50524</c:v>
                </c:pt>
                <c:pt idx="1590">
                  <c:v>50531</c:v>
                </c:pt>
                <c:pt idx="1591">
                  <c:v>50538</c:v>
                </c:pt>
                <c:pt idx="1592">
                  <c:v>50545</c:v>
                </c:pt>
                <c:pt idx="1593">
                  <c:v>50552</c:v>
                </c:pt>
                <c:pt idx="1594">
                  <c:v>50559</c:v>
                </c:pt>
                <c:pt idx="1595">
                  <c:v>50566</c:v>
                </c:pt>
                <c:pt idx="1596">
                  <c:v>50573</c:v>
                </c:pt>
                <c:pt idx="1597">
                  <c:v>50580</c:v>
                </c:pt>
                <c:pt idx="1598">
                  <c:v>50587</c:v>
                </c:pt>
                <c:pt idx="1599">
                  <c:v>50594</c:v>
                </c:pt>
                <c:pt idx="1600">
                  <c:v>50601</c:v>
                </c:pt>
                <c:pt idx="1601">
                  <c:v>50608</c:v>
                </c:pt>
                <c:pt idx="1602">
                  <c:v>50615</c:v>
                </c:pt>
                <c:pt idx="1603">
                  <c:v>50622</c:v>
                </c:pt>
                <c:pt idx="1604">
                  <c:v>50629</c:v>
                </c:pt>
                <c:pt idx="1605">
                  <c:v>50636</c:v>
                </c:pt>
                <c:pt idx="1606">
                  <c:v>50643</c:v>
                </c:pt>
                <c:pt idx="1607">
                  <c:v>50650</c:v>
                </c:pt>
                <c:pt idx="1608">
                  <c:v>50657</c:v>
                </c:pt>
                <c:pt idx="1609">
                  <c:v>50664</c:v>
                </c:pt>
                <c:pt idx="1610">
                  <c:v>50671</c:v>
                </c:pt>
                <c:pt idx="1611">
                  <c:v>50678</c:v>
                </c:pt>
                <c:pt idx="1612">
                  <c:v>50685</c:v>
                </c:pt>
                <c:pt idx="1613">
                  <c:v>50692</c:v>
                </c:pt>
                <c:pt idx="1614">
                  <c:v>50699</c:v>
                </c:pt>
                <c:pt idx="1615">
                  <c:v>50706</c:v>
                </c:pt>
                <c:pt idx="1616">
                  <c:v>50713</c:v>
                </c:pt>
                <c:pt idx="1617">
                  <c:v>50720</c:v>
                </c:pt>
                <c:pt idx="1618">
                  <c:v>50727</c:v>
                </c:pt>
                <c:pt idx="1619">
                  <c:v>50734</c:v>
                </c:pt>
                <c:pt idx="1620">
                  <c:v>50741</c:v>
                </c:pt>
                <c:pt idx="1621">
                  <c:v>50748</c:v>
                </c:pt>
                <c:pt idx="1622">
                  <c:v>50755</c:v>
                </c:pt>
                <c:pt idx="1623">
                  <c:v>50762</c:v>
                </c:pt>
                <c:pt idx="1624">
                  <c:v>50769</c:v>
                </c:pt>
                <c:pt idx="1625">
                  <c:v>50776</c:v>
                </c:pt>
                <c:pt idx="1626">
                  <c:v>50783</c:v>
                </c:pt>
                <c:pt idx="1627">
                  <c:v>50790</c:v>
                </c:pt>
                <c:pt idx="1628">
                  <c:v>50797</c:v>
                </c:pt>
                <c:pt idx="1629">
                  <c:v>50804</c:v>
                </c:pt>
                <c:pt idx="1630">
                  <c:v>50811</c:v>
                </c:pt>
                <c:pt idx="1631">
                  <c:v>50818</c:v>
                </c:pt>
                <c:pt idx="1632">
                  <c:v>50825</c:v>
                </c:pt>
                <c:pt idx="1633">
                  <c:v>50832</c:v>
                </c:pt>
                <c:pt idx="1634">
                  <c:v>50839</c:v>
                </c:pt>
                <c:pt idx="1635">
                  <c:v>50846</c:v>
                </c:pt>
                <c:pt idx="1636">
                  <c:v>50853</c:v>
                </c:pt>
                <c:pt idx="1637">
                  <c:v>50860</c:v>
                </c:pt>
                <c:pt idx="1638">
                  <c:v>50867</c:v>
                </c:pt>
                <c:pt idx="1639">
                  <c:v>50874</c:v>
                </c:pt>
                <c:pt idx="1640">
                  <c:v>50881</c:v>
                </c:pt>
                <c:pt idx="1641">
                  <c:v>50888</c:v>
                </c:pt>
                <c:pt idx="1642">
                  <c:v>50895</c:v>
                </c:pt>
                <c:pt idx="1643">
                  <c:v>50902</c:v>
                </c:pt>
                <c:pt idx="1644">
                  <c:v>50909</c:v>
                </c:pt>
                <c:pt idx="1645">
                  <c:v>50916</c:v>
                </c:pt>
                <c:pt idx="1646">
                  <c:v>50923</c:v>
                </c:pt>
                <c:pt idx="1647">
                  <c:v>50930</c:v>
                </c:pt>
                <c:pt idx="1648">
                  <c:v>50937</c:v>
                </c:pt>
                <c:pt idx="1649">
                  <c:v>50944</c:v>
                </c:pt>
                <c:pt idx="1650">
                  <c:v>50951</c:v>
                </c:pt>
                <c:pt idx="1651">
                  <c:v>50958</c:v>
                </c:pt>
                <c:pt idx="1652">
                  <c:v>50965</c:v>
                </c:pt>
                <c:pt idx="1653">
                  <c:v>50972</c:v>
                </c:pt>
                <c:pt idx="1654">
                  <c:v>50979</c:v>
                </c:pt>
                <c:pt idx="1655">
                  <c:v>50986</c:v>
                </c:pt>
                <c:pt idx="1656">
                  <c:v>50993</c:v>
                </c:pt>
                <c:pt idx="1657">
                  <c:v>51000</c:v>
                </c:pt>
                <c:pt idx="1658">
                  <c:v>51007</c:v>
                </c:pt>
                <c:pt idx="1659">
                  <c:v>51014</c:v>
                </c:pt>
                <c:pt idx="1660">
                  <c:v>51021</c:v>
                </c:pt>
                <c:pt idx="1661">
                  <c:v>51028</c:v>
                </c:pt>
                <c:pt idx="1662">
                  <c:v>51035</c:v>
                </c:pt>
                <c:pt idx="1663">
                  <c:v>51042</c:v>
                </c:pt>
                <c:pt idx="1664">
                  <c:v>51049</c:v>
                </c:pt>
                <c:pt idx="1665">
                  <c:v>51056</c:v>
                </c:pt>
                <c:pt idx="1666">
                  <c:v>51063</c:v>
                </c:pt>
                <c:pt idx="1667">
                  <c:v>51070</c:v>
                </c:pt>
                <c:pt idx="1668">
                  <c:v>51077</c:v>
                </c:pt>
                <c:pt idx="1669">
                  <c:v>51084</c:v>
                </c:pt>
                <c:pt idx="1670">
                  <c:v>51091</c:v>
                </c:pt>
                <c:pt idx="1671">
                  <c:v>51098</c:v>
                </c:pt>
                <c:pt idx="1672">
                  <c:v>51105</c:v>
                </c:pt>
                <c:pt idx="1673">
                  <c:v>51112</c:v>
                </c:pt>
                <c:pt idx="1674">
                  <c:v>51119</c:v>
                </c:pt>
                <c:pt idx="1675">
                  <c:v>51126</c:v>
                </c:pt>
                <c:pt idx="1676">
                  <c:v>51133</c:v>
                </c:pt>
                <c:pt idx="1677">
                  <c:v>51140</c:v>
                </c:pt>
                <c:pt idx="1678">
                  <c:v>51147</c:v>
                </c:pt>
                <c:pt idx="1679">
                  <c:v>51154</c:v>
                </c:pt>
                <c:pt idx="1680">
                  <c:v>51161</c:v>
                </c:pt>
                <c:pt idx="1681">
                  <c:v>51168</c:v>
                </c:pt>
                <c:pt idx="1682">
                  <c:v>51175</c:v>
                </c:pt>
                <c:pt idx="1683">
                  <c:v>51182</c:v>
                </c:pt>
                <c:pt idx="1684">
                  <c:v>51189</c:v>
                </c:pt>
                <c:pt idx="1685">
                  <c:v>51196</c:v>
                </c:pt>
                <c:pt idx="1686">
                  <c:v>51203</c:v>
                </c:pt>
                <c:pt idx="1687">
                  <c:v>51210</c:v>
                </c:pt>
                <c:pt idx="1688">
                  <c:v>51217</c:v>
                </c:pt>
                <c:pt idx="1689">
                  <c:v>51224</c:v>
                </c:pt>
                <c:pt idx="1690">
                  <c:v>51231</c:v>
                </c:pt>
                <c:pt idx="1691">
                  <c:v>51238</c:v>
                </c:pt>
                <c:pt idx="1692">
                  <c:v>51245</c:v>
                </c:pt>
                <c:pt idx="1693">
                  <c:v>51252</c:v>
                </c:pt>
                <c:pt idx="1694">
                  <c:v>51260</c:v>
                </c:pt>
                <c:pt idx="1695">
                  <c:v>51267</c:v>
                </c:pt>
                <c:pt idx="1696">
                  <c:v>51274</c:v>
                </c:pt>
                <c:pt idx="1697">
                  <c:v>51281</c:v>
                </c:pt>
                <c:pt idx="1698">
                  <c:v>51288</c:v>
                </c:pt>
                <c:pt idx="1699">
                  <c:v>51295</c:v>
                </c:pt>
                <c:pt idx="1700">
                  <c:v>51302</c:v>
                </c:pt>
                <c:pt idx="1701">
                  <c:v>51309</c:v>
                </c:pt>
                <c:pt idx="1702">
                  <c:v>51316</c:v>
                </c:pt>
                <c:pt idx="1703">
                  <c:v>51323</c:v>
                </c:pt>
                <c:pt idx="1704">
                  <c:v>51330</c:v>
                </c:pt>
                <c:pt idx="1705">
                  <c:v>51337</c:v>
                </c:pt>
                <c:pt idx="1706">
                  <c:v>51344</c:v>
                </c:pt>
                <c:pt idx="1707">
                  <c:v>51351</c:v>
                </c:pt>
                <c:pt idx="1708">
                  <c:v>51358</c:v>
                </c:pt>
                <c:pt idx="1709">
                  <c:v>51365</c:v>
                </c:pt>
                <c:pt idx="1710">
                  <c:v>51372</c:v>
                </c:pt>
                <c:pt idx="1711">
                  <c:v>51379</c:v>
                </c:pt>
                <c:pt idx="1712">
                  <c:v>51386</c:v>
                </c:pt>
                <c:pt idx="1713">
                  <c:v>51393</c:v>
                </c:pt>
                <c:pt idx="1714">
                  <c:v>51400</c:v>
                </c:pt>
                <c:pt idx="1715">
                  <c:v>51407</c:v>
                </c:pt>
                <c:pt idx="1716">
                  <c:v>51414</c:v>
                </c:pt>
                <c:pt idx="1717">
                  <c:v>51421</c:v>
                </c:pt>
                <c:pt idx="1718">
                  <c:v>51428</c:v>
                </c:pt>
                <c:pt idx="1719">
                  <c:v>51435</c:v>
                </c:pt>
                <c:pt idx="1720">
                  <c:v>51442</c:v>
                </c:pt>
                <c:pt idx="1721">
                  <c:v>51449</c:v>
                </c:pt>
                <c:pt idx="1722">
                  <c:v>51456</c:v>
                </c:pt>
                <c:pt idx="1723">
                  <c:v>51463</c:v>
                </c:pt>
                <c:pt idx="1724">
                  <c:v>51470</c:v>
                </c:pt>
                <c:pt idx="1725">
                  <c:v>51477</c:v>
                </c:pt>
                <c:pt idx="1726">
                  <c:v>51484</c:v>
                </c:pt>
                <c:pt idx="1727">
                  <c:v>51491</c:v>
                </c:pt>
                <c:pt idx="1728">
                  <c:v>51501</c:v>
                </c:pt>
                <c:pt idx="1729">
                  <c:v>51508</c:v>
                </c:pt>
                <c:pt idx="1730">
                  <c:v>51515</c:v>
                </c:pt>
                <c:pt idx="1731">
                  <c:v>51522</c:v>
                </c:pt>
                <c:pt idx="1732">
                  <c:v>51529</c:v>
                </c:pt>
                <c:pt idx="1733">
                  <c:v>51536</c:v>
                </c:pt>
                <c:pt idx="1734">
                  <c:v>51543</c:v>
                </c:pt>
                <c:pt idx="1735">
                  <c:v>51550</c:v>
                </c:pt>
                <c:pt idx="1736">
                  <c:v>51557</c:v>
                </c:pt>
                <c:pt idx="1737">
                  <c:v>51564</c:v>
                </c:pt>
                <c:pt idx="1738">
                  <c:v>51571</c:v>
                </c:pt>
                <c:pt idx="1739">
                  <c:v>51578</c:v>
                </c:pt>
                <c:pt idx="1740">
                  <c:v>51585</c:v>
                </c:pt>
                <c:pt idx="1741">
                  <c:v>51592</c:v>
                </c:pt>
                <c:pt idx="1742">
                  <c:v>51599</c:v>
                </c:pt>
                <c:pt idx="1743">
                  <c:v>51606</c:v>
                </c:pt>
                <c:pt idx="1744">
                  <c:v>51615</c:v>
                </c:pt>
                <c:pt idx="1745">
                  <c:v>51620</c:v>
                </c:pt>
                <c:pt idx="1746">
                  <c:v>51627</c:v>
                </c:pt>
                <c:pt idx="1747">
                  <c:v>51634</c:v>
                </c:pt>
                <c:pt idx="1748">
                  <c:v>51641</c:v>
                </c:pt>
                <c:pt idx="1749">
                  <c:v>51648</c:v>
                </c:pt>
                <c:pt idx="1750">
                  <c:v>51655</c:v>
                </c:pt>
                <c:pt idx="1751">
                  <c:v>51662</c:v>
                </c:pt>
                <c:pt idx="1752">
                  <c:v>51669</c:v>
                </c:pt>
                <c:pt idx="1753">
                  <c:v>51676</c:v>
                </c:pt>
                <c:pt idx="1754">
                  <c:v>51683</c:v>
                </c:pt>
                <c:pt idx="1755">
                  <c:v>51690</c:v>
                </c:pt>
                <c:pt idx="1756">
                  <c:v>51697</c:v>
                </c:pt>
                <c:pt idx="1757">
                  <c:v>51704</c:v>
                </c:pt>
                <c:pt idx="1758">
                  <c:v>51711</c:v>
                </c:pt>
                <c:pt idx="1759">
                  <c:v>51718</c:v>
                </c:pt>
                <c:pt idx="1760">
                  <c:v>51725</c:v>
                </c:pt>
                <c:pt idx="1761">
                  <c:v>51732</c:v>
                </c:pt>
                <c:pt idx="1762">
                  <c:v>51739</c:v>
                </c:pt>
                <c:pt idx="1763">
                  <c:v>51746</c:v>
                </c:pt>
                <c:pt idx="1764">
                  <c:v>51753</c:v>
                </c:pt>
                <c:pt idx="1765">
                  <c:v>51760</c:v>
                </c:pt>
                <c:pt idx="1766">
                  <c:v>51767</c:v>
                </c:pt>
                <c:pt idx="1767">
                  <c:v>51774</c:v>
                </c:pt>
                <c:pt idx="1768">
                  <c:v>51781</c:v>
                </c:pt>
                <c:pt idx="1769">
                  <c:v>51788</c:v>
                </c:pt>
                <c:pt idx="1770">
                  <c:v>51795</c:v>
                </c:pt>
                <c:pt idx="1771">
                  <c:v>51802</c:v>
                </c:pt>
                <c:pt idx="1772">
                  <c:v>51809</c:v>
                </c:pt>
                <c:pt idx="1773">
                  <c:v>51816</c:v>
                </c:pt>
                <c:pt idx="1774">
                  <c:v>51823</c:v>
                </c:pt>
                <c:pt idx="1775">
                  <c:v>51830</c:v>
                </c:pt>
                <c:pt idx="1776">
                  <c:v>51837</c:v>
                </c:pt>
                <c:pt idx="1777">
                  <c:v>51844</c:v>
                </c:pt>
                <c:pt idx="1778">
                  <c:v>51851</c:v>
                </c:pt>
                <c:pt idx="1779">
                  <c:v>51858</c:v>
                </c:pt>
                <c:pt idx="1780">
                  <c:v>51866</c:v>
                </c:pt>
                <c:pt idx="1781">
                  <c:v>51873</c:v>
                </c:pt>
                <c:pt idx="1782">
                  <c:v>51880</c:v>
                </c:pt>
                <c:pt idx="1783">
                  <c:v>51887</c:v>
                </c:pt>
                <c:pt idx="1784">
                  <c:v>51894</c:v>
                </c:pt>
                <c:pt idx="1785">
                  <c:v>51901</c:v>
                </c:pt>
                <c:pt idx="1786">
                  <c:v>51908</c:v>
                </c:pt>
                <c:pt idx="1787">
                  <c:v>51915</c:v>
                </c:pt>
                <c:pt idx="1788">
                  <c:v>51922</c:v>
                </c:pt>
                <c:pt idx="1789">
                  <c:v>51929</c:v>
                </c:pt>
                <c:pt idx="1790">
                  <c:v>51936</c:v>
                </c:pt>
                <c:pt idx="1791">
                  <c:v>51943</c:v>
                </c:pt>
                <c:pt idx="1792">
                  <c:v>51950</c:v>
                </c:pt>
                <c:pt idx="1793">
                  <c:v>51957</c:v>
                </c:pt>
                <c:pt idx="1794">
                  <c:v>51966</c:v>
                </c:pt>
                <c:pt idx="1795">
                  <c:v>51973</c:v>
                </c:pt>
                <c:pt idx="1796">
                  <c:v>51980</c:v>
                </c:pt>
                <c:pt idx="1797">
                  <c:v>51988</c:v>
                </c:pt>
                <c:pt idx="1798">
                  <c:v>51994</c:v>
                </c:pt>
                <c:pt idx="1799">
                  <c:v>52001</c:v>
                </c:pt>
                <c:pt idx="1800">
                  <c:v>52008</c:v>
                </c:pt>
                <c:pt idx="1801">
                  <c:v>52015</c:v>
                </c:pt>
                <c:pt idx="1802">
                  <c:v>52022</c:v>
                </c:pt>
                <c:pt idx="1803">
                  <c:v>52029</c:v>
                </c:pt>
                <c:pt idx="1804">
                  <c:v>52036</c:v>
                </c:pt>
                <c:pt idx="1805">
                  <c:v>52043</c:v>
                </c:pt>
                <c:pt idx="1806">
                  <c:v>52050</c:v>
                </c:pt>
                <c:pt idx="1807">
                  <c:v>52057</c:v>
                </c:pt>
                <c:pt idx="1808">
                  <c:v>52064</c:v>
                </c:pt>
                <c:pt idx="1809">
                  <c:v>52071</c:v>
                </c:pt>
                <c:pt idx="1810">
                  <c:v>52078</c:v>
                </c:pt>
                <c:pt idx="1811">
                  <c:v>52085</c:v>
                </c:pt>
                <c:pt idx="1812">
                  <c:v>52092</c:v>
                </c:pt>
                <c:pt idx="1813">
                  <c:v>52099</c:v>
                </c:pt>
                <c:pt idx="1814">
                  <c:v>52106</c:v>
                </c:pt>
                <c:pt idx="1815">
                  <c:v>52113</c:v>
                </c:pt>
                <c:pt idx="1816">
                  <c:v>52120</c:v>
                </c:pt>
                <c:pt idx="1817">
                  <c:v>52127</c:v>
                </c:pt>
                <c:pt idx="1818">
                  <c:v>52134</c:v>
                </c:pt>
                <c:pt idx="1819">
                  <c:v>52141</c:v>
                </c:pt>
                <c:pt idx="1820">
                  <c:v>52148</c:v>
                </c:pt>
                <c:pt idx="1821">
                  <c:v>52155</c:v>
                </c:pt>
                <c:pt idx="1822">
                  <c:v>52162</c:v>
                </c:pt>
                <c:pt idx="1823">
                  <c:v>52169</c:v>
                </c:pt>
                <c:pt idx="1824">
                  <c:v>52176</c:v>
                </c:pt>
                <c:pt idx="1825">
                  <c:v>52183</c:v>
                </c:pt>
                <c:pt idx="1826">
                  <c:v>52190</c:v>
                </c:pt>
                <c:pt idx="1827">
                  <c:v>52197</c:v>
                </c:pt>
                <c:pt idx="1828">
                  <c:v>52204</c:v>
                </c:pt>
                <c:pt idx="1829">
                  <c:v>52211</c:v>
                </c:pt>
                <c:pt idx="1830">
                  <c:v>52218</c:v>
                </c:pt>
                <c:pt idx="1831">
                  <c:v>52229</c:v>
                </c:pt>
                <c:pt idx="1832">
                  <c:v>52233</c:v>
                </c:pt>
                <c:pt idx="1833">
                  <c:v>52239</c:v>
                </c:pt>
                <c:pt idx="1834">
                  <c:v>52246</c:v>
                </c:pt>
                <c:pt idx="1835">
                  <c:v>52253</c:v>
                </c:pt>
                <c:pt idx="1836">
                  <c:v>52260</c:v>
                </c:pt>
                <c:pt idx="1837">
                  <c:v>52267</c:v>
                </c:pt>
                <c:pt idx="1838">
                  <c:v>52274</c:v>
                </c:pt>
                <c:pt idx="1839">
                  <c:v>52281</c:v>
                </c:pt>
                <c:pt idx="1840">
                  <c:v>52288</c:v>
                </c:pt>
                <c:pt idx="1841">
                  <c:v>52295</c:v>
                </c:pt>
                <c:pt idx="1842">
                  <c:v>52302</c:v>
                </c:pt>
                <c:pt idx="1843">
                  <c:v>52309</c:v>
                </c:pt>
                <c:pt idx="1844">
                  <c:v>52316</c:v>
                </c:pt>
                <c:pt idx="1845">
                  <c:v>52323</c:v>
                </c:pt>
                <c:pt idx="1846">
                  <c:v>52330</c:v>
                </c:pt>
                <c:pt idx="1847">
                  <c:v>52337</c:v>
                </c:pt>
                <c:pt idx="1848">
                  <c:v>52344</c:v>
                </c:pt>
                <c:pt idx="1849">
                  <c:v>52351</c:v>
                </c:pt>
                <c:pt idx="1850">
                  <c:v>52358</c:v>
                </c:pt>
                <c:pt idx="1851">
                  <c:v>52365</c:v>
                </c:pt>
                <c:pt idx="1852">
                  <c:v>52372</c:v>
                </c:pt>
                <c:pt idx="1853">
                  <c:v>52379</c:v>
                </c:pt>
                <c:pt idx="1854">
                  <c:v>52386</c:v>
                </c:pt>
                <c:pt idx="1855">
                  <c:v>52393</c:v>
                </c:pt>
                <c:pt idx="1856">
                  <c:v>52400</c:v>
                </c:pt>
                <c:pt idx="1857">
                  <c:v>52407</c:v>
                </c:pt>
                <c:pt idx="1858">
                  <c:v>52414</c:v>
                </c:pt>
                <c:pt idx="1859">
                  <c:v>52421</c:v>
                </c:pt>
                <c:pt idx="1860">
                  <c:v>52428</c:v>
                </c:pt>
                <c:pt idx="1861">
                  <c:v>52435</c:v>
                </c:pt>
                <c:pt idx="1862">
                  <c:v>52442</c:v>
                </c:pt>
                <c:pt idx="1863">
                  <c:v>52449</c:v>
                </c:pt>
                <c:pt idx="1864">
                  <c:v>52456</c:v>
                </c:pt>
                <c:pt idx="1865">
                  <c:v>52463</c:v>
                </c:pt>
                <c:pt idx="1866">
                  <c:v>52470</c:v>
                </c:pt>
                <c:pt idx="1867">
                  <c:v>52477</c:v>
                </c:pt>
                <c:pt idx="1868">
                  <c:v>52484</c:v>
                </c:pt>
                <c:pt idx="1869">
                  <c:v>52491</c:v>
                </c:pt>
                <c:pt idx="1870">
                  <c:v>52498</c:v>
                </c:pt>
                <c:pt idx="1871">
                  <c:v>52505</c:v>
                </c:pt>
                <c:pt idx="1872">
                  <c:v>52512</c:v>
                </c:pt>
                <c:pt idx="1873">
                  <c:v>52519</c:v>
                </c:pt>
                <c:pt idx="1874">
                  <c:v>52526</c:v>
                </c:pt>
                <c:pt idx="1875">
                  <c:v>52533</c:v>
                </c:pt>
                <c:pt idx="1876">
                  <c:v>52540</c:v>
                </c:pt>
                <c:pt idx="1877">
                  <c:v>52547</c:v>
                </c:pt>
                <c:pt idx="1878">
                  <c:v>52554</c:v>
                </c:pt>
                <c:pt idx="1879">
                  <c:v>52561</c:v>
                </c:pt>
                <c:pt idx="1880">
                  <c:v>52568</c:v>
                </c:pt>
                <c:pt idx="1881">
                  <c:v>52575</c:v>
                </c:pt>
                <c:pt idx="1882">
                  <c:v>52582</c:v>
                </c:pt>
                <c:pt idx="1883">
                  <c:v>52589</c:v>
                </c:pt>
                <c:pt idx="1884">
                  <c:v>52596</c:v>
                </c:pt>
                <c:pt idx="1885">
                  <c:v>52603</c:v>
                </c:pt>
                <c:pt idx="1886">
                  <c:v>52610</c:v>
                </c:pt>
                <c:pt idx="1887">
                  <c:v>52617</c:v>
                </c:pt>
                <c:pt idx="1888">
                  <c:v>52624</c:v>
                </c:pt>
                <c:pt idx="1889">
                  <c:v>52631</c:v>
                </c:pt>
                <c:pt idx="1890">
                  <c:v>52638</c:v>
                </c:pt>
                <c:pt idx="1891">
                  <c:v>52645</c:v>
                </c:pt>
                <c:pt idx="1892">
                  <c:v>52652</c:v>
                </c:pt>
                <c:pt idx="1893">
                  <c:v>52659</c:v>
                </c:pt>
                <c:pt idx="1894">
                  <c:v>52666</c:v>
                </c:pt>
                <c:pt idx="1895">
                  <c:v>52673</c:v>
                </c:pt>
                <c:pt idx="1896">
                  <c:v>52680</c:v>
                </c:pt>
                <c:pt idx="1897">
                  <c:v>52687</c:v>
                </c:pt>
                <c:pt idx="1898">
                  <c:v>52694</c:v>
                </c:pt>
                <c:pt idx="1899">
                  <c:v>52701</c:v>
                </c:pt>
                <c:pt idx="1900">
                  <c:v>52708</c:v>
                </c:pt>
                <c:pt idx="1901">
                  <c:v>52715</c:v>
                </c:pt>
                <c:pt idx="1902">
                  <c:v>52722</c:v>
                </c:pt>
                <c:pt idx="1903">
                  <c:v>52729</c:v>
                </c:pt>
                <c:pt idx="1904">
                  <c:v>52736</c:v>
                </c:pt>
                <c:pt idx="1905">
                  <c:v>52743</c:v>
                </c:pt>
                <c:pt idx="1906">
                  <c:v>52750</c:v>
                </c:pt>
                <c:pt idx="1907">
                  <c:v>52757</c:v>
                </c:pt>
                <c:pt idx="1908">
                  <c:v>52764</c:v>
                </c:pt>
                <c:pt idx="1909">
                  <c:v>52771</c:v>
                </c:pt>
                <c:pt idx="1910">
                  <c:v>52778</c:v>
                </c:pt>
                <c:pt idx="1911">
                  <c:v>52785</c:v>
                </c:pt>
                <c:pt idx="1912">
                  <c:v>52792</c:v>
                </c:pt>
                <c:pt idx="1913">
                  <c:v>52799</c:v>
                </c:pt>
                <c:pt idx="1914">
                  <c:v>52806</c:v>
                </c:pt>
                <c:pt idx="1915">
                  <c:v>52813</c:v>
                </c:pt>
                <c:pt idx="1916">
                  <c:v>52820</c:v>
                </c:pt>
                <c:pt idx="1917">
                  <c:v>52827</c:v>
                </c:pt>
                <c:pt idx="1918">
                  <c:v>52834</c:v>
                </c:pt>
                <c:pt idx="1919">
                  <c:v>52841</c:v>
                </c:pt>
                <c:pt idx="1920">
                  <c:v>52848</c:v>
                </c:pt>
                <c:pt idx="1921">
                  <c:v>52855</c:v>
                </c:pt>
                <c:pt idx="1922">
                  <c:v>52862</c:v>
                </c:pt>
                <c:pt idx="1923">
                  <c:v>52869</c:v>
                </c:pt>
                <c:pt idx="1924">
                  <c:v>52876</c:v>
                </c:pt>
                <c:pt idx="1925">
                  <c:v>52883</c:v>
                </c:pt>
                <c:pt idx="1926">
                  <c:v>52890</c:v>
                </c:pt>
                <c:pt idx="1927">
                  <c:v>52897</c:v>
                </c:pt>
                <c:pt idx="1928">
                  <c:v>52904</c:v>
                </c:pt>
                <c:pt idx="1929">
                  <c:v>52911</c:v>
                </c:pt>
                <c:pt idx="1930">
                  <c:v>52918</c:v>
                </c:pt>
                <c:pt idx="1931">
                  <c:v>52925</c:v>
                </c:pt>
                <c:pt idx="1932">
                  <c:v>52932</c:v>
                </c:pt>
                <c:pt idx="1933">
                  <c:v>52939</c:v>
                </c:pt>
                <c:pt idx="1934">
                  <c:v>52946</c:v>
                </c:pt>
                <c:pt idx="1935">
                  <c:v>52953</c:v>
                </c:pt>
                <c:pt idx="1936">
                  <c:v>52960</c:v>
                </c:pt>
                <c:pt idx="1937">
                  <c:v>52967</c:v>
                </c:pt>
                <c:pt idx="1938">
                  <c:v>52974</c:v>
                </c:pt>
                <c:pt idx="1939">
                  <c:v>52981</c:v>
                </c:pt>
                <c:pt idx="1940">
                  <c:v>52988</c:v>
                </c:pt>
                <c:pt idx="1941">
                  <c:v>52995</c:v>
                </c:pt>
                <c:pt idx="1942">
                  <c:v>53002</c:v>
                </c:pt>
                <c:pt idx="1943">
                  <c:v>53009</c:v>
                </c:pt>
                <c:pt idx="1944">
                  <c:v>53016</c:v>
                </c:pt>
                <c:pt idx="1945">
                  <c:v>53023</c:v>
                </c:pt>
                <c:pt idx="1946">
                  <c:v>53030</c:v>
                </c:pt>
                <c:pt idx="1947">
                  <c:v>53037</c:v>
                </c:pt>
                <c:pt idx="1948">
                  <c:v>53044</c:v>
                </c:pt>
                <c:pt idx="1949">
                  <c:v>53051</c:v>
                </c:pt>
                <c:pt idx="1950">
                  <c:v>53058</c:v>
                </c:pt>
                <c:pt idx="1951">
                  <c:v>53065</c:v>
                </c:pt>
                <c:pt idx="1952">
                  <c:v>53072</c:v>
                </c:pt>
                <c:pt idx="1953">
                  <c:v>53079</c:v>
                </c:pt>
                <c:pt idx="1954">
                  <c:v>53086</c:v>
                </c:pt>
                <c:pt idx="1955">
                  <c:v>53093</c:v>
                </c:pt>
                <c:pt idx="1956">
                  <c:v>53100</c:v>
                </c:pt>
                <c:pt idx="1957">
                  <c:v>53107</c:v>
                </c:pt>
                <c:pt idx="1958">
                  <c:v>53114</c:v>
                </c:pt>
                <c:pt idx="1959">
                  <c:v>53121</c:v>
                </c:pt>
                <c:pt idx="1960">
                  <c:v>53128</c:v>
                </c:pt>
                <c:pt idx="1961">
                  <c:v>53135</c:v>
                </c:pt>
                <c:pt idx="1962">
                  <c:v>53142</c:v>
                </c:pt>
                <c:pt idx="1963">
                  <c:v>53149</c:v>
                </c:pt>
                <c:pt idx="1964">
                  <c:v>53156</c:v>
                </c:pt>
                <c:pt idx="1965">
                  <c:v>53163</c:v>
                </c:pt>
                <c:pt idx="1966">
                  <c:v>53170</c:v>
                </c:pt>
                <c:pt idx="1967">
                  <c:v>53177</c:v>
                </c:pt>
                <c:pt idx="1968">
                  <c:v>53184</c:v>
                </c:pt>
                <c:pt idx="1969">
                  <c:v>53191</c:v>
                </c:pt>
                <c:pt idx="1970">
                  <c:v>53198</c:v>
                </c:pt>
                <c:pt idx="1971">
                  <c:v>53205</c:v>
                </c:pt>
                <c:pt idx="1972">
                  <c:v>53212</c:v>
                </c:pt>
                <c:pt idx="1973">
                  <c:v>53219</c:v>
                </c:pt>
                <c:pt idx="1974">
                  <c:v>53226</c:v>
                </c:pt>
                <c:pt idx="1975">
                  <c:v>53233</c:v>
                </c:pt>
                <c:pt idx="1976">
                  <c:v>53240</c:v>
                </c:pt>
                <c:pt idx="1977">
                  <c:v>53247</c:v>
                </c:pt>
                <c:pt idx="1978">
                  <c:v>53254</c:v>
                </c:pt>
                <c:pt idx="1979">
                  <c:v>53261</c:v>
                </c:pt>
                <c:pt idx="1980">
                  <c:v>53268</c:v>
                </c:pt>
                <c:pt idx="1981">
                  <c:v>53275</c:v>
                </c:pt>
                <c:pt idx="1982">
                  <c:v>53282</c:v>
                </c:pt>
                <c:pt idx="1983">
                  <c:v>53289</c:v>
                </c:pt>
                <c:pt idx="1984">
                  <c:v>53296</c:v>
                </c:pt>
                <c:pt idx="1985">
                  <c:v>53303</c:v>
                </c:pt>
                <c:pt idx="1986">
                  <c:v>53310</c:v>
                </c:pt>
                <c:pt idx="1987">
                  <c:v>53317</c:v>
                </c:pt>
                <c:pt idx="1988">
                  <c:v>53325</c:v>
                </c:pt>
                <c:pt idx="1989">
                  <c:v>53332</c:v>
                </c:pt>
                <c:pt idx="1990">
                  <c:v>53339</c:v>
                </c:pt>
                <c:pt idx="1991">
                  <c:v>53346</c:v>
                </c:pt>
                <c:pt idx="1992">
                  <c:v>53353</c:v>
                </c:pt>
                <c:pt idx="1993">
                  <c:v>53360</c:v>
                </c:pt>
                <c:pt idx="1994">
                  <c:v>53367</c:v>
                </c:pt>
                <c:pt idx="1995">
                  <c:v>53374</c:v>
                </c:pt>
                <c:pt idx="1996">
                  <c:v>53381</c:v>
                </c:pt>
                <c:pt idx="1997">
                  <c:v>53388</c:v>
                </c:pt>
                <c:pt idx="1998">
                  <c:v>53395</c:v>
                </c:pt>
                <c:pt idx="1999">
                  <c:v>53402</c:v>
                </c:pt>
                <c:pt idx="2000">
                  <c:v>53413</c:v>
                </c:pt>
                <c:pt idx="2001">
                  <c:v>53416</c:v>
                </c:pt>
                <c:pt idx="2002">
                  <c:v>53423</c:v>
                </c:pt>
                <c:pt idx="2003">
                  <c:v>53430</c:v>
                </c:pt>
                <c:pt idx="2004">
                  <c:v>53437</c:v>
                </c:pt>
                <c:pt idx="2005">
                  <c:v>53444</c:v>
                </c:pt>
                <c:pt idx="2006">
                  <c:v>53451</c:v>
                </c:pt>
                <c:pt idx="2007">
                  <c:v>53458</c:v>
                </c:pt>
                <c:pt idx="2008">
                  <c:v>53465</c:v>
                </c:pt>
                <c:pt idx="2009">
                  <c:v>53472</c:v>
                </c:pt>
                <c:pt idx="2010">
                  <c:v>53479</c:v>
                </c:pt>
                <c:pt idx="2011">
                  <c:v>53486</c:v>
                </c:pt>
                <c:pt idx="2012">
                  <c:v>53493</c:v>
                </c:pt>
                <c:pt idx="2013">
                  <c:v>53500</c:v>
                </c:pt>
                <c:pt idx="2014">
                  <c:v>53507</c:v>
                </c:pt>
                <c:pt idx="2015">
                  <c:v>53514</c:v>
                </c:pt>
                <c:pt idx="2016">
                  <c:v>53521</c:v>
                </c:pt>
                <c:pt idx="2017">
                  <c:v>53528</c:v>
                </c:pt>
                <c:pt idx="2018">
                  <c:v>53535</c:v>
                </c:pt>
                <c:pt idx="2019">
                  <c:v>53542</c:v>
                </c:pt>
                <c:pt idx="2020">
                  <c:v>53549</c:v>
                </c:pt>
                <c:pt idx="2021">
                  <c:v>53556</c:v>
                </c:pt>
                <c:pt idx="2022">
                  <c:v>53563</c:v>
                </c:pt>
                <c:pt idx="2023">
                  <c:v>53570</c:v>
                </c:pt>
                <c:pt idx="2024">
                  <c:v>53577</c:v>
                </c:pt>
                <c:pt idx="2025">
                  <c:v>53584</c:v>
                </c:pt>
                <c:pt idx="2026">
                  <c:v>53591</c:v>
                </c:pt>
                <c:pt idx="2027">
                  <c:v>53598</c:v>
                </c:pt>
                <c:pt idx="2028">
                  <c:v>53605</c:v>
                </c:pt>
                <c:pt idx="2029">
                  <c:v>53612</c:v>
                </c:pt>
                <c:pt idx="2030">
                  <c:v>53619</c:v>
                </c:pt>
                <c:pt idx="2031">
                  <c:v>53626</c:v>
                </c:pt>
                <c:pt idx="2032">
                  <c:v>53633</c:v>
                </c:pt>
                <c:pt idx="2033">
                  <c:v>53640</c:v>
                </c:pt>
                <c:pt idx="2034">
                  <c:v>53647</c:v>
                </c:pt>
                <c:pt idx="2035">
                  <c:v>53654</c:v>
                </c:pt>
                <c:pt idx="2036">
                  <c:v>53661</c:v>
                </c:pt>
                <c:pt idx="2037">
                  <c:v>53668</c:v>
                </c:pt>
                <c:pt idx="2038">
                  <c:v>53675</c:v>
                </c:pt>
                <c:pt idx="2039">
                  <c:v>53682</c:v>
                </c:pt>
                <c:pt idx="2040">
                  <c:v>53692</c:v>
                </c:pt>
                <c:pt idx="2041">
                  <c:v>53699</c:v>
                </c:pt>
                <c:pt idx="2042">
                  <c:v>53706</c:v>
                </c:pt>
                <c:pt idx="2043">
                  <c:v>53713</c:v>
                </c:pt>
                <c:pt idx="2044">
                  <c:v>53720</c:v>
                </c:pt>
                <c:pt idx="2045">
                  <c:v>53727</c:v>
                </c:pt>
                <c:pt idx="2046">
                  <c:v>53734</c:v>
                </c:pt>
                <c:pt idx="2047">
                  <c:v>53741</c:v>
                </c:pt>
                <c:pt idx="2048">
                  <c:v>53748</c:v>
                </c:pt>
                <c:pt idx="2049">
                  <c:v>53755</c:v>
                </c:pt>
                <c:pt idx="2050">
                  <c:v>53762</c:v>
                </c:pt>
                <c:pt idx="2051">
                  <c:v>53769</c:v>
                </c:pt>
                <c:pt idx="2052">
                  <c:v>53776</c:v>
                </c:pt>
                <c:pt idx="2053">
                  <c:v>53783</c:v>
                </c:pt>
                <c:pt idx="2054">
                  <c:v>53790</c:v>
                </c:pt>
                <c:pt idx="2055">
                  <c:v>53799</c:v>
                </c:pt>
                <c:pt idx="2056">
                  <c:v>53804</c:v>
                </c:pt>
                <c:pt idx="2057">
                  <c:v>53811</c:v>
                </c:pt>
                <c:pt idx="2058">
                  <c:v>53818</c:v>
                </c:pt>
                <c:pt idx="2059">
                  <c:v>53825</c:v>
                </c:pt>
                <c:pt idx="2060">
                  <c:v>53832</c:v>
                </c:pt>
                <c:pt idx="2061">
                  <c:v>53839</c:v>
                </c:pt>
                <c:pt idx="2062">
                  <c:v>53846</c:v>
                </c:pt>
                <c:pt idx="2063">
                  <c:v>53853</c:v>
                </c:pt>
                <c:pt idx="2064">
                  <c:v>53860</c:v>
                </c:pt>
                <c:pt idx="2065">
                  <c:v>53867</c:v>
                </c:pt>
                <c:pt idx="2066">
                  <c:v>53874</c:v>
                </c:pt>
                <c:pt idx="2067">
                  <c:v>53881</c:v>
                </c:pt>
                <c:pt idx="2068">
                  <c:v>53888</c:v>
                </c:pt>
                <c:pt idx="2069">
                  <c:v>53895</c:v>
                </c:pt>
                <c:pt idx="2070">
                  <c:v>53902</c:v>
                </c:pt>
                <c:pt idx="2071">
                  <c:v>53909</c:v>
                </c:pt>
                <c:pt idx="2072">
                  <c:v>53916</c:v>
                </c:pt>
                <c:pt idx="2073">
                  <c:v>53923</c:v>
                </c:pt>
                <c:pt idx="2074">
                  <c:v>53930</c:v>
                </c:pt>
                <c:pt idx="2075">
                  <c:v>53937</c:v>
                </c:pt>
                <c:pt idx="2076">
                  <c:v>53944</c:v>
                </c:pt>
                <c:pt idx="2077">
                  <c:v>53951</c:v>
                </c:pt>
                <c:pt idx="2078">
                  <c:v>53958</c:v>
                </c:pt>
                <c:pt idx="2079">
                  <c:v>53965</c:v>
                </c:pt>
                <c:pt idx="2080">
                  <c:v>53972</c:v>
                </c:pt>
                <c:pt idx="2081">
                  <c:v>53979</c:v>
                </c:pt>
                <c:pt idx="2082">
                  <c:v>53986</c:v>
                </c:pt>
                <c:pt idx="2083">
                  <c:v>53993</c:v>
                </c:pt>
                <c:pt idx="2084">
                  <c:v>54000</c:v>
                </c:pt>
                <c:pt idx="2085">
                  <c:v>54007</c:v>
                </c:pt>
                <c:pt idx="2086">
                  <c:v>54014</c:v>
                </c:pt>
                <c:pt idx="2087">
                  <c:v>54021</c:v>
                </c:pt>
                <c:pt idx="2088">
                  <c:v>54028</c:v>
                </c:pt>
                <c:pt idx="2089">
                  <c:v>54035</c:v>
                </c:pt>
                <c:pt idx="2090">
                  <c:v>54042</c:v>
                </c:pt>
                <c:pt idx="2091">
                  <c:v>54049</c:v>
                </c:pt>
                <c:pt idx="2092">
                  <c:v>54057</c:v>
                </c:pt>
                <c:pt idx="2093">
                  <c:v>54064</c:v>
                </c:pt>
                <c:pt idx="2094">
                  <c:v>54071</c:v>
                </c:pt>
                <c:pt idx="2095">
                  <c:v>54078</c:v>
                </c:pt>
                <c:pt idx="2096">
                  <c:v>54085</c:v>
                </c:pt>
                <c:pt idx="2097">
                  <c:v>54092</c:v>
                </c:pt>
                <c:pt idx="2098">
                  <c:v>54099</c:v>
                </c:pt>
                <c:pt idx="2099">
                  <c:v>54106</c:v>
                </c:pt>
                <c:pt idx="2100">
                  <c:v>54113</c:v>
                </c:pt>
                <c:pt idx="2101">
                  <c:v>54120</c:v>
                </c:pt>
                <c:pt idx="2102">
                  <c:v>54127</c:v>
                </c:pt>
                <c:pt idx="2103">
                  <c:v>54134</c:v>
                </c:pt>
                <c:pt idx="2104">
                  <c:v>54141</c:v>
                </c:pt>
                <c:pt idx="2105">
                  <c:v>54148</c:v>
                </c:pt>
                <c:pt idx="2106">
                  <c:v>54157</c:v>
                </c:pt>
                <c:pt idx="2107">
                  <c:v>54164</c:v>
                </c:pt>
                <c:pt idx="2108">
                  <c:v>54171</c:v>
                </c:pt>
                <c:pt idx="2109">
                  <c:v>54178</c:v>
                </c:pt>
                <c:pt idx="2110">
                  <c:v>54185</c:v>
                </c:pt>
                <c:pt idx="2111">
                  <c:v>54192</c:v>
                </c:pt>
                <c:pt idx="2112">
                  <c:v>54199</c:v>
                </c:pt>
                <c:pt idx="2113">
                  <c:v>54206</c:v>
                </c:pt>
                <c:pt idx="2114">
                  <c:v>54213</c:v>
                </c:pt>
                <c:pt idx="2115">
                  <c:v>54220</c:v>
                </c:pt>
                <c:pt idx="2116">
                  <c:v>54227</c:v>
                </c:pt>
                <c:pt idx="2117">
                  <c:v>54234</c:v>
                </c:pt>
                <c:pt idx="2118">
                  <c:v>54241</c:v>
                </c:pt>
                <c:pt idx="2119">
                  <c:v>54248</c:v>
                </c:pt>
                <c:pt idx="2120">
                  <c:v>54255</c:v>
                </c:pt>
                <c:pt idx="2121">
                  <c:v>54262</c:v>
                </c:pt>
                <c:pt idx="2122">
                  <c:v>54269</c:v>
                </c:pt>
                <c:pt idx="2123">
                  <c:v>54276</c:v>
                </c:pt>
                <c:pt idx="2124">
                  <c:v>54283</c:v>
                </c:pt>
                <c:pt idx="2125">
                  <c:v>54290</c:v>
                </c:pt>
                <c:pt idx="2126">
                  <c:v>54297</c:v>
                </c:pt>
                <c:pt idx="2127">
                  <c:v>54304</c:v>
                </c:pt>
                <c:pt idx="2128">
                  <c:v>54311</c:v>
                </c:pt>
                <c:pt idx="2129">
                  <c:v>54318</c:v>
                </c:pt>
                <c:pt idx="2130">
                  <c:v>54325</c:v>
                </c:pt>
                <c:pt idx="2131">
                  <c:v>54332</c:v>
                </c:pt>
                <c:pt idx="2132">
                  <c:v>54339</c:v>
                </c:pt>
                <c:pt idx="2133">
                  <c:v>54346</c:v>
                </c:pt>
                <c:pt idx="2134">
                  <c:v>54353</c:v>
                </c:pt>
                <c:pt idx="2135">
                  <c:v>54360</c:v>
                </c:pt>
                <c:pt idx="2136">
                  <c:v>54367</c:v>
                </c:pt>
                <c:pt idx="2137">
                  <c:v>54374</c:v>
                </c:pt>
                <c:pt idx="2138">
                  <c:v>54381</c:v>
                </c:pt>
                <c:pt idx="2139">
                  <c:v>54388</c:v>
                </c:pt>
                <c:pt idx="2140">
                  <c:v>54395</c:v>
                </c:pt>
                <c:pt idx="2141">
                  <c:v>54402</c:v>
                </c:pt>
                <c:pt idx="2142">
                  <c:v>54409</c:v>
                </c:pt>
                <c:pt idx="2143">
                  <c:v>54416</c:v>
                </c:pt>
                <c:pt idx="2144">
                  <c:v>54423</c:v>
                </c:pt>
                <c:pt idx="2145">
                  <c:v>54430</c:v>
                </c:pt>
                <c:pt idx="2146">
                  <c:v>54437</c:v>
                </c:pt>
                <c:pt idx="2147">
                  <c:v>54444</c:v>
                </c:pt>
                <c:pt idx="2148">
                  <c:v>54451</c:v>
                </c:pt>
                <c:pt idx="2149">
                  <c:v>54458</c:v>
                </c:pt>
                <c:pt idx="2150">
                  <c:v>54465</c:v>
                </c:pt>
                <c:pt idx="2151">
                  <c:v>54472</c:v>
                </c:pt>
                <c:pt idx="2152">
                  <c:v>54479</c:v>
                </c:pt>
                <c:pt idx="2153">
                  <c:v>54486</c:v>
                </c:pt>
                <c:pt idx="2154">
                  <c:v>54493</c:v>
                </c:pt>
                <c:pt idx="2155">
                  <c:v>54500</c:v>
                </c:pt>
                <c:pt idx="2156">
                  <c:v>54507</c:v>
                </c:pt>
                <c:pt idx="2157">
                  <c:v>54514</c:v>
                </c:pt>
                <c:pt idx="2158">
                  <c:v>54521</c:v>
                </c:pt>
                <c:pt idx="2159">
                  <c:v>54528</c:v>
                </c:pt>
                <c:pt idx="2160">
                  <c:v>54535</c:v>
                </c:pt>
                <c:pt idx="2161">
                  <c:v>54542</c:v>
                </c:pt>
                <c:pt idx="2162">
                  <c:v>54549</c:v>
                </c:pt>
                <c:pt idx="2163">
                  <c:v>54556</c:v>
                </c:pt>
                <c:pt idx="2164">
                  <c:v>54563</c:v>
                </c:pt>
                <c:pt idx="2165">
                  <c:v>54570</c:v>
                </c:pt>
                <c:pt idx="2166">
                  <c:v>54577</c:v>
                </c:pt>
                <c:pt idx="2167">
                  <c:v>54584</c:v>
                </c:pt>
                <c:pt idx="2168">
                  <c:v>54591</c:v>
                </c:pt>
                <c:pt idx="2169">
                  <c:v>54598</c:v>
                </c:pt>
                <c:pt idx="2170">
                  <c:v>54605</c:v>
                </c:pt>
                <c:pt idx="2171">
                  <c:v>54612</c:v>
                </c:pt>
                <c:pt idx="2172">
                  <c:v>54619</c:v>
                </c:pt>
                <c:pt idx="2173">
                  <c:v>54626</c:v>
                </c:pt>
                <c:pt idx="2174">
                  <c:v>54633</c:v>
                </c:pt>
                <c:pt idx="2175">
                  <c:v>54640</c:v>
                </c:pt>
                <c:pt idx="2176">
                  <c:v>54647</c:v>
                </c:pt>
                <c:pt idx="2177">
                  <c:v>54654</c:v>
                </c:pt>
                <c:pt idx="2178">
                  <c:v>54661</c:v>
                </c:pt>
                <c:pt idx="2179">
                  <c:v>54668</c:v>
                </c:pt>
                <c:pt idx="2180">
                  <c:v>54675</c:v>
                </c:pt>
                <c:pt idx="2181">
                  <c:v>54682</c:v>
                </c:pt>
                <c:pt idx="2182">
                  <c:v>54689</c:v>
                </c:pt>
                <c:pt idx="2183">
                  <c:v>54696</c:v>
                </c:pt>
                <c:pt idx="2184">
                  <c:v>54703</c:v>
                </c:pt>
                <c:pt idx="2185">
                  <c:v>54710</c:v>
                </c:pt>
                <c:pt idx="2186">
                  <c:v>54717</c:v>
                </c:pt>
                <c:pt idx="2187">
                  <c:v>54724</c:v>
                </c:pt>
                <c:pt idx="2188">
                  <c:v>54731</c:v>
                </c:pt>
                <c:pt idx="2189">
                  <c:v>54738</c:v>
                </c:pt>
                <c:pt idx="2190">
                  <c:v>54745</c:v>
                </c:pt>
                <c:pt idx="2191">
                  <c:v>54752</c:v>
                </c:pt>
                <c:pt idx="2192">
                  <c:v>54759</c:v>
                </c:pt>
                <c:pt idx="2193">
                  <c:v>54766</c:v>
                </c:pt>
                <c:pt idx="2194">
                  <c:v>54773</c:v>
                </c:pt>
                <c:pt idx="2195">
                  <c:v>54780</c:v>
                </c:pt>
                <c:pt idx="2196">
                  <c:v>54787</c:v>
                </c:pt>
                <c:pt idx="2197">
                  <c:v>54794</c:v>
                </c:pt>
                <c:pt idx="2198">
                  <c:v>54801</c:v>
                </c:pt>
                <c:pt idx="2199">
                  <c:v>54808</c:v>
                </c:pt>
                <c:pt idx="2200">
                  <c:v>54815</c:v>
                </c:pt>
                <c:pt idx="2201">
                  <c:v>54822</c:v>
                </c:pt>
                <c:pt idx="2202">
                  <c:v>54829</c:v>
                </c:pt>
                <c:pt idx="2203">
                  <c:v>54836</c:v>
                </c:pt>
                <c:pt idx="2204">
                  <c:v>54843</c:v>
                </c:pt>
                <c:pt idx="2205">
                  <c:v>54850</c:v>
                </c:pt>
                <c:pt idx="2206">
                  <c:v>54857</c:v>
                </c:pt>
                <c:pt idx="2207">
                  <c:v>54864</c:v>
                </c:pt>
                <c:pt idx="2208">
                  <c:v>54871</c:v>
                </c:pt>
                <c:pt idx="2209">
                  <c:v>54878</c:v>
                </c:pt>
                <c:pt idx="2210">
                  <c:v>54885</c:v>
                </c:pt>
                <c:pt idx="2211">
                  <c:v>54892</c:v>
                </c:pt>
                <c:pt idx="2212">
                  <c:v>54899</c:v>
                </c:pt>
                <c:pt idx="2213">
                  <c:v>54906</c:v>
                </c:pt>
                <c:pt idx="2214">
                  <c:v>54913</c:v>
                </c:pt>
                <c:pt idx="2215">
                  <c:v>54920</c:v>
                </c:pt>
                <c:pt idx="2216">
                  <c:v>54927</c:v>
                </c:pt>
                <c:pt idx="2217">
                  <c:v>54934</c:v>
                </c:pt>
                <c:pt idx="2218">
                  <c:v>54941</c:v>
                </c:pt>
                <c:pt idx="2219">
                  <c:v>54948</c:v>
                </c:pt>
                <c:pt idx="2220">
                  <c:v>54955</c:v>
                </c:pt>
                <c:pt idx="2221">
                  <c:v>54962</c:v>
                </c:pt>
                <c:pt idx="2222">
                  <c:v>54969</c:v>
                </c:pt>
                <c:pt idx="2223">
                  <c:v>54976</c:v>
                </c:pt>
                <c:pt idx="2224">
                  <c:v>54983</c:v>
                </c:pt>
                <c:pt idx="2225">
                  <c:v>54990</c:v>
                </c:pt>
                <c:pt idx="2226">
                  <c:v>54997</c:v>
                </c:pt>
                <c:pt idx="2227">
                  <c:v>55004</c:v>
                </c:pt>
                <c:pt idx="2228">
                  <c:v>55011</c:v>
                </c:pt>
                <c:pt idx="2229">
                  <c:v>55018</c:v>
                </c:pt>
                <c:pt idx="2230">
                  <c:v>55025</c:v>
                </c:pt>
                <c:pt idx="2231">
                  <c:v>55032</c:v>
                </c:pt>
                <c:pt idx="2232">
                  <c:v>55039</c:v>
                </c:pt>
                <c:pt idx="2233">
                  <c:v>55046</c:v>
                </c:pt>
                <c:pt idx="2234">
                  <c:v>55053</c:v>
                </c:pt>
                <c:pt idx="2235">
                  <c:v>55060</c:v>
                </c:pt>
                <c:pt idx="2236">
                  <c:v>55067</c:v>
                </c:pt>
                <c:pt idx="2237">
                  <c:v>55074</c:v>
                </c:pt>
                <c:pt idx="2238">
                  <c:v>55081</c:v>
                </c:pt>
                <c:pt idx="2239">
                  <c:v>55088</c:v>
                </c:pt>
                <c:pt idx="2240">
                  <c:v>55095</c:v>
                </c:pt>
                <c:pt idx="2241">
                  <c:v>55102</c:v>
                </c:pt>
                <c:pt idx="2242">
                  <c:v>55109</c:v>
                </c:pt>
                <c:pt idx="2243">
                  <c:v>55116</c:v>
                </c:pt>
                <c:pt idx="2244">
                  <c:v>55123</c:v>
                </c:pt>
                <c:pt idx="2245">
                  <c:v>55130</c:v>
                </c:pt>
                <c:pt idx="2246">
                  <c:v>55137</c:v>
                </c:pt>
                <c:pt idx="2247">
                  <c:v>55144</c:v>
                </c:pt>
                <c:pt idx="2248">
                  <c:v>55151</c:v>
                </c:pt>
                <c:pt idx="2249">
                  <c:v>55158</c:v>
                </c:pt>
                <c:pt idx="2250">
                  <c:v>55165</c:v>
                </c:pt>
                <c:pt idx="2251">
                  <c:v>55172</c:v>
                </c:pt>
                <c:pt idx="2252">
                  <c:v>55179</c:v>
                </c:pt>
                <c:pt idx="2253">
                  <c:v>55186</c:v>
                </c:pt>
                <c:pt idx="2254">
                  <c:v>55193</c:v>
                </c:pt>
                <c:pt idx="2255">
                  <c:v>55200</c:v>
                </c:pt>
                <c:pt idx="2256">
                  <c:v>55207</c:v>
                </c:pt>
                <c:pt idx="2257">
                  <c:v>55214</c:v>
                </c:pt>
                <c:pt idx="2258">
                  <c:v>55221</c:v>
                </c:pt>
                <c:pt idx="2259">
                  <c:v>55228</c:v>
                </c:pt>
                <c:pt idx="2260">
                  <c:v>55235</c:v>
                </c:pt>
                <c:pt idx="2261">
                  <c:v>55242</c:v>
                </c:pt>
                <c:pt idx="2262">
                  <c:v>55249</c:v>
                </c:pt>
                <c:pt idx="2263">
                  <c:v>55256</c:v>
                </c:pt>
                <c:pt idx="2264">
                  <c:v>55263</c:v>
                </c:pt>
                <c:pt idx="2265">
                  <c:v>55270</c:v>
                </c:pt>
                <c:pt idx="2266">
                  <c:v>55277</c:v>
                </c:pt>
                <c:pt idx="2267">
                  <c:v>55284</c:v>
                </c:pt>
                <c:pt idx="2268">
                  <c:v>55291</c:v>
                </c:pt>
                <c:pt idx="2269">
                  <c:v>55298</c:v>
                </c:pt>
                <c:pt idx="2270">
                  <c:v>55305</c:v>
                </c:pt>
                <c:pt idx="2271">
                  <c:v>55312</c:v>
                </c:pt>
                <c:pt idx="2272">
                  <c:v>55319</c:v>
                </c:pt>
                <c:pt idx="2273">
                  <c:v>55326</c:v>
                </c:pt>
                <c:pt idx="2274">
                  <c:v>55333</c:v>
                </c:pt>
                <c:pt idx="2275">
                  <c:v>55340</c:v>
                </c:pt>
                <c:pt idx="2276">
                  <c:v>55347</c:v>
                </c:pt>
                <c:pt idx="2277">
                  <c:v>55354</c:v>
                </c:pt>
                <c:pt idx="2278">
                  <c:v>55361</c:v>
                </c:pt>
                <c:pt idx="2279">
                  <c:v>55368</c:v>
                </c:pt>
                <c:pt idx="2280">
                  <c:v>55375</c:v>
                </c:pt>
                <c:pt idx="2281">
                  <c:v>55382</c:v>
                </c:pt>
                <c:pt idx="2282">
                  <c:v>55389</c:v>
                </c:pt>
                <c:pt idx="2283">
                  <c:v>55396</c:v>
                </c:pt>
                <c:pt idx="2284">
                  <c:v>55403</c:v>
                </c:pt>
                <c:pt idx="2285">
                  <c:v>55410</c:v>
                </c:pt>
                <c:pt idx="2286">
                  <c:v>55417</c:v>
                </c:pt>
                <c:pt idx="2287">
                  <c:v>55424</c:v>
                </c:pt>
                <c:pt idx="2288">
                  <c:v>55431</c:v>
                </c:pt>
                <c:pt idx="2289">
                  <c:v>55438</c:v>
                </c:pt>
                <c:pt idx="2290">
                  <c:v>55445</c:v>
                </c:pt>
                <c:pt idx="2291">
                  <c:v>55452</c:v>
                </c:pt>
                <c:pt idx="2292">
                  <c:v>55459</c:v>
                </c:pt>
                <c:pt idx="2293">
                  <c:v>55466</c:v>
                </c:pt>
                <c:pt idx="2294">
                  <c:v>55473</c:v>
                </c:pt>
                <c:pt idx="2295">
                  <c:v>55480</c:v>
                </c:pt>
                <c:pt idx="2296">
                  <c:v>55487</c:v>
                </c:pt>
                <c:pt idx="2297">
                  <c:v>55494</c:v>
                </c:pt>
                <c:pt idx="2298">
                  <c:v>55501</c:v>
                </c:pt>
                <c:pt idx="2299">
                  <c:v>55508</c:v>
                </c:pt>
                <c:pt idx="2300">
                  <c:v>55516</c:v>
                </c:pt>
                <c:pt idx="2301">
                  <c:v>55523</c:v>
                </c:pt>
                <c:pt idx="2302">
                  <c:v>55530</c:v>
                </c:pt>
                <c:pt idx="2303">
                  <c:v>55537</c:v>
                </c:pt>
                <c:pt idx="2304">
                  <c:v>55544</c:v>
                </c:pt>
                <c:pt idx="2305">
                  <c:v>55551</c:v>
                </c:pt>
                <c:pt idx="2306">
                  <c:v>55558</c:v>
                </c:pt>
                <c:pt idx="2307">
                  <c:v>55565</c:v>
                </c:pt>
                <c:pt idx="2308">
                  <c:v>55572</c:v>
                </c:pt>
                <c:pt idx="2309">
                  <c:v>55579</c:v>
                </c:pt>
                <c:pt idx="2310">
                  <c:v>55586</c:v>
                </c:pt>
                <c:pt idx="2311">
                  <c:v>55593</c:v>
                </c:pt>
                <c:pt idx="2312">
                  <c:v>55600</c:v>
                </c:pt>
                <c:pt idx="2313">
                  <c:v>55607</c:v>
                </c:pt>
                <c:pt idx="2314">
                  <c:v>55614</c:v>
                </c:pt>
                <c:pt idx="2315">
                  <c:v>55621</c:v>
                </c:pt>
                <c:pt idx="2316">
                  <c:v>55632</c:v>
                </c:pt>
                <c:pt idx="2317">
                  <c:v>55635</c:v>
                </c:pt>
                <c:pt idx="2318">
                  <c:v>55645</c:v>
                </c:pt>
                <c:pt idx="2319">
                  <c:v>55652</c:v>
                </c:pt>
                <c:pt idx="2320">
                  <c:v>55659</c:v>
                </c:pt>
                <c:pt idx="2321">
                  <c:v>55666</c:v>
                </c:pt>
                <c:pt idx="2322">
                  <c:v>55673</c:v>
                </c:pt>
                <c:pt idx="2323">
                  <c:v>55680</c:v>
                </c:pt>
                <c:pt idx="2324">
                  <c:v>55687</c:v>
                </c:pt>
                <c:pt idx="2325">
                  <c:v>55694</c:v>
                </c:pt>
                <c:pt idx="2326">
                  <c:v>55701</c:v>
                </c:pt>
                <c:pt idx="2327">
                  <c:v>55708</c:v>
                </c:pt>
                <c:pt idx="2328">
                  <c:v>55715</c:v>
                </c:pt>
                <c:pt idx="2329">
                  <c:v>55722</c:v>
                </c:pt>
                <c:pt idx="2330">
                  <c:v>55729</c:v>
                </c:pt>
                <c:pt idx="2331">
                  <c:v>55736</c:v>
                </c:pt>
                <c:pt idx="2332">
                  <c:v>55743</c:v>
                </c:pt>
                <c:pt idx="2333">
                  <c:v>55750</c:v>
                </c:pt>
                <c:pt idx="2334">
                  <c:v>55757</c:v>
                </c:pt>
                <c:pt idx="2335">
                  <c:v>55764</c:v>
                </c:pt>
                <c:pt idx="2336">
                  <c:v>55771</c:v>
                </c:pt>
                <c:pt idx="2337">
                  <c:v>55778</c:v>
                </c:pt>
                <c:pt idx="2338">
                  <c:v>55785</c:v>
                </c:pt>
                <c:pt idx="2339">
                  <c:v>55792</c:v>
                </c:pt>
                <c:pt idx="2340">
                  <c:v>55799</c:v>
                </c:pt>
                <c:pt idx="2341">
                  <c:v>55806</c:v>
                </c:pt>
                <c:pt idx="2342">
                  <c:v>55813</c:v>
                </c:pt>
                <c:pt idx="2343">
                  <c:v>55820</c:v>
                </c:pt>
                <c:pt idx="2344">
                  <c:v>55827</c:v>
                </c:pt>
                <c:pt idx="2345">
                  <c:v>55834</c:v>
                </c:pt>
                <c:pt idx="2346">
                  <c:v>55841</c:v>
                </c:pt>
                <c:pt idx="2347">
                  <c:v>55848</c:v>
                </c:pt>
                <c:pt idx="2348">
                  <c:v>55855</c:v>
                </c:pt>
                <c:pt idx="2349">
                  <c:v>55862</c:v>
                </c:pt>
                <c:pt idx="2350">
                  <c:v>55869</c:v>
                </c:pt>
                <c:pt idx="2351">
                  <c:v>55876</c:v>
                </c:pt>
                <c:pt idx="2352">
                  <c:v>55884</c:v>
                </c:pt>
                <c:pt idx="2353">
                  <c:v>55891</c:v>
                </c:pt>
                <c:pt idx="2354">
                  <c:v>55898</c:v>
                </c:pt>
                <c:pt idx="2355">
                  <c:v>55905</c:v>
                </c:pt>
                <c:pt idx="2356">
                  <c:v>55912</c:v>
                </c:pt>
                <c:pt idx="2357">
                  <c:v>55919</c:v>
                </c:pt>
                <c:pt idx="2358">
                  <c:v>55926</c:v>
                </c:pt>
                <c:pt idx="2359">
                  <c:v>55933</c:v>
                </c:pt>
                <c:pt idx="2360">
                  <c:v>55940</c:v>
                </c:pt>
                <c:pt idx="2361">
                  <c:v>55947</c:v>
                </c:pt>
                <c:pt idx="2362">
                  <c:v>55954</c:v>
                </c:pt>
                <c:pt idx="2363">
                  <c:v>55961</c:v>
                </c:pt>
                <c:pt idx="2364">
                  <c:v>55968</c:v>
                </c:pt>
                <c:pt idx="2365">
                  <c:v>55975</c:v>
                </c:pt>
                <c:pt idx="2366">
                  <c:v>55984</c:v>
                </c:pt>
                <c:pt idx="2367">
                  <c:v>55991</c:v>
                </c:pt>
                <c:pt idx="2368">
                  <c:v>55998</c:v>
                </c:pt>
                <c:pt idx="2369">
                  <c:v>56006</c:v>
                </c:pt>
                <c:pt idx="2370">
                  <c:v>56012</c:v>
                </c:pt>
                <c:pt idx="2371">
                  <c:v>56019</c:v>
                </c:pt>
                <c:pt idx="2372">
                  <c:v>56026</c:v>
                </c:pt>
                <c:pt idx="2373">
                  <c:v>56033</c:v>
                </c:pt>
                <c:pt idx="2374">
                  <c:v>56040</c:v>
                </c:pt>
                <c:pt idx="2375">
                  <c:v>56047</c:v>
                </c:pt>
                <c:pt idx="2376">
                  <c:v>56054</c:v>
                </c:pt>
                <c:pt idx="2377">
                  <c:v>56061</c:v>
                </c:pt>
                <c:pt idx="2378">
                  <c:v>56068</c:v>
                </c:pt>
                <c:pt idx="2379">
                  <c:v>56075</c:v>
                </c:pt>
                <c:pt idx="2380">
                  <c:v>56082</c:v>
                </c:pt>
                <c:pt idx="2381">
                  <c:v>56089</c:v>
                </c:pt>
                <c:pt idx="2382">
                  <c:v>56096</c:v>
                </c:pt>
                <c:pt idx="2383">
                  <c:v>56103</c:v>
                </c:pt>
                <c:pt idx="2384">
                  <c:v>56110</c:v>
                </c:pt>
                <c:pt idx="2385">
                  <c:v>56117</c:v>
                </c:pt>
                <c:pt idx="2386">
                  <c:v>56124</c:v>
                </c:pt>
                <c:pt idx="2387">
                  <c:v>56131</c:v>
                </c:pt>
                <c:pt idx="2388">
                  <c:v>56138</c:v>
                </c:pt>
                <c:pt idx="2389">
                  <c:v>56145</c:v>
                </c:pt>
                <c:pt idx="2390">
                  <c:v>56152</c:v>
                </c:pt>
                <c:pt idx="2391">
                  <c:v>56159</c:v>
                </c:pt>
                <c:pt idx="2392">
                  <c:v>56166</c:v>
                </c:pt>
                <c:pt idx="2393">
                  <c:v>56173</c:v>
                </c:pt>
                <c:pt idx="2394">
                  <c:v>56180</c:v>
                </c:pt>
                <c:pt idx="2395">
                  <c:v>56187</c:v>
                </c:pt>
                <c:pt idx="2396">
                  <c:v>56194</c:v>
                </c:pt>
                <c:pt idx="2397">
                  <c:v>56201</c:v>
                </c:pt>
                <c:pt idx="2398">
                  <c:v>56208</c:v>
                </c:pt>
                <c:pt idx="2399">
                  <c:v>56215</c:v>
                </c:pt>
                <c:pt idx="2400">
                  <c:v>56222</c:v>
                </c:pt>
                <c:pt idx="2401">
                  <c:v>56229</c:v>
                </c:pt>
                <c:pt idx="2402">
                  <c:v>56236</c:v>
                </c:pt>
                <c:pt idx="2403">
                  <c:v>56247</c:v>
                </c:pt>
                <c:pt idx="2404">
                  <c:v>56251</c:v>
                </c:pt>
                <c:pt idx="2405">
                  <c:v>56257</c:v>
                </c:pt>
                <c:pt idx="2406">
                  <c:v>56264</c:v>
                </c:pt>
                <c:pt idx="2407">
                  <c:v>56271</c:v>
                </c:pt>
                <c:pt idx="2408">
                  <c:v>56278</c:v>
                </c:pt>
                <c:pt idx="2409">
                  <c:v>56285</c:v>
                </c:pt>
                <c:pt idx="2410">
                  <c:v>56292</c:v>
                </c:pt>
                <c:pt idx="2411">
                  <c:v>56299</c:v>
                </c:pt>
                <c:pt idx="2412">
                  <c:v>56306</c:v>
                </c:pt>
                <c:pt idx="2413">
                  <c:v>56313</c:v>
                </c:pt>
                <c:pt idx="2414">
                  <c:v>56320</c:v>
                </c:pt>
                <c:pt idx="2415">
                  <c:v>56327</c:v>
                </c:pt>
                <c:pt idx="2416">
                  <c:v>56334</c:v>
                </c:pt>
                <c:pt idx="2417">
                  <c:v>56341</c:v>
                </c:pt>
                <c:pt idx="2418">
                  <c:v>56348</c:v>
                </c:pt>
                <c:pt idx="2419">
                  <c:v>56355</c:v>
                </c:pt>
                <c:pt idx="2420">
                  <c:v>56362</c:v>
                </c:pt>
                <c:pt idx="2421">
                  <c:v>56369</c:v>
                </c:pt>
                <c:pt idx="2422">
                  <c:v>56376</c:v>
                </c:pt>
                <c:pt idx="2423">
                  <c:v>56383</c:v>
                </c:pt>
                <c:pt idx="2424">
                  <c:v>56390</c:v>
                </c:pt>
                <c:pt idx="2425">
                  <c:v>56397</c:v>
                </c:pt>
                <c:pt idx="2426">
                  <c:v>56404</c:v>
                </c:pt>
                <c:pt idx="2427">
                  <c:v>56411</c:v>
                </c:pt>
                <c:pt idx="2428">
                  <c:v>56418</c:v>
                </c:pt>
                <c:pt idx="2429">
                  <c:v>56425</c:v>
                </c:pt>
                <c:pt idx="2430">
                  <c:v>56432</c:v>
                </c:pt>
                <c:pt idx="2431">
                  <c:v>56439</c:v>
                </c:pt>
                <c:pt idx="2432">
                  <c:v>56446</c:v>
                </c:pt>
                <c:pt idx="2433">
                  <c:v>56453</c:v>
                </c:pt>
                <c:pt idx="2434">
                  <c:v>56460</c:v>
                </c:pt>
                <c:pt idx="2435">
                  <c:v>56467</c:v>
                </c:pt>
                <c:pt idx="2436">
                  <c:v>56474</c:v>
                </c:pt>
                <c:pt idx="2437">
                  <c:v>56481</c:v>
                </c:pt>
                <c:pt idx="2438">
                  <c:v>56488</c:v>
                </c:pt>
                <c:pt idx="2439">
                  <c:v>56495</c:v>
                </c:pt>
                <c:pt idx="2440">
                  <c:v>56502</c:v>
                </c:pt>
                <c:pt idx="2441">
                  <c:v>56509</c:v>
                </c:pt>
                <c:pt idx="2442">
                  <c:v>56516</c:v>
                </c:pt>
                <c:pt idx="2443">
                  <c:v>56523</c:v>
                </c:pt>
                <c:pt idx="2444">
                  <c:v>56530</c:v>
                </c:pt>
                <c:pt idx="2445">
                  <c:v>56537</c:v>
                </c:pt>
                <c:pt idx="2446">
                  <c:v>56544</c:v>
                </c:pt>
                <c:pt idx="2447">
                  <c:v>56551</c:v>
                </c:pt>
                <c:pt idx="2448">
                  <c:v>56558</c:v>
                </c:pt>
                <c:pt idx="2449">
                  <c:v>56565</c:v>
                </c:pt>
                <c:pt idx="2450">
                  <c:v>56572</c:v>
                </c:pt>
                <c:pt idx="2451">
                  <c:v>56579</c:v>
                </c:pt>
                <c:pt idx="2452">
                  <c:v>56586</c:v>
                </c:pt>
                <c:pt idx="2453">
                  <c:v>56593</c:v>
                </c:pt>
                <c:pt idx="2454">
                  <c:v>56600</c:v>
                </c:pt>
                <c:pt idx="2455">
                  <c:v>56607</c:v>
                </c:pt>
                <c:pt idx="2456">
                  <c:v>56614</c:v>
                </c:pt>
                <c:pt idx="2457">
                  <c:v>56621</c:v>
                </c:pt>
                <c:pt idx="2458">
                  <c:v>56628</c:v>
                </c:pt>
                <c:pt idx="2459">
                  <c:v>56635</c:v>
                </c:pt>
                <c:pt idx="2460">
                  <c:v>56642</c:v>
                </c:pt>
                <c:pt idx="2461">
                  <c:v>56649</c:v>
                </c:pt>
                <c:pt idx="2462">
                  <c:v>56656</c:v>
                </c:pt>
                <c:pt idx="2463">
                  <c:v>56663</c:v>
                </c:pt>
                <c:pt idx="2464">
                  <c:v>56670</c:v>
                </c:pt>
                <c:pt idx="2465">
                  <c:v>56677</c:v>
                </c:pt>
                <c:pt idx="2466">
                  <c:v>56684</c:v>
                </c:pt>
                <c:pt idx="2467">
                  <c:v>56691</c:v>
                </c:pt>
                <c:pt idx="2468">
                  <c:v>56698</c:v>
                </c:pt>
                <c:pt idx="2469">
                  <c:v>56705</c:v>
                </c:pt>
                <c:pt idx="2470">
                  <c:v>56712</c:v>
                </c:pt>
                <c:pt idx="2471">
                  <c:v>56719</c:v>
                </c:pt>
                <c:pt idx="2472">
                  <c:v>56726</c:v>
                </c:pt>
                <c:pt idx="2473">
                  <c:v>56733</c:v>
                </c:pt>
                <c:pt idx="2474">
                  <c:v>56740</c:v>
                </c:pt>
                <c:pt idx="2475">
                  <c:v>56747</c:v>
                </c:pt>
                <c:pt idx="2476">
                  <c:v>56754</c:v>
                </c:pt>
                <c:pt idx="2477">
                  <c:v>56761</c:v>
                </c:pt>
                <c:pt idx="2478">
                  <c:v>56768</c:v>
                </c:pt>
                <c:pt idx="2479">
                  <c:v>56775</c:v>
                </c:pt>
                <c:pt idx="2480">
                  <c:v>56782</c:v>
                </c:pt>
                <c:pt idx="2481">
                  <c:v>56789</c:v>
                </c:pt>
                <c:pt idx="2482">
                  <c:v>56796</c:v>
                </c:pt>
                <c:pt idx="2483">
                  <c:v>56803</c:v>
                </c:pt>
                <c:pt idx="2484">
                  <c:v>56810</c:v>
                </c:pt>
                <c:pt idx="2485">
                  <c:v>56817</c:v>
                </c:pt>
                <c:pt idx="2486">
                  <c:v>56824</c:v>
                </c:pt>
                <c:pt idx="2487">
                  <c:v>56831</c:v>
                </c:pt>
                <c:pt idx="2488">
                  <c:v>56838</c:v>
                </c:pt>
                <c:pt idx="2489">
                  <c:v>56845</c:v>
                </c:pt>
                <c:pt idx="2490">
                  <c:v>56852</c:v>
                </c:pt>
                <c:pt idx="2491">
                  <c:v>56859</c:v>
                </c:pt>
                <c:pt idx="2492">
                  <c:v>56866</c:v>
                </c:pt>
                <c:pt idx="2493">
                  <c:v>56873</c:v>
                </c:pt>
                <c:pt idx="2494">
                  <c:v>56880</c:v>
                </c:pt>
                <c:pt idx="2495">
                  <c:v>56887</c:v>
                </c:pt>
                <c:pt idx="2496">
                  <c:v>56894</c:v>
                </c:pt>
                <c:pt idx="2497">
                  <c:v>56901</c:v>
                </c:pt>
                <c:pt idx="2498">
                  <c:v>56908</c:v>
                </c:pt>
                <c:pt idx="2499">
                  <c:v>56915</c:v>
                </c:pt>
                <c:pt idx="2500">
                  <c:v>56922</c:v>
                </c:pt>
                <c:pt idx="2501">
                  <c:v>56929</c:v>
                </c:pt>
                <c:pt idx="2502">
                  <c:v>56936</c:v>
                </c:pt>
                <c:pt idx="2503">
                  <c:v>56943</c:v>
                </c:pt>
                <c:pt idx="2504">
                  <c:v>56950</c:v>
                </c:pt>
                <c:pt idx="2505">
                  <c:v>56957</c:v>
                </c:pt>
                <c:pt idx="2506">
                  <c:v>56964</c:v>
                </c:pt>
                <c:pt idx="2507">
                  <c:v>56971</c:v>
                </c:pt>
                <c:pt idx="2508">
                  <c:v>56978</c:v>
                </c:pt>
                <c:pt idx="2509">
                  <c:v>56985</c:v>
                </c:pt>
                <c:pt idx="2510">
                  <c:v>56992</c:v>
                </c:pt>
                <c:pt idx="2511">
                  <c:v>56999</c:v>
                </c:pt>
                <c:pt idx="2512">
                  <c:v>57006</c:v>
                </c:pt>
                <c:pt idx="2513">
                  <c:v>57013</c:v>
                </c:pt>
                <c:pt idx="2514">
                  <c:v>57020</c:v>
                </c:pt>
                <c:pt idx="2515">
                  <c:v>57027</c:v>
                </c:pt>
                <c:pt idx="2516">
                  <c:v>57034</c:v>
                </c:pt>
                <c:pt idx="2517">
                  <c:v>57041</c:v>
                </c:pt>
                <c:pt idx="2518">
                  <c:v>57048</c:v>
                </c:pt>
                <c:pt idx="2519">
                  <c:v>57055</c:v>
                </c:pt>
                <c:pt idx="2520">
                  <c:v>57062</c:v>
                </c:pt>
                <c:pt idx="2521">
                  <c:v>57069</c:v>
                </c:pt>
                <c:pt idx="2522">
                  <c:v>57076</c:v>
                </c:pt>
                <c:pt idx="2523">
                  <c:v>57083</c:v>
                </c:pt>
                <c:pt idx="2524">
                  <c:v>57090</c:v>
                </c:pt>
                <c:pt idx="2525">
                  <c:v>57097</c:v>
                </c:pt>
                <c:pt idx="2526">
                  <c:v>57104</c:v>
                </c:pt>
                <c:pt idx="2527">
                  <c:v>57111</c:v>
                </c:pt>
                <c:pt idx="2528">
                  <c:v>57118</c:v>
                </c:pt>
                <c:pt idx="2529">
                  <c:v>57125</c:v>
                </c:pt>
                <c:pt idx="2530">
                  <c:v>57132</c:v>
                </c:pt>
                <c:pt idx="2531">
                  <c:v>57139</c:v>
                </c:pt>
                <c:pt idx="2532">
                  <c:v>57146</c:v>
                </c:pt>
                <c:pt idx="2533">
                  <c:v>57153</c:v>
                </c:pt>
                <c:pt idx="2534">
                  <c:v>57160</c:v>
                </c:pt>
                <c:pt idx="2535">
                  <c:v>57167</c:v>
                </c:pt>
                <c:pt idx="2536">
                  <c:v>57174</c:v>
                </c:pt>
                <c:pt idx="2537">
                  <c:v>57181</c:v>
                </c:pt>
                <c:pt idx="2538">
                  <c:v>57188</c:v>
                </c:pt>
                <c:pt idx="2539">
                  <c:v>57195</c:v>
                </c:pt>
                <c:pt idx="2540">
                  <c:v>57202</c:v>
                </c:pt>
                <c:pt idx="2541">
                  <c:v>57209</c:v>
                </c:pt>
                <c:pt idx="2542">
                  <c:v>57216</c:v>
                </c:pt>
                <c:pt idx="2543">
                  <c:v>57223</c:v>
                </c:pt>
                <c:pt idx="2544">
                  <c:v>57230</c:v>
                </c:pt>
                <c:pt idx="2545">
                  <c:v>57237</c:v>
                </c:pt>
                <c:pt idx="2546">
                  <c:v>57244</c:v>
                </c:pt>
                <c:pt idx="2547">
                  <c:v>57251</c:v>
                </c:pt>
                <c:pt idx="2548">
                  <c:v>57258</c:v>
                </c:pt>
                <c:pt idx="2549">
                  <c:v>57265</c:v>
                </c:pt>
                <c:pt idx="2550">
                  <c:v>57272</c:v>
                </c:pt>
                <c:pt idx="2551">
                  <c:v>57279</c:v>
                </c:pt>
                <c:pt idx="2552">
                  <c:v>57286</c:v>
                </c:pt>
                <c:pt idx="2553">
                  <c:v>57293</c:v>
                </c:pt>
                <c:pt idx="2554">
                  <c:v>57300</c:v>
                </c:pt>
                <c:pt idx="2555">
                  <c:v>57307</c:v>
                </c:pt>
                <c:pt idx="2556">
                  <c:v>57314</c:v>
                </c:pt>
                <c:pt idx="2557">
                  <c:v>57321</c:v>
                </c:pt>
                <c:pt idx="2558">
                  <c:v>57328</c:v>
                </c:pt>
                <c:pt idx="2559">
                  <c:v>57335</c:v>
                </c:pt>
                <c:pt idx="2560">
                  <c:v>57343</c:v>
                </c:pt>
                <c:pt idx="2561">
                  <c:v>57350</c:v>
                </c:pt>
                <c:pt idx="2562">
                  <c:v>57357</c:v>
                </c:pt>
                <c:pt idx="2563">
                  <c:v>57364</c:v>
                </c:pt>
                <c:pt idx="2564">
                  <c:v>57371</c:v>
                </c:pt>
                <c:pt idx="2565">
                  <c:v>57378</c:v>
                </c:pt>
                <c:pt idx="2566">
                  <c:v>57385</c:v>
                </c:pt>
                <c:pt idx="2567">
                  <c:v>57392</c:v>
                </c:pt>
                <c:pt idx="2568">
                  <c:v>57399</c:v>
                </c:pt>
                <c:pt idx="2569">
                  <c:v>57406</c:v>
                </c:pt>
                <c:pt idx="2570">
                  <c:v>57413</c:v>
                </c:pt>
                <c:pt idx="2571">
                  <c:v>57420</c:v>
                </c:pt>
                <c:pt idx="2572">
                  <c:v>57427</c:v>
                </c:pt>
                <c:pt idx="2573">
                  <c:v>57434</c:v>
                </c:pt>
                <c:pt idx="2574">
                  <c:v>57441</c:v>
                </c:pt>
                <c:pt idx="2575">
                  <c:v>57448</c:v>
                </c:pt>
                <c:pt idx="2576">
                  <c:v>57459</c:v>
                </c:pt>
                <c:pt idx="2577">
                  <c:v>57462</c:v>
                </c:pt>
                <c:pt idx="2578">
                  <c:v>57469</c:v>
                </c:pt>
                <c:pt idx="2579">
                  <c:v>57476</c:v>
                </c:pt>
                <c:pt idx="2580">
                  <c:v>57483</c:v>
                </c:pt>
                <c:pt idx="2581">
                  <c:v>57490</c:v>
                </c:pt>
                <c:pt idx="2582">
                  <c:v>57497</c:v>
                </c:pt>
                <c:pt idx="2583">
                  <c:v>57504</c:v>
                </c:pt>
                <c:pt idx="2584">
                  <c:v>57511</c:v>
                </c:pt>
                <c:pt idx="2585">
                  <c:v>57518</c:v>
                </c:pt>
                <c:pt idx="2586">
                  <c:v>57525</c:v>
                </c:pt>
                <c:pt idx="2587">
                  <c:v>57532</c:v>
                </c:pt>
                <c:pt idx="2588">
                  <c:v>57539</c:v>
                </c:pt>
                <c:pt idx="2589">
                  <c:v>57546</c:v>
                </c:pt>
                <c:pt idx="2590">
                  <c:v>57553</c:v>
                </c:pt>
                <c:pt idx="2591">
                  <c:v>57560</c:v>
                </c:pt>
                <c:pt idx="2592">
                  <c:v>57567</c:v>
                </c:pt>
                <c:pt idx="2593">
                  <c:v>57574</c:v>
                </c:pt>
                <c:pt idx="2594">
                  <c:v>57581</c:v>
                </c:pt>
                <c:pt idx="2595">
                  <c:v>57588</c:v>
                </c:pt>
                <c:pt idx="2596">
                  <c:v>57595</c:v>
                </c:pt>
                <c:pt idx="2597">
                  <c:v>57602</c:v>
                </c:pt>
                <c:pt idx="2598">
                  <c:v>57609</c:v>
                </c:pt>
                <c:pt idx="2599">
                  <c:v>57616</c:v>
                </c:pt>
                <c:pt idx="2600">
                  <c:v>57623</c:v>
                </c:pt>
                <c:pt idx="2601">
                  <c:v>57630</c:v>
                </c:pt>
                <c:pt idx="2602">
                  <c:v>57637</c:v>
                </c:pt>
                <c:pt idx="2603">
                  <c:v>57644</c:v>
                </c:pt>
                <c:pt idx="2604">
                  <c:v>57651</c:v>
                </c:pt>
                <c:pt idx="2605">
                  <c:v>57658</c:v>
                </c:pt>
                <c:pt idx="2606">
                  <c:v>57665</c:v>
                </c:pt>
                <c:pt idx="2607">
                  <c:v>57672</c:v>
                </c:pt>
                <c:pt idx="2608">
                  <c:v>57679</c:v>
                </c:pt>
                <c:pt idx="2609">
                  <c:v>57686</c:v>
                </c:pt>
                <c:pt idx="2610">
                  <c:v>57693</c:v>
                </c:pt>
                <c:pt idx="2611">
                  <c:v>57700</c:v>
                </c:pt>
                <c:pt idx="2612">
                  <c:v>57710</c:v>
                </c:pt>
                <c:pt idx="2613">
                  <c:v>57717</c:v>
                </c:pt>
                <c:pt idx="2614">
                  <c:v>57724</c:v>
                </c:pt>
                <c:pt idx="2615">
                  <c:v>57731</c:v>
                </c:pt>
                <c:pt idx="2616">
                  <c:v>57738</c:v>
                </c:pt>
                <c:pt idx="2617">
                  <c:v>57745</c:v>
                </c:pt>
                <c:pt idx="2618">
                  <c:v>57752</c:v>
                </c:pt>
                <c:pt idx="2619">
                  <c:v>57759</c:v>
                </c:pt>
                <c:pt idx="2620">
                  <c:v>57766</c:v>
                </c:pt>
                <c:pt idx="2621">
                  <c:v>57773</c:v>
                </c:pt>
                <c:pt idx="2622">
                  <c:v>57780</c:v>
                </c:pt>
                <c:pt idx="2623">
                  <c:v>57787</c:v>
                </c:pt>
                <c:pt idx="2624">
                  <c:v>57794</c:v>
                </c:pt>
                <c:pt idx="2625">
                  <c:v>57801</c:v>
                </c:pt>
                <c:pt idx="2626">
                  <c:v>57808</c:v>
                </c:pt>
                <c:pt idx="2627">
                  <c:v>57817</c:v>
                </c:pt>
                <c:pt idx="2628">
                  <c:v>57822</c:v>
                </c:pt>
                <c:pt idx="2629">
                  <c:v>57829</c:v>
                </c:pt>
                <c:pt idx="2630">
                  <c:v>57836</c:v>
                </c:pt>
                <c:pt idx="2631">
                  <c:v>57843</c:v>
                </c:pt>
                <c:pt idx="2632">
                  <c:v>57850</c:v>
                </c:pt>
                <c:pt idx="2633">
                  <c:v>57857</c:v>
                </c:pt>
                <c:pt idx="2634">
                  <c:v>57864</c:v>
                </c:pt>
                <c:pt idx="2635">
                  <c:v>57871</c:v>
                </c:pt>
                <c:pt idx="2636">
                  <c:v>57878</c:v>
                </c:pt>
                <c:pt idx="2637">
                  <c:v>57885</c:v>
                </c:pt>
                <c:pt idx="2638">
                  <c:v>57892</c:v>
                </c:pt>
                <c:pt idx="2639">
                  <c:v>57899</c:v>
                </c:pt>
                <c:pt idx="2640">
                  <c:v>57906</c:v>
                </c:pt>
                <c:pt idx="2641">
                  <c:v>57913</c:v>
                </c:pt>
                <c:pt idx="2642">
                  <c:v>57920</c:v>
                </c:pt>
                <c:pt idx="2643">
                  <c:v>57927</c:v>
                </c:pt>
                <c:pt idx="2644">
                  <c:v>57934</c:v>
                </c:pt>
                <c:pt idx="2645">
                  <c:v>57941</c:v>
                </c:pt>
                <c:pt idx="2646">
                  <c:v>57948</c:v>
                </c:pt>
                <c:pt idx="2647">
                  <c:v>57955</c:v>
                </c:pt>
                <c:pt idx="2648">
                  <c:v>57962</c:v>
                </c:pt>
                <c:pt idx="2649">
                  <c:v>57969</c:v>
                </c:pt>
                <c:pt idx="2650">
                  <c:v>57976</c:v>
                </c:pt>
                <c:pt idx="2651">
                  <c:v>57983</c:v>
                </c:pt>
                <c:pt idx="2652">
                  <c:v>57990</c:v>
                </c:pt>
                <c:pt idx="2653">
                  <c:v>57997</c:v>
                </c:pt>
                <c:pt idx="2654">
                  <c:v>58004</c:v>
                </c:pt>
                <c:pt idx="2655">
                  <c:v>58011</c:v>
                </c:pt>
                <c:pt idx="2656">
                  <c:v>58018</c:v>
                </c:pt>
                <c:pt idx="2657">
                  <c:v>58025</c:v>
                </c:pt>
                <c:pt idx="2658">
                  <c:v>58032</c:v>
                </c:pt>
                <c:pt idx="2659">
                  <c:v>58039</c:v>
                </c:pt>
                <c:pt idx="2660">
                  <c:v>58046</c:v>
                </c:pt>
                <c:pt idx="2661">
                  <c:v>58053</c:v>
                </c:pt>
                <c:pt idx="2662">
                  <c:v>58060</c:v>
                </c:pt>
                <c:pt idx="2663">
                  <c:v>58067</c:v>
                </c:pt>
                <c:pt idx="2664">
                  <c:v>58075</c:v>
                </c:pt>
                <c:pt idx="2665">
                  <c:v>58082</c:v>
                </c:pt>
                <c:pt idx="2666">
                  <c:v>58089</c:v>
                </c:pt>
                <c:pt idx="2667">
                  <c:v>58096</c:v>
                </c:pt>
                <c:pt idx="2668">
                  <c:v>58103</c:v>
                </c:pt>
                <c:pt idx="2669">
                  <c:v>58110</c:v>
                </c:pt>
                <c:pt idx="2670">
                  <c:v>58117</c:v>
                </c:pt>
                <c:pt idx="2671">
                  <c:v>58124</c:v>
                </c:pt>
                <c:pt idx="2672">
                  <c:v>58131</c:v>
                </c:pt>
                <c:pt idx="2673">
                  <c:v>58138</c:v>
                </c:pt>
                <c:pt idx="2674">
                  <c:v>58145</c:v>
                </c:pt>
                <c:pt idx="2675">
                  <c:v>58152</c:v>
                </c:pt>
                <c:pt idx="2676">
                  <c:v>58159</c:v>
                </c:pt>
                <c:pt idx="2677">
                  <c:v>58168</c:v>
                </c:pt>
                <c:pt idx="2678">
                  <c:v>58175</c:v>
                </c:pt>
                <c:pt idx="2679">
                  <c:v>58182</c:v>
                </c:pt>
                <c:pt idx="2680">
                  <c:v>58189</c:v>
                </c:pt>
                <c:pt idx="2681">
                  <c:v>58197</c:v>
                </c:pt>
                <c:pt idx="2682">
                  <c:v>58203</c:v>
                </c:pt>
                <c:pt idx="2683">
                  <c:v>58210</c:v>
                </c:pt>
                <c:pt idx="2684">
                  <c:v>58217</c:v>
                </c:pt>
                <c:pt idx="2685">
                  <c:v>58224</c:v>
                </c:pt>
                <c:pt idx="2686">
                  <c:v>58231</c:v>
                </c:pt>
                <c:pt idx="2687">
                  <c:v>58238</c:v>
                </c:pt>
                <c:pt idx="2688">
                  <c:v>58245</c:v>
                </c:pt>
                <c:pt idx="2689">
                  <c:v>58252</c:v>
                </c:pt>
                <c:pt idx="2690">
                  <c:v>58259</c:v>
                </c:pt>
                <c:pt idx="2691">
                  <c:v>58266</c:v>
                </c:pt>
                <c:pt idx="2692">
                  <c:v>58273</c:v>
                </c:pt>
                <c:pt idx="2693">
                  <c:v>58280</c:v>
                </c:pt>
                <c:pt idx="2694">
                  <c:v>58287</c:v>
                </c:pt>
                <c:pt idx="2695">
                  <c:v>58294</c:v>
                </c:pt>
                <c:pt idx="2696">
                  <c:v>58301</c:v>
                </c:pt>
                <c:pt idx="2697">
                  <c:v>58308</c:v>
                </c:pt>
                <c:pt idx="2698">
                  <c:v>58315</c:v>
                </c:pt>
                <c:pt idx="2699">
                  <c:v>58322</c:v>
                </c:pt>
                <c:pt idx="2700">
                  <c:v>58329</c:v>
                </c:pt>
                <c:pt idx="2701">
                  <c:v>58336</c:v>
                </c:pt>
                <c:pt idx="2702">
                  <c:v>58343</c:v>
                </c:pt>
                <c:pt idx="2703">
                  <c:v>58350</c:v>
                </c:pt>
                <c:pt idx="2704">
                  <c:v>58357</c:v>
                </c:pt>
                <c:pt idx="2705">
                  <c:v>58364</c:v>
                </c:pt>
                <c:pt idx="2706">
                  <c:v>58371</c:v>
                </c:pt>
                <c:pt idx="2707">
                  <c:v>58378</c:v>
                </c:pt>
                <c:pt idx="2708">
                  <c:v>58385</c:v>
                </c:pt>
                <c:pt idx="2709">
                  <c:v>58392</c:v>
                </c:pt>
                <c:pt idx="2710">
                  <c:v>58399</c:v>
                </c:pt>
                <c:pt idx="2711">
                  <c:v>58406</c:v>
                </c:pt>
                <c:pt idx="2712">
                  <c:v>58413</c:v>
                </c:pt>
                <c:pt idx="2713">
                  <c:v>58420</c:v>
                </c:pt>
                <c:pt idx="2714">
                  <c:v>58427</c:v>
                </c:pt>
                <c:pt idx="2715">
                  <c:v>58438</c:v>
                </c:pt>
                <c:pt idx="2716">
                  <c:v>58442</c:v>
                </c:pt>
                <c:pt idx="2717">
                  <c:v>58448</c:v>
                </c:pt>
                <c:pt idx="2718">
                  <c:v>58455</c:v>
                </c:pt>
                <c:pt idx="2719">
                  <c:v>58462</c:v>
                </c:pt>
                <c:pt idx="2720">
                  <c:v>58469</c:v>
                </c:pt>
                <c:pt idx="2721">
                  <c:v>58476</c:v>
                </c:pt>
                <c:pt idx="2722">
                  <c:v>58483</c:v>
                </c:pt>
                <c:pt idx="2723">
                  <c:v>58490</c:v>
                </c:pt>
                <c:pt idx="2724">
                  <c:v>58497</c:v>
                </c:pt>
                <c:pt idx="2725">
                  <c:v>58504</c:v>
                </c:pt>
                <c:pt idx="2726">
                  <c:v>58511</c:v>
                </c:pt>
                <c:pt idx="2727">
                  <c:v>58518</c:v>
                </c:pt>
                <c:pt idx="2728">
                  <c:v>58525</c:v>
                </c:pt>
                <c:pt idx="2729">
                  <c:v>58532</c:v>
                </c:pt>
                <c:pt idx="2730">
                  <c:v>58539</c:v>
                </c:pt>
                <c:pt idx="2731">
                  <c:v>58546</c:v>
                </c:pt>
                <c:pt idx="2732">
                  <c:v>58553</c:v>
                </c:pt>
                <c:pt idx="2733">
                  <c:v>58560</c:v>
                </c:pt>
                <c:pt idx="2734">
                  <c:v>58567</c:v>
                </c:pt>
                <c:pt idx="2735">
                  <c:v>58574</c:v>
                </c:pt>
                <c:pt idx="2736">
                  <c:v>58581</c:v>
                </c:pt>
                <c:pt idx="2737">
                  <c:v>58588</c:v>
                </c:pt>
                <c:pt idx="2738">
                  <c:v>58595</c:v>
                </c:pt>
                <c:pt idx="2739">
                  <c:v>58602</c:v>
                </c:pt>
                <c:pt idx="2740">
                  <c:v>58609</c:v>
                </c:pt>
                <c:pt idx="2741">
                  <c:v>58616</c:v>
                </c:pt>
                <c:pt idx="2742">
                  <c:v>58623</c:v>
                </c:pt>
                <c:pt idx="2743">
                  <c:v>58630</c:v>
                </c:pt>
                <c:pt idx="2744">
                  <c:v>58637</c:v>
                </c:pt>
                <c:pt idx="2745">
                  <c:v>58644</c:v>
                </c:pt>
                <c:pt idx="2746">
                  <c:v>58651</c:v>
                </c:pt>
                <c:pt idx="2747">
                  <c:v>58658</c:v>
                </c:pt>
                <c:pt idx="2748">
                  <c:v>58665</c:v>
                </c:pt>
                <c:pt idx="2749">
                  <c:v>58672</c:v>
                </c:pt>
                <c:pt idx="2750">
                  <c:v>58679</c:v>
                </c:pt>
                <c:pt idx="2751">
                  <c:v>58686</c:v>
                </c:pt>
                <c:pt idx="2752">
                  <c:v>58693</c:v>
                </c:pt>
                <c:pt idx="2753">
                  <c:v>58700</c:v>
                </c:pt>
                <c:pt idx="2754">
                  <c:v>58707</c:v>
                </c:pt>
                <c:pt idx="2755">
                  <c:v>58714</c:v>
                </c:pt>
                <c:pt idx="2756">
                  <c:v>58721</c:v>
                </c:pt>
                <c:pt idx="2757">
                  <c:v>58728</c:v>
                </c:pt>
                <c:pt idx="2758">
                  <c:v>58735</c:v>
                </c:pt>
                <c:pt idx="2759">
                  <c:v>58742</c:v>
                </c:pt>
                <c:pt idx="2760">
                  <c:v>58749</c:v>
                </c:pt>
                <c:pt idx="2761">
                  <c:v>58756</c:v>
                </c:pt>
                <c:pt idx="2762">
                  <c:v>58763</c:v>
                </c:pt>
                <c:pt idx="2763">
                  <c:v>58770</c:v>
                </c:pt>
                <c:pt idx="2764">
                  <c:v>58777</c:v>
                </c:pt>
                <c:pt idx="2765">
                  <c:v>58784</c:v>
                </c:pt>
                <c:pt idx="2766">
                  <c:v>58791</c:v>
                </c:pt>
                <c:pt idx="2767">
                  <c:v>58798</c:v>
                </c:pt>
                <c:pt idx="2768">
                  <c:v>58805</c:v>
                </c:pt>
                <c:pt idx="2769">
                  <c:v>58812</c:v>
                </c:pt>
                <c:pt idx="2770">
                  <c:v>58819</c:v>
                </c:pt>
                <c:pt idx="2771">
                  <c:v>58826</c:v>
                </c:pt>
                <c:pt idx="2772">
                  <c:v>58833</c:v>
                </c:pt>
                <c:pt idx="2773">
                  <c:v>58840</c:v>
                </c:pt>
                <c:pt idx="2774">
                  <c:v>58847</c:v>
                </c:pt>
                <c:pt idx="2775">
                  <c:v>58854</c:v>
                </c:pt>
                <c:pt idx="2776">
                  <c:v>58861</c:v>
                </c:pt>
                <c:pt idx="2777">
                  <c:v>58868</c:v>
                </c:pt>
                <c:pt idx="2778">
                  <c:v>58875</c:v>
                </c:pt>
                <c:pt idx="2779">
                  <c:v>58882</c:v>
                </c:pt>
                <c:pt idx="2780">
                  <c:v>58889</c:v>
                </c:pt>
                <c:pt idx="2781">
                  <c:v>58896</c:v>
                </c:pt>
                <c:pt idx="2782">
                  <c:v>58903</c:v>
                </c:pt>
                <c:pt idx="2783">
                  <c:v>58910</c:v>
                </c:pt>
                <c:pt idx="2784">
                  <c:v>58917</c:v>
                </c:pt>
                <c:pt idx="2785">
                  <c:v>58924</c:v>
                </c:pt>
                <c:pt idx="2786">
                  <c:v>58931</c:v>
                </c:pt>
                <c:pt idx="2787">
                  <c:v>58938</c:v>
                </c:pt>
                <c:pt idx="2788">
                  <c:v>58945</c:v>
                </c:pt>
                <c:pt idx="2789">
                  <c:v>58952</c:v>
                </c:pt>
                <c:pt idx="2790">
                  <c:v>58959</c:v>
                </c:pt>
                <c:pt idx="2791">
                  <c:v>58966</c:v>
                </c:pt>
                <c:pt idx="2792">
                  <c:v>58973</c:v>
                </c:pt>
                <c:pt idx="2793">
                  <c:v>58980</c:v>
                </c:pt>
                <c:pt idx="2794">
                  <c:v>58987</c:v>
                </c:pt>
                <c:pt idx="2795">
                  <c:v>58994</c:v>
                </c:pt>
                <c:pt idx="2796">
                  <c:v>59001</c:v>
                </c:pt>
                <c:pt idx="2797">
                  <c:v>59008</c:v>
                </c:pt>
                <c:pt idx="2798">
                  <c:v>59015</c:v>
                </c:pt>
                <c:pt idx="2799">
                  <c:v>59022</c:v>
                </c:pt>
                <c:pt idx="2800">
                  <c:v>59029</c:v>
                </c:pt>
                <c:pt idx="2801">
                  <c:v>59036</c:v>
                </c:pt>
                <c:pt idx="2802">
                  <c:v>59043</c:v>
                </c:pt>
                <c:pt idx="2803">
                  <c:v>59050</c:v>
                </c:pt>
                <c:pt idx="2804">
                  <c:v>59057</c:v>
                </c:pt>
                <c:pt idx="2805">
                  <c:v>59064</c:v>
                </c:pt>
                <c:pt idx="2806">
                  <c:v>59071</c:v>
                </c:pt>
                <c:pt idx="2807">
                  <c:v>59078</c:v>
                </c:pt>
                <c:pt idx="2808">
                  <c:v>59085</c:v>
                </c:pt>
                <c:pt idx="2809">
                  <c:v>59092</c:v>
                </c:pt>
                <c:pt idx="2810">
                  <c:v>59099</c:v>
                </c:pt>
                <c:pt idx="2811">
                  <c:v>59106</c:v>
                </c:pt>
                <c:pt idx="2812">
                  <c:v>59113</c:v>
                </c:pt>
                <c:pt idx="2813">
                  <c:v>59120</c:v>
                </c:pt>
                <c:pt idx="2814">
                  <c:v>59127</c:v>
                </c:pt>
                <c:pt idx="2815">
                  <c:v>59134</c:v>
                </c:pt>
                <c:pt idx="2816">
                  <c:v>59141</c:v>
                </c:pt>
                <c:pt idx="2817">
                  <c:v>59148</c:v>
                </c:pt>
                <c:pt idx="2818">
                  <c:v>59155</c:v>
                </c:pt>
                <c:pt idx="2819">
                  <c:v>59162</c:v>
                </c:pt>
                <c:pt idx="2820">
                  <c:v>59169</c:v>
                </c:pt>
                <c:pt idx="2821">
                  <c:v>59176</c:v>
                </c:pt>
                <c:pt idx="2822">
                  <c:v>59183</c:v>
                </c:pt>
                <c:pt idx="2823">
                  <c:v>59190</c:v>
                </c:pt>
                <c:pt idx="2824">
                  <c:v>59197</c:v>
                </c:pt>
                <c:pt idx="2825">
                  <c:v>59204</c:v>
                </c:pt>
                <c:pt idx="2826">
                  <c:v>59211</c:v>
                </c:pt>
                <c:pt idx="2827">
                  <c:v>59218</c:v>
                </c:pt>
                <c:pt idx="2828">
                  <c:v>59225</c:v>
                </c:pt>
                <c:pt idx="2829">
                  <c:v>59232</c:v>
                </c:pt>
                <c:pt idx="2830">
                  <c:v>59239</c:v>
                </c:pt>
                <c:pt idx="2831">
                  <c:v>59246</c:v>
                </c:pt>
                <c:pt idx="2832">
                  <c:v>59253</c:v>
                </c:pt>
                <c:pt idx="2833">
                  <c:v>59260</c:v>
                </c:pt>
                <c:pt idx="2834">
                  <c:v>59267</c:v>
                </c:pt>
                <c:pt idx="2835">
                  <c:v>59274</c:v>
                </c:pt>
                <c:pt idx="2836">
                  <c:v>59281</c:v>
                </c:pt>
                <c:pt idx="2837">
                  <c:v>59288</c:v>
                </c:pt>
                <c:pt idx="2838">
                  <c:v>59295</c:v>
                </c:pt>
                <c:pt idx="2839">
                  <c:v>59302</c:v>
                </c:pt>
                <c:pt idx="2840">
                  <c:v>59309</c:v>
                </c:pt>
                <c:pt idx="2841">
                  <c:v>59316</c:v>
                </c:pt>
                <c:pt idx="2842">
                  <c:v>59323</c:v>
                </c:pt>
                <c:pt idx="2843">
                  <c:v>59330</c:v>
                </c:pt>
                <c:pt idx="2844">
                  <c:v>59337</c:v>
                </c:pt>
                <c:pt idx="2845">
                  <c:v>59344</c:v>
                </c:pt>
                <c:pt idx="2846">
                  <c:v>59351</c:v>
                </c:pt>
                <c:pt idx="2847">
                  <c:v>59358</c:v>
                </c:pt>
                <c:pt idx="2848">
                  <c:v>59365</c:v>
                </c:pt>
                <c:pt idx="2849">
                  <c:v>59372</c:v>
                </c:pt>
                <c:pt idx="2850">
                  <c:v>59379</c:v>
                </c:pt>
                <c:pt idx="2851">
                  <c:v>59386</c:v>
                </c:pt>
                <c:pt idx="2852">
                  <c:v>59393</c:v>
                </c:pt>
                <c:pt idx="2853">
                  <c:v>59400</c:v>
                </c:pt>
                <c:pt idx="2854">
                  <c:v>59407</c:v>
                </c:pt>
                <c:pt idx="2855">
                  <c:v>59414</c:v>
                </c:pt>
                <c:pt idx="2856">
                  <c:v>59421</c:v>
                </c:pt>
                <c:pt idx="2857">
                  <c:v>59428</c:v>
                </c:pt>
                <c:pt idx="2858">
                  <c:v>59435</c:v>
                </c:pt>
                <c:pt idx="2859">
                  <c:v>59442</c:v>
                </c:pt>
                <c:pt idx="2860">
                  <c:v>59449</c:v>
                </c:pt>
                <c:pt idx="2861">
                  <c:v>59456</c:v>
                </c:pt>
                <c:pt idx="2862">
                  <c:v>59463</c:v>
                </c:pt>
                <c:pt idx="2863">
                  <c:v>59470</c:v>
                </c:pt>
                <c:pt idx="2864">
                  <c:v>59477</c:v>
                </c:pt>
                <c:pt idx="2865">
                  <c:v>59484</c:v>
                </c:pt>
                <c:pt idx="2866">
                  <c:v>59491</c:v>
                </c:pt>
                <c:pt idx="2867">
                  <c:v>59498</c:v>
                </c:pt>
                <c:pt idx="2868">
                  <c:v>59505</c:v>
                </c:pt>
                <c:pt idx="2869">
                  <c:v>59512</c:v>
                </c:pt>
                <c:pt idx="2870">
                  <c:v>59519</c:v>
                </c:pt>
                <c:pt idx="2871">
                  <c:v>59526</c:v>
                </c:pt>
                <c:pt idx="2872">
                  <c:v>59534</c:v>
                </c:pt>
                <c:pt idx="2873">
                  <c:v>59541</c:v>
                </c:pt>
                <c:pt idx="2874">
                  <c:v>59548</c:v>
                </c:pt>
                <c:pt idx="2875">
                  <c:v>59555</c:v>
                </c:pt>
                <c:pt idx="2876">
                  <c:v>59562</c:v>
                </c:pt>
                <c:pt idx="2877">
                  <c:v>59569</c:v>
                </c:pt>
                <c:pt idx="2878">
                  <c:v>59576</c:v>
                </c:pt>
                <c:pt idx="2879">
                  <c:v>59583</c:v>
                </c:pt>
                <c:pt idx="2880">
                  <c:v>59590</c:v>
                </c:pt>
                <c:pt idx="2881">
                  <c:v>59597</c:v>
                </c:pt>
                <c:pt idx="2882">
                  <c:v>59604</c:v>
                </c:pt>
                <c:pt idx="2883">
                  <c:v>59611</c:v>
                </c:pt>
                <c:pt idx="2884">
                  <c:v>59618</c:v>
                </c:pt>
                <c:pt idx="2885">
                  <c:v>59625</c:v>
                </c:pt>
                <c:pt idx="2886">
                  <c:v>59632</c:v>
                </c:pt>
                <c:pt idx="2887">
                  <c:v>59643</c:v>
                </c:pt>
                <c:pt idx="2888">
                  <c:v>59646</c:v>
                </c:pt>
                <c:pt idx="2889">
                  <c:v>59653</c:v>
                </c:pt>
                <c:pt idx="2890">
                  <c:v>59660</c:v>
                </c:pt>
                <c:pt idx="2891">
                  <c:v>59667</c:v>
                </c:pt>
                <c:pt idx="2892">
                  <c:v>59674</c:v>
                </c:pt>
                <c:pt idx="2893">
                  <c:v>59681</c:v>
                </c:pt>
                <c:pt idx="2894">
                  <c:v>59688</c:v>
                </c:pt>
                <c:pt idx="2895">
                  <c:v>59695</c:v>
                </c:pt>
                <c:pt idx="2896">
                  <c:v>59702</c:v>
                </c:pt>
                <c:pt idx="2897">
                  <c:v>59709</c:v>
                </c:pt>
                <c:pt idx="2898">
                  <c:v>59716</c:v>
                </c:pt>
                <c:pt idx="2899">
                  <c:v>59723</c:v>
                </c:pt>
                <c:pt idx="2900">
                  <c:v>59730</c:v>
                </c:pt>
                <c:pt idx="2901">
                  <c:v>59737</c:v>
                </c:pt>
                <c:pt idx="2902">
                  <c:v>59744</c:v>
                </c:pt>
                <c:pt idx="2903">
                  <c:v>59751</c:v>
                </c:pt>
                <c:pt idx="2904">
                  <c:v>59758</c:v>
                </c:pt>
                <c:pt idx="2905">
                  <c:v>59765</c:v>
                </c:pt>
                <c:pt idx="2906">
                  <c:v>59772</c:v>
                </c:pt>
                <c:pt idx="2907">
                  <c:v>59779</c:v>
                </c:pt>
                <c:pt idx="2908">
                  <c:v>59786</c:v>
                </c:pt>
                <c:pt idx="2909">
                  <c:v>59793</c:v>
                </c:pt>
                <c:pt idx="2910">
                  <c:v>59800</c:v>
                </c:pt>
                <c:pt idx="2911">
                  <c:v>59807</c:v>
                </c:pt>
                <c:pt idx="2912">
                  <c:v>59814</c:v>
                </c:pt>
                <c:pt idx="2913">
                  <c:v>59821</c:v>
                </c:pt>
                <c:pt idx="2914">
                  <c:v>59828</c:v>
                </c:pt>
                <c:pt idx="2915">
                  <c:v>59835</c:v>
                </c:pt>
                <c:pt idx="2916">
                  <c:v>59842</c:v>
                </c:pt>
                <c:pt idx="2917">
                  <c:v>59849</c:v>
                </c:pt>
                <c:pt idx="2918">
                  <c:v>59856</c:v>
                </c:pt>
                <c:pt idx="2919">
                  <c:v>59863</c:v>
                </c:pt>
                <c:pt idx="2920">
                  <c:v>59870</c:v>
                </c:pt>
                <c:pt idx="2921">
                  <c:v>59877</c:v>
                </c:pt>
                <c:pt idx="2922">
                  <c:v>59884</c:v>
                </c:pt>
                <c:pt idx="2923">
                  <c:v>59891</c:v>
                </c:pt>
                <c:pt idx="2924">
                  <c:v>59901</c:v>
                </c:pt>
                <c:pt idx="2925">
                  <c:v>59908</c:v>
                </c:pt>
                <c:pt idx="2926">
                  <c:v>59915</c:v>
                </c:pt>
                <c:pt idx="2927">
                  <c:v>59922</c:v>
                </c:pt>
                <c:pt idx="2928">
                  <c:v>59929</c:v>
                </c:pt>
                <c:pt idx="2929">
                  <c:v>59936</c:v>
                </c:pt>
                <c:pt idx="2930">
                  <c:v>59943</c:v>
                </c:pt>
                <c:pt idx="2931">
                  <c:v>59950</c:v>
                </c:pt>
                <c:pt idx="2932">
                  <c:v>59957</c:v>
                </c:pt>
                <c:pt idx="2933">
                  <c:v>59964</c:v>
                </c:pt>
                <c:pt idx="2934">
                  <c:v>59971</c:v>
                </c:pt>
                <c:pt idx="2935">
                  <c:v>59978</c:v>
                </c:pt>
                <c:pt idx="2936">
                  <c:v>59985</c:v>
                </c:pt>
                <c:pt idx="2937">
                  <c:v>59992</c:v>
                </c:pt>
                <c:pt idx="2938">
                  <c:v>60001</c:v>
                </c:pt>
                <c:pt idx="2939">
                  <c:v>60006</c:v>
                </c:pt>
                <c:pt idx="2940">
                  <c:v>60013</c:v>
                </c:pt>
                <c:pt idx="2941">
                  <c:v>60020</c:v>
                </c:pt>
                <c:pt idx="2942">
                  <c:v>60028</c:v>
                </c:pt>
                <c:pt idx="2943">
                  <c:v>60035</c:v>
                </c:pt>
                <c:pt idx="2944">
                  <c:v>60042</c:v>
                </c:pt>
                <c:pt idx="2945">
                  <c:v>60049</c:v>
                </c:pt>
                <c:pt idx="2946">
                  <c:v>60056</c:v>
                </c:pt>
                <c:pt idx="2947">
                  <c:v>60063</c:v>
                </c:pt>
                <c:pt idx="2948">
                  <c:v>60070</c:v>
                </c:pt>
                <c:pt idx="2949">
                  <c:v>60077</c:v>
                </c:pt>
                <c:pt idx="2950">
                  <c:v>60084</c:v>
                </c:pt>
                <c:pt idx="2951">
                  <c:v>60091</c:v>
                </c:pt>
                <c:pt idx="2952">
                  <c:v>60098</c:v>
                </c:pt>
                <c:pt idx="2953">
                  <c:v>60105</c:v>
                </c:pt>
                <c:pt idx="2954">
                  <c:v>60112</c:v>
                </c:pt>
                <c:pt idx="2955">
                  <c:v>60119</c:v>
                </c:pt>
                <c:pt idx="2956">
                  <c:v>60126</c:v>
                </c:pt>
                <c:pt idx="2957">
                  <c:v>60133</c:v>
                </c:pt>
                <c:pt idx="2958">
                  <c:v>60140</c:v>
                </c:pt>
                <c:pt idx="2959">
                  <c:v>60147</c:v>
                </c:pt>
                <c:pt idx="2960">
                  <c:v>60154</c:v>
                </c:pt>
                <c:pt idx="2961">
                  <c:v>60161</c:v>
                </c:pt>
                <c:pt idx="2962">
                  <c:v>60168</c:v>
                </c:pt>
                <c:pt idx="2963">
                  <c:v>60175</c:v>
                </c:pt>
                <c:pt idx="2964">
                  <c:v>60182</c:v>
                </c:pt>
                <c:pt idx="2965">
                  <c:v>60189</c:v>
                </c:pt>
                <c:pt idx="2966">
                  <c:v>60196</c:v>
                </c:pt>
                <c:pt idx="2967">
                  <c:v>60203</c:v>
                </c:pt>
                <c:pt idx="2968">
                  <c:v>60210</c:v>
                </c:pt>
                <c:pt idx="2969">
                  <c:v>60217</c:v>
                </c:pt>
                <c:pt idx="2970">
                  <c:v>60224</c:v>
                </c:pt>
                <c:pt idx="2971">
                  <c:v>60231</c:v>
                </c:pt>
                <c:pt idx="2972">
                  <c:v>60238</c:v>
                </c:pt>
                <c:pt idx="2973">
                  <c:v>60245</c:v>
                </c:pt>
                <c:pt idx="2974">
                  <c:v>60252</c:v>
                </c:pt>
                <c:pt idx="2975">
                  <c:v>60259</c:v>
                </c:pt>
                <c:pt idx="2976">
                  <c:v>60267</c:v>
                </c:pt>
                <c:pt idx="2977">
                  <c:v>60274</c:v>
                </c:pt>
                <c:pt idx="2978">
                  <c:v>60281</c:v>
                </c:pt>
                <c:pt idx="2979">
                  <c:v>60288</c:v>
                </c:pt>
                <c:pt idx="2980">
                  <c:v>60295</c:v>
                </c:pt>
                <c:pt idx="2981">
                  <c:v>60302</c:v>
                </c:pt>
                <c:pt idx="2982">
                  <c:v>60309</c:v>
                </c:pt>
                <c:pt idx="2983">
                  <c:v>60316</c:v>
                </c:pt>
                <c:pt idx="2984">
                  <c:v>60323</c:v>
                </c:pt>
                <c:pt idx="2985">
                  <c:v>60330</c:v>
                </c:pt>
                <c:pt idx="2986">
                  <c:v>60337</c:v>
                </c:pt>
                <c:pt idx="2987">
                  <c:v>60344</c:v>
                </c:pt>
                <c:pt idx="2988">
                  <c:v>60351</c:v>
                </c:pt>
                <c:pt idx="2989">
                  <c:v>60359</c:v>
                </c:pt>
                <c:pt idx="2990">
                  <c:v>60366</c:v>
                </c:pt>
                <c:pt idx="2991">
                  <c:v>60373</c:v>
                </c:pt>
                <c:pt idx="2992">
                  <c:v>60380</c:v>
                </c:pt>
                <c:pt idx="2993">
                  <c:v>60387</c:v>
                </c:pt>
                <c:pt idx="2994">
                  <c:v>60394</c:v>
                </c:pt>
                <c:pt idx="2995">
                  <c:v>60401</c:v>
                </c:pt>
                <c:pt idx="2996">
                  <c:v>60408</c:v>
                </c:pt>
                <c:pt idx="2997">
                  <c:v>60415</c:v>
                </c:pt>
                <c:pt idx="2998">
                  <c:v>60422</c:v>
                </c:pt>
                <c:pt idx="2999">
                  <c:v>60429</c:v>
                </c:pt>
                <c:pt idx="3000">
                  <c:v>60436</c:v>
                </c:pt>
                <c:pt idx="3001">
                  <c:v>60443</c:v>
                </c:pt>
                <c:pt idx="3002">
                  <c:v>60450</c:v>
                </c:pt>
                <c:pt idx="3003">
                  <c:v>60457</c:v>
                </c:pt>
                <c:pt idx="3004">
                  <c:v>60464</c:v>
                </c:pt>
                <c:pt idx="3005">
                  <c:v>60471</c:v>
                </c:pt>
                <c:pt idx="3006">
                  <c:v>60478</c:v>
                </c:pt>
                <c:pt idx="3007">
                  <c:v>60485</c:v>
                </c:pt>
                <c:pt idx="3008">
                  <c:v>60492</c:v>
                </c:pt>
                <c:pt idx="3009">
                  <c:v>60499</c:v>
                </c:pt>
                <c:pt idx="3010">
                  <c:v>60506</c:v>
                </c:pt>
                <c:pt idx="3011">
                  <c:v>60513</c:v>
                </c:pt>
                <c:pt idx="3012">
                  <c:v>60520</c:v>
                </c:pt>
                <c:pt idx="3013">
                  <c:v>60527</c:v>
                </c:pt>
                <c:pt idx="3014">
                  <c:v>60534</c:v>
                </c:pt>
                <c:pt idx="3015">
                  <c:v>60541</c:v>
                </c:pt>
                <c:pt idx="3016">
                  <c:v>60548</c:v>
                </c:pt>
                <c:pt idx="3017">
                  <c:v>60555</c:v>
                </c:pt>
                <c:pt idx="3018">
                  <c:v>60562</c:v>
                </c:pt>
                <c:pt idx="3019">
                  <c:v>60569</c:v>
                </c:pt>
                <c:pt idx="3020">
                  <c:v>60576</c:v>
                </c:pt>
                <c:pt idx="3021">
                  <c:v>60583</c:v>
                </c:pt>
                <c:pt idx="3022">
                  <c:v>60590</c:v>
                </c:pt>
                <c:pt idx="3023">
                  <c:v>60597</c:v>
                </c:pt>
                <c:pt idx="3024">
                  <c:v>60604</c:v>
                </c:pt>
                <c:pt idx="3025">
                  <c:v>60611</c:v>
                </c:pt>
                <c:pt idx="3026">
                  <c:v>60618</c:v>
                </c:pt>
                <c:pt idx="3027">
                  <c:v>60625</c:v>
                </c:pt>
                <c:pt idx="3028">
                  <c:v>60632</c:v>
                </c:pt>
                <c:pt idx="3029">
                  <c:v>60639</c:v>
                </c:pt>
                <c:pt idx="3030">
                  <c:v>60646</c:v>
                </c:pt>
                <c:pt idx="3031">
                  <c:v>60653</c:v>
                </c:pt>
                <c:pt idx="3032">
                  <c:v>60660</c:v>
                </c:pt>
                <c:pt idx="3033">
                  <c:v>60667</c:v>
                </c:pt>
                <c:pt idx="3034">
                  <c:v>60674</c:v>
                </c:pt>
                <c:pt idx="3035">
                  <c:v>60681</c:v>
                </c:pt>
                <c:pt idx="3036">
                  <c:v>60688</c:v>
                </c:pt>
                <c:pt idx="3037">
                  <c:v>60695</c:v>
                </c:pt>
                <c:pt idx="3038">
                  <c:v>60702</c:v>
                </c:pt>
                <c:pt idx="3039">
                  <c:v>60709</c:v>
                </c:pt>
                <c:pt idx="3040">
                  <c:v>60716</c:v>
                </c:pt>
                <c:pt idx="3041">
                  <c:v>60723</c:v>
                </c:pt>
                <c:pt idx="3042">
                  <c:v>60730</c:v>
                </c:pt>
                <c:pt idx="3043">
                  <c:v>60737</c:v>
                </c:pt>
                <c:pt idx="3044">
                  <c:v>60744</c:v>
                </c:pt>
                <c:pt idx="3045">
                  <c:v>60751</c:v>
                </c:pt>
                <c:pt idx="3046">
                  <c:v>60758</c:v>
                </c:pt>
                <c:pt idx="3047">
                  <c:v>60765</c:v>
                </c:pt>
                <c:pt idx="3048">
                  <c:v>60772</c:v>
                </c:pt>
                <c:pt idx="3049">
                  <c:v>60779</c:v>
                </c:pt>
                <c:pt idx="3050">
                  <c:v>60786</c:v>
                </c:pt>
                <c:pt idx="3051">
                  <c:v>60793</c:v>
                </c:pt>
                <c:pt idx="3052">
                  <c:v>60800</c:v>
                </c:pt>
                <c:pt idx="3053">
                  <c:v>60807</c:v>
                </c:pt>
                <c:pt idx="3054">
                  <c:v>60814</c:v>
                </c:pt>
                <c:pt idx="3055">
                  <c:v>60821</c:v>
                </c:pt>
                <c:pt idx="3056">
                  <c:v>60828</c:v>
                </c:pt>
                <c:pt idx="3057">
                  <c:v>60835</c:v>
                </c:pt>
                <c:pt idx="3058">
                  <c:v>60842</c:v>
                </c:pt>
                <c:pt idx="3059">
                  <c:v>60849</c:v>
                </c:pt>
                <c:pt idx="3060">
                  <c:v>60856</c:v>
                </c:pt>
                <c:pt idx="3061">
                  <c:v>60863</c:v>
                </c:pt>
                <c:pt idx="3062">
                  <c:v>60870</c:v>
                </c:pt>
                <c:pt idx="3063">
                  <c:v>60877</c:v>
                </c:pt>
                <c:pt idx="3064">
                  <c:v>60884</c:v>
                </c:pt>
                <c:pt idx="3065">
                  <c:v>60891</c:v>
                </c:pt>
                <c:pt idx="3066">
                  <c:v>60898</c:v>
                </c:pt>
                <c:pt idx="3067">
                  <c:v>60905</c:v>
                </c:pt>
                <c:pt idx="3068">
                  <c:v>60912</c:v>
                </c:pt>
                <c:pt idx="3069">
                  <c:v>60919</c:v>
                </c:pt>
                <c:pt idx="3070">
                  <c:v>60926</c:v>
                </c:pt>
                <c:pt idx="3071">
                  <c:v>60933</c:v>
                </c:pt>
                <c:pt idx="3072">
                  <c:v>60940</c:v>
                </c:pt>
                <c:pt idx="3073">
                  <c:v>60947</c:v>
                </c:pt>
                <c:pt idx="3074">
                  <c:v>60954</c:v>
                </c:pt>
                <c:pt idx="3075">
                  <c:v>60961</c:v>
                </c:pt>
                <c:pt idx="3076">
                  <c:v>60968</c:v>
                </c:pt>
                <c:pt idx="3077">
                  <c:v>60975</c:v>
                </c:pt>
                <c:pt idx="3078">
                  <c:v>60982</c:v>
                </c:pt>
                <c:pt idx="3079">
                  <c:v>60989</c:v>
                </c:pt>
                <c:pt idx="3080">
                  <c:v>60996</c:v>
                </c:pt>
                <c:pt idx="3081">
                  <c:v>61003</c:v>
                </c:pt>
                <c:pt idx="3082">
                  <c:v>61010</c:v>
                </c:pt>
                <c:pt idx="3083">
                  <c:v>61017</c:v>
                </c:pt>
                <c:pt idx="3084">
                  <c:v>61024</c:v>
                </c:pt>
                <c:pt idx="3085">
                  <c:v>61031</c:v>
                </c:pt>
                <c:pt idx="3086">
                  <c:v>61038</c:v>
                </c:pt>
                <c:pt idx="3087">
                  <c:v>61045</c:v>
                </c:pt>
                <c:pt idx="3088">
                  <c:v>61052</c:v>
                </c:pt>
                <c:pt idx="3089">
                  <c:v>61059</c:v>
                </c:pt>
                <c:pt idx="3090">
                  <c:v>61066</c:v>
                </c:pt>
                <c:pt idx="3091">
                  <c:v>61073</c:v>
                </c:pt>
                <c:pt idx="3092">
                  <c:v>61080</c:v>
                </c:pt>
                <c:pt idx="3093">
                  <c:v>61087</c:v>
                </c:pt>
                <c:pt idx="3094">
                  <c:v>61094</c:v>
                </c:pt>
                <c:pt idx="3095">
                  <c:v>61101</c:v>
                </c:pt>
                <c:pt idx="3096">
                  <c:v>61108</c:v>
                </c:pt>
                <c:pt idx="3097">
                  <c:v>61115</c:v>
                </c:pt>
                <c:pt idx="3098">
                  <c:v>61122</c:v>
                </c:pt>
                <c:pt idx="3099">
                  <c:v>61129</c:v>
                </c:pt>
                <c:pt idx="3100">
                  <c:v>61136</c:v>
                </c:pt>
                <c:pt idx="3101">
                  <c:v>61143</c:v>
                </c:pt>
                <c:pt idx="3102">
                  <c:v>61150</c:v>
                </c:pt>
                <c:pt idx="3103">
                  <c:v>61157</c:v>
                </c:pt>
                <c:pt idx="3104">
                  <c:v>61164</c:v>
                </c:pt>
                <c:pt idx="3105">
                  <c:v>61171</c:v>
                </c:pt>
                <c:pt idx="3106">
                  <c:v>61178</c:v>
                </c:pt>
                <c:pt idx="3107">
                  <c:v>61185</c:v>
                </c:pt>
                <c:pt idx="3108">
                  <c:v>61192</c:v>
                </c:pt>
                <c:pt idx="3109">
                  <c:v>61199</c:v>
                </c:pt>
                <c:pt idx="3110">
                  <c:v>61206</c:v>
                </c:pt>
                <c:pt idx="3111">
                  <c:v>61213</c:v>
                </c:pt>
                <c:pt idx="3112">
                  <c:v>61220</c:v>
                </c:pt>
                <c:pt idx="3113">
                  <c:v>61227</c:v>
                </c:pt>
                <c:pt idx="3114">
                  <c:v>61234</c:v>
                </c:pt>
                <c:pt idx="3115">
                  <c:v>61241</c:v>
                </c:pt>
                <c:pt idx="3116">
                  <c:v>61248</c:v>
                </c:pt>
                <c:pt idx="3117">
                  <c:v>61255</c:v>
                </c:pt>
                <c:pt idx="3118">
                  <c:v>61262</c:v>
                </c:pt>
                <c:pt idx="3119">
                  <c:v>61269</c:v>
                </c:pt>
                <c:pt idx="3120">
                  <c:v>61276</c:v>
                </c:pt>
                <c:pt idx="3121">
                  <c:v>61283</c:v>
                </c:pt>
                <c:pt idx="3122">
                  <c:v>61290</c:v>
                </c:pt>
                <c:pt idx="3123">
                  <c:v>61297</c:v>
                </c:pt>
                <c:pt idx="3124">
                  <c:v>61304</c:v>
                </c:pt>
                <c:pt idx="3125">
                  <c:v>61311</c:v>
                </c:pt>
                <c:pt idx="3126">
                  <c:v>61318</c:v>
                </c:pt>
                <c:pt idx="3127">
                  <c:v>61325</c:v>
                </c:pt>
                <c:pt idx="3128">
                  <c:v>61332</c:v>
                </c:pt>
                <c:pt idx="3129">
                  <c:v>61339</c:v>
                </c:pt>
                <c:pt idx="3130">
                  <c:v>61346</c:v>
                </c:pt>
                <c:pt idx="3131">
                  <c:v>61353</c:v>
                </c:pt>
                <c:pt idx="3132">
                  <c:v>61360</c:v>
                </c:pt>
                <c:pt idx="3133">
                  <c:v>61367</c:v>
                </c:pt>
                <c:pt idx="3134">
                  <c:v>61374</c:v>
                </c:pt>
                <c:pt idx="3135">
                  <c:v>61381</c:v>
                </c:pt>
                <c:pt idx="3136">
                  <c:v>61388</c:v>
                </c:pt>
                <c:pt idx="3137">
                  <c:v>61395</c:v>
                </c:pt>
                <c:pt idx="3138">
                  <c:v>61402</c:v>
                </c:pt>
                <c:pt idx="3139">
                  <c:v>61409</c:v>
                </c:pt>
                <c:pt idx="3140">
                  <c:v>61416</c:v>
                </c:pt>
                <c:pt idx="3141">
                  <c:v>61423</c:v>
                </c:pt>
                <c:pt idx="3142">
                  <c:v>61430</c:v>
                </c:pt>
                <c:pt idx="3143">
                  <c:v>61437</c:v>
                </c:pt>
                <c:pt idx="3144">
                  <c:v>61444</c:v>
                </c:pt>
                <c:pt idx="3145">
                  <c:v>61451</c:v>
                </c:pt>
                <c:pt idx="3146">
                  <c:v>61458</c:v>
                </c:pt>
                <c:pt idx="3147">
                  <c:v>61465</c:v>
                </c:pt>
                <c:pt idx="3148">
                  <c:v>61472</c:v>
                </c:pt>
                <c:pt idx="3149">
                  <c:v>61479</c:v>
                </c:pt>
                <c:pt idx="3150">
                  <c:v>61487</c:v>
                </c:pt>
                <c:pt idx="3151">
                  <c:v>61494</c:v>
                </c:pt>
                <c:pt idx="3152">
                  <c:v>61501</c:v>
                </c:pt>
                <c:pt idx="3153">
                  <c:v>61508</c:v>
                </c:pt>
                <c:pt idx="3154">
                  <c:v>61515</c:v>
                </c:pt>
                <c:pt idx="3155">
                  <c:v>61522</c:v>
                </c:pt>
                <c:pt idx="3156">
                  <c:v>61529</c:v>
                </c:pt>
                <c:pt idx="3157">
                  <c:v>61536</c:v>
                </c:pt>
                <c:pt idx="3158">
                  <c:v>61543</c:v>
                </c:pt>
                <c:pt idx="3159">
                  <c:v>61550</c:v>
                </c:pt>
                <c:pt idx="3160">
                  <c:v>61557</c:v>
                </c:pt>
                <c:pt idx="3161">
                  <c:v>61564</c:v>
                </c:pt>
                <c:pt idx="3162">
                  <c:v>61571</c:v>
                </c:pt>
                <c:pt idx="3163">
                  <c:v>61578</c:v>
                </c:pt>
                <c:pt idx="3164">
                  <c:v>61585</c:v>
                </c:pt>
                <c:pt idx="3165">
                  <c:v>61592</c:v>
                </c:pt>
                <c:pt idx="3166">
                  <c:v>61599</c:v>
                </c:pt>
                <c:pt idx="3167">
                  <c:v>61606</c:v>
                </c:pt>
                <c:pt idx="3168">
                  <c:v>61613</c:v>
                </c:pt>
                <c:pt idx="3169">
                  <c:v>61620</c:v>
                </c:pt>
                <c:pt idx="3170">
                  <c:v>61627</c:v>
                </c:pt>
                <c:pt idx="3171">
                  <c:v>61634</c:v>
                </c:pt>
                <c:pt idx="3172">
                  <c:v>61641</c:v>
                </c:pt>
                <c:pt idx="3173">
                  <c:v>61648</c:v>
                </c:pt>
                <c:pt idx="3174">
                  <c:v>61655</c:v>
                </c:pt>
                <c:pt idx="3175">
                  <c:v>61662</c:v>
                </c:pt>
                <c:pt idx="3176">
                  <c:v>61669</c:v>
                </c:pt>
                <c:pt idx="3177">
                  <c:v>61676</c:v>
                </c:pt>
                <c:pt idx="3178">
                  <c:v>61683</c:v>
                </c:pt>
                <c:pt idx="3179">
                  <c:v>61690</c:v>
                </c:pt>
                <c:pt idx="3180">
                  <c:v>61697</c:v>
                </c:pt>
                <c:pt idx="3181">
                  <c:v>61704</c:v>
                </c:pt>
                <c:pt idx="3182">
                  <c:v>61711</c:v>
                </c:pt>
                <c:pt idx="3183">
                  <c:v>61718</c:v>
                </c:pt>
                <c:pt idx="3184">
                  <c:v>61728</c:v>
                </c:pt>
                <c:pt idx="3185">
                  <c:v>61735</c:v>
                </c:pt>
                <c:pt idx="3186">
                  <c:v>61742</c:v>
                </c:pt>
                <c:pt idx="3187">
                  <c:v>61749</c:v>
                </c:pt>
                <c:pt idx="3188">
                  <c:v>61756</c:v>
                </c:pt>
                <c:pt idx="3189">
                  <c:v>61763</c:v>
                </c:pt>
                <c:pt idx="3190">
                  <c:v>61770</c:v>
                </c:pt>
                <c:pt idx="3191">
                  <c:v>61777</c:v>
                </c:pt>
                <c:pt idx="3192">
                  <c:v>61784</c:v>
                </c:pt>
                <c:pt idx="3193">
                  <c:v>61791</c:v>
                </c:pt>
                <c:pt idx="3194">
                  <c:v>61798</c:v>
                </c:pt>
                <c:pt idx="3195">
                  <c:v>61805</c:v>
                </c:pt>
                <c:pt idx="3196">
                  <c:v>61812</c:v>
                </c:pt>
                <c:pt idx="3197">
                  <c:v>61819</c:v>
                </c:pt>
                <c:pt idx="3198">
                  <c:v>61826</c:v>
                </c:pt>
                <c:pt idx="3199">
                  <c:v>61835</c:v>
                </c:pt>
                <c:pt idx="3200">
                  <c:v>61840</c:v>
                </c:pt>
                <c:pt idx="3201">
                  <c:v>61847</c:v>
                </c:pt>
                <c:pt idx="3202">
                  <c:v>61854</c:v>
                </c:pt>
                <c:pt idx="3203">
                  <c:v>61861</c:v>
                </c:pt>
                <c:pt idx="3204">
                  <c:v>61868</c:v>
                </c:pt>
                <c:pt idx="3205">
                  <c:v>61875</c:v>
                </c:pt>
                <c:pt idx="3206">
                  <c:v>61882</c:v>
                </c:pt>
                <c:pt idx="3207">
                  <c:v>61889</c:v>
                </c:pt>
                <c:pt idx="3208">
                  <c:v>61896</c:v>
                </c:pt>
                <c:pt idx="3209">
                  <c:v>61903</c:v>
                </c:pt>
                <c:pt idx="3210">
                  <c:v>61910</c:v>
                </c:pt>
                <c:pt idx="3211">
                  <c:v>61917</c:v>
                </c:pt>
                <c:pt idx="3212">
                  <c:v>61924</c:v>
                </c:pt>
                <c:pt idx="3213">
                  <c:v>61931</c:v>
                </c:pt>
                <c:pt idx="3214">
                  <c:v>61938</c:v>
                </c:pt>
                <c:pt idx="3215">
                  <c:v>61945</c:v>
                </c:pt>
                <c:pt idx="3216">
                  <c:v>61952</c:v>
                </c:pt>
                <c:pt idx="3217">
                  <c:v>61959</c:v>
                </c:pt>
                <c:pt idx="3218">
                  <c:v>61966</c:v>
                </c:pt>
                <c:pt idx="3219">
                  <c:v>61973</c:v>
                </c:pt>
                <c:pt idx="3220">
                  <c:v>61980</c:v>
                </c:pt>
                <c:pt idx="3221">
                  <c:v>61987</c:v>
                </c:pt>
                <c:pt idx="3222">
                  <c:v>61994</c:v>
                </c:pt>
                <c:pt idx="3223">
                  <c:v>62001</c:v>
                </c:pt>
                <c:pt idx="3224">
                  <c:v>62008</c:v>
                </c:pt>
                <c:pt idx="3225">
                  <c:v>62015</c:v>
                </c:pt>
                <c:pt idx="3226">
                  <c:v>62022</c:v>
                </c:pt>
                <c:pt idx="3227">
                  <c:v>62029</c:v>
                </c:pt>
                <c:pt idx="3228">
                  <c:v>62036</c:v>
                </c:pt>
                <c:pt idx="3229">
                  <c:v>62043</c:v>
                </c:pt>
                <c:pt idx="3230">
                  <c:v>62050</c:v>
                </c:pt>
                <c:pt idx="3231">
                  <c:v>62057</c:v>
                </c:pt>
                <c:pt idx="3232">
                  <c:v>62064</c:v>
                </c:pt>
                <c:pt idx="3233">
                  <c:v>62071</c:v>
                </c:pt>
                <c:pt idx="3234">
                  <c:v>62078</c:v>
                </c:pt>
                <c:pt idx="3235">
                  <c:v>62085</c:v>
                </c:pt>
                <c:pt idx="3236">
                  <c:v>62093</c:v>
                </c:pt>
                <c:pt idx="3237">
                  <c:v>62100</c:v>
                </c:pt>
                <c:pt idx="3238">
                  <c:v>62107</c:v>
                </c:pt>
                <c:pt idx="3239">
                  <c:v>62114</c:v>
                </c:pt>
                <c:pt idx="3240">
                  <c:v>62121</c:v>
                </c:pt>
                <c:pt idx="3241">
                  <c:v>62128</c:v>
                </c:pt>
                <c:pt idx="3242">
                  <c:v>62135</c:v>
                </c:pt>
                <c:pt idx="3243">
                  <c:v>62142</c:v>
                </c:pt>
                <c:pt idx="3244">
                  <c:v>62149</c:v>
                </c:pt>
                <c:pt idx="3245">
                  <c:v>62156</c:v>
                </c:pt>
                <c:pt idx="3246">
                  <c:v>62163</c:v>
                </c:pt>
                <c:pt idx="3247">
                  <c:v>62170</c:v>
                </c:pt>
                <c:pt idx="3248">
                  <c:v>62177</c:v>
                </c:pt>
                <c:pt idx="3249">
                  <c:v>62186</c:v>
                </c:pt>
                <c:pt idx="3250">
                  <c:v>62193</c:v>
                </c:pt>
                <c:pt idx="3251">
                  <c:v>62200</c:v>
                </c:pt>
                <c:pt idx="3252">
                  <c:v>62207</c:v>
                </c:pt>
                <c:pt idx="3253">
                  <c:v>62215</c:v>
                </c:pt>
                <c:pt idx="3254">
                  <c:v>62221</c:v>
                </c:pt>
                <c:pt idx="3255">
                  <c:v>62228</c:v>
                </c:pt>
                <c:pt idx="3256">
                  <c:v>62235</c:v>
                </c:pt>
                <c:pt idx="3257">
                  <c:v>62242</c:v>
                </c:pt>
                <c:pt idx="3258">
                  <c:v>62249</c:v>
                </c:pt>
                <c:pt idx="3259">
                  <c:v>62256</c:v>
                </c:pt>
                <c:pt idx="3260">
                  <c:v>62263</c:v>
                </c:pt>
                <c:pt idx="3261">
                  <c:v>62270</c:v>
                </c:pt>
                <c:pt idx="3262">
                  <c:v>62277</c:v>
                </c:pt>
                <c:pt idx="3263">
                  <c:v>62284</c:v>
                </c:pt>
                <c:pt idx="3264">
                  <c:v>62291</c:v>
                </c:pt>
                <c:pt idx="3265">
                  <c:v>62298</c:v>
                </c:pt>
                <c:pt idx="3266">
                  <c:v>62305</c:v>
                </c:pt>
                <c:pt idx="3267">
                  <c:v>62312</c:v>
                </c:pt>
                <c:pt idx="3268">
                  <c:v>62319</c:v>
                </c:pt>
                <c:pt idx="3269">
                  <c:v>62326</c:v>
                </c:pt>
                <c:pt idx="3270">
                  <c:v>62333</c:v>
                </c:pt>
                <c:pt idx="3271">
                  <c:v>62340</c:v>
                </c:pt>
                <c:pt idx="3272">
                  <c:v>62347</c:v>
                </c:pt>
                <c:pt idx="3273">
                  <c:v>62354</c:v>
                </c:pt>
                <c:pt idx="3274">
                  <c:v>62361</c:v>
                </c:pt>
                <c:pt idx="3275">
                  <c:v>62368</c:v>
                </c:pt>
                <c:pt idx="3276">
                  <c:v>62375</c:v>
                </c:pt>
                <c:pt idx="3277">
                  <c:v>62382</c:v>
                </c:pt>
                <c:pt idx="3278">
                  <c:v>62389</c:v>
                </c:pt>
                <c:pt idx="3279">
                  <c:v>62396</c:v>
                </c:pt>
                <c:pt idx="3280">
                  <c:v>62403</c:v>
                </c:pt>
                <c:pt idx="3281">
                  <c:v>62410</c:v>
                </c:pt>
                <c:pt idx="3282">
                  <c:v>62417</c:v>
                </c:pt>
                <c:pt idx="3283">
                  <c:v>62424</c:v>
                </c:pt>
                <c:pt idx="3284">
                  <c:v>62431</c:v>
                </c:pt>
                <c:pt idx="3285">
                  <c:v>62438</c:v>
                </c:pt>
                <c:pt idx="3286">
                  <c:v>62445</c:v>
                </c:pt>
                <c:pt idx="3287">
                  <c:v>62456</c:v>
                </c:pt>
                <c:pt idx="3288">
                  <c:v>62460</c:v>
                </c:pt>
                <c:pt idx="3289">
                  <c:v>62466</c:v>
                </c:pt>
                <c:pt idx="3290">
                  <c:v>62473</c:v>
                </c:pt>
                <c:pt idx="3291">
                  <c:v>62480</c:v>
                </c:pt>
                <c:pt idx="3292">
                  <c:v>62487</c:v>
                </c:pt>
                <c:pt idx="3293">
                  <c:v>62494</c:v>
                </c:pt>
                <c:pt idx="3294">
                  <c:v>62501</c:v>
                </c:pt>
                <c:pt idx="3295">
                  <c:v>62508</c:v>
                </c:pt>
                <c:pt idx="3296">
                  <c:v>62515</c:v>
                </c:pt>
                <c:pt idx="3297">
                  <c:v>62522</c:v>
                </c:pt>
                <c:pt idx="3298">
                  <c:v>62529</c:v>
                </c:pt>
                <c:pt idx="3299">
                  <c:v>62536</c:v>
                </c:pt>
                <c:pt idx="3300">
                  <c:v>62543</c:v>
                </c:pt>
                <c:pt idx="3301">
                  <c:v>62550</c:v>
                </c:pt>
                <c:pt idx="3302">
                  <c:v>62557</c:v>
                </c:pt>
                <c:pt idx="3303">
                  <c:v>62564</c:v>
                </c:pt>
                <c:pt idx="3304">
                  <c:v>62571</c:v>
                </c:pt>
                <c:pt idx="3305">
                  <c:v>62578</c:v>
                </c:pt>
                <c:pt idx="3306">
                  <c:v>62585</c:v>
                </c:pt>
                <c:pt idx="3307">
                  <c:v>62592</c:v>
                </c:pt>
                <c:pt idx="3308">
                  <c:v>62599</c:v>
                </c:pt>
                <c:pt idx="3309">
                  <c:v>62606</c:v>
                </c:pt>
                <c:pt idx="3310">
                  <c:v>62613</c:v>
                </c:pt>
                <c:pt idx="3311">
                  <c:v>62620</c:v>
                </c:pt>
                <c:pt idx="3312">
                  <c:v>62627</c:v>
                </c:pt>
                <c:pt idx="3313">
                  <c:v>62634</c:v>
                </c:pt>
                <c:pt idx="3314">
                  <c:v>62641</c:v>
                </c:pt>
                <c:pt idx="3315">
                  <c:v>62648</c:v>
                </c:pt>
                <c:pt idx="3316">
                  <c:v>62655</c:v>
                </c:pt>
                <c:pt idx="3317">
                  <c:v>62662</c:v>
                </c:pt>
                <c:pt idx="3318">
                  <c:v>62669</c:v>
                </c:pt>
                <c:pt idx="3319">
                  <c:v>62676</c:v>
                </c:pt>
                <c:pt idx="3320">
                  <c:v>62683</c:v>
                </c:pt>
                <c:pt idx="3321">
                  <c:v>62690</c:v>
                </c:pt>
                <c:pt idx="3322">
                  <c:v>62697</c:v>
                </c:pt>
                <c:pt idx="3323">
                  <c:v>62704</c:v>
                </c:pt>
                <c:pt idx="3324">
                  <c:v>62711</c:v>
                </c:pt>
                <c:pt idx="3325">
                  <c:v>62718</c:v>
                </c:pt>
                <c:pt idx="3326">
                  <c:v>62725</c:v>
                </c:pt>
                <c:pt idx="3327">
                  <c:v>62732</c:v>
                </c:pt>
                <c:pt idx="3328">
                  <c:v>62739</c:v>
                </c:pt>
                <c:pt idx="3329">
                  <c:v>62746</c:v>
                </c:pt>
                <c:pt idx="3330">
                  <c:v>62753</c:v>
                </c:pt>
                <c:pt idx="3331">
                  <c:v>62760</c:v>
                </c:pt>
                <c:pt idx="3332">
                  <c:v>62767</c:v>
                </c:pt>
                <c:pt idx="3333">
                  <c:v>62774</c:v>
                </c:pt>
                <c:pt idx="3334">
                  <c:v>62781</c:v>
                </c:pt>
                <c:pt idx="3335">
                  <c:v>62788</c:v>
                </c:pt>
                <c:pt idx="3336">
                  <c:v>62795</c:v>
                </c:pt>
                <c:pt idx="3337">
                  <c:v>62802</c:v>
                </c:pt>
                <c:pt idx="3338">
                  <c:v>62809</c:v>
                </c:pt>
                <c:pt idx="3339">
                  <c:v>62816</c:v>
                </c:pt>
                <c:pt idx="3340">
                  <c:v>62823</c:v>
                </c:pt>
                <c:pt idx="3341">
                  <c:v>62830</c:v>
                </c:pt>
                <c:pt idx="3342">
                  <c:v>62837</c:v>
                </c:pt>
                <c:pt idx="3343">
                  <c:v>62844</c:v>
                </c:pt>
                <c:pt idx="3344">
                  <c:v>62851</c:v>
                </c:pt>
                <c:pt idx="3345">
                  <c:v>62858</c:v>
                </c:pt>
                <c:pt idx="3346">
                  <c:v>62865</c:v>
                </c:pt>
                <c:pt idx="3347">
                  <c:v>62872</c:v>
                </c:pt>
                <c:pt idx="3348">
                  <c:v>62879</c:v>
                </c:pt>
                <c:pt idx="3349">
                  <c:v>62886</c:v>
                </c:pt>
                <c:pt idx="3350">
                  <c:v>62893</c:v>
                </c:pt>
                <c:pt idx="3351">
                  <c:v>62900</c:v>
                </c:pt>
                <c:pt idx="3352">
                  <c:v>62907</c:v>
                </c:pt>
                <c:pt idx="3353">
                  <c:v>62914</c:v>
                </c:pt>
                <c:pt idx="3354">
                  <c:v>62921</c:v>
                </c:pt>
                <c:pt idx="3355">
                  <c:v>62928</c:v>
                </c:pt>
                <c:pt idx="3356">
                  <c:v>62935</c:v>
                </c:pt>
                <c:pt idx="3357">
                  <c:v>62942</c:v>
                </c:pt>
                <c:pt idx="3358">
                  <c:v>62949</c:v>
                </c:pt>
                <c:pt idx="3359">
                  <c:v>62956</c:v>
                </c:pt>
                <c:pt idx="3360">
                  <c:v>62963</c:v>
                </c:pt>
                <c:pt idx="3361">
                  <c:v>62970</c:v>
                </c:pt>
                <c:pt idx="3362">
                  <c:v>62977</c:v>
                </c:pt>
                <c:pt idx="3363">
                  <c:v>62984</c:v>
                </c:pt>
                <c:pt idx="3364">
                  <c:v>62991</c:v>
                </c:pt>
                <c:pt idx="3365">
                  <c:v>62998</c:v>
                </c:pt>
                <c:pt idx="3366">
                  <c:v>63005</c:v>
                </c:pt>
                <c:pt idx="3367">
                  <c:v>63012</c:v>
                </c:pt>
                <c:pt idx="3368">
                  <c:v>63019</c:v>
                </c:pt>
                <c:pt idx="3369">
                  <c:v>63026</c:v>
                </c:pt>
                <c:pt idx="3370">
                  <c:v>63033</c:v>
                </c:pt>
                <c:pt idx="3371">
                  <c:v>63040</c:v>
                </c:pt>
                <c:pt idx="3372">
                  <c:v>63047</c:v>
                </c:pt>
                <c:pt idx="3373">
                  <c:v>63054</c:v>
                </c:pt>
                <c:pt idx="3374">
                  <c:v>63061</c:v>
                </c:pt>
                <c:pt idx="3375">
                  <c:v>63068</c:v>
                </c:pt>
                <c:pt idx="3376">
                  <c:v>63075</c:v>
                </c:pt>
                <c:pt idx="3377">
                  <c:v>63082</c:v>
                </c:pt>
                <c:pt idx="3378">
                  <c:v>63089</c:v>
                </c:pt>
                <c:pt idx="3379">
                  <c:v>63096</c:v>
                </c:pt>
                <c:pt idx="3380">
                  <c:v>63103</c:v>
                </c:pt>
                <c:pt idx="3381">
                  <c:v>63110</c:v>
                </c:pt>
                <c:pt idx="3382">
                  <c:v>63117</c:v>
                </c:pt>
                <c:pt idx="3383">
                  <c:v>63124</c:v>
                </c:pt>
                <c:pt idx="3384">
                  <c:v>63131</c:v>
                </c:pt>
                <c:pt idx="3385">
                  <c:v>63138</c:v>
                </c:pt>
                <c:pt idx="3386">
                  <c:v>63145</c:v>
                </c:pt>
                <c:pt idx="3387">
                  <c:v>63152</c:v>
                </c:pt>
                <c:pt idx="3388">
                  <c:v>63159</c:v>
                </c:pt>
                <c:pt idx="3389">
                  <c:v>63166</c:v>
                </c:pt>
                <c:pt idx="3390">
                  <c:v>63173</c:v>
                </c:pt>
                <c:pt idx="3391">
                  <c:v>63180</c:v>
                </c:pt>
                <c:pt idx="3392">
                  <c:v>63187</c:v>
                </c:pt>
                <c:pt idx="3393">
                  <c:v>63194</c:v>
                </c:pt>
                <c:pt idx="3394">
                  <c:v>63201</c:v>
                </c:pt>
                <c:pt idx="3395">
                  <c:v>63208</c:v>
                </c:pt>
                <c:pt idx="3396">
                  <c:v>63215</c:v>
                </c:pt>
                <c:pt idx="3397">
                  <c:v>63222</c:v>
                </c:pt>
                <c:pt idx="3398">
                  <c:v>63229</c:v>
                </c:pt>
                <c:pt idx="3399">
                  <c:v>63236</c:v>
                </c:pt>
                <c:pt idx="3400">
                  <c:v>63243</c:v>
                </c:pt>
                <c:pt idx="3401">
                  <c:v>63250</c:v>
                </c:pt>
                <c:pt idx="3402">
                  <c:v>63257</c:v>
                </c:pt>
                <c:pt idx="3403">
                  <c:v>63264</c:v>
                </c:pt>
                <c:pt idx="3404">
                  <c:v>63271</c:v>
                </c:pt>
                <c:pt idx="3405">
                  <c:v>63278</c:v>
                </c:pt>
                <c:pt idx="3406">
                  <c:v>63285</c:v>
                </c:pt>
                <c:pt idx="3407">
                  <c:v>63292</c:v>
                </c:pt>
                <c:pt idx="3408">
                  <c:v>63299</c:v>
                </c:pt>
                <c:pt idx="3409">
                  <c:v>63306</c:v>
                </c:pt>
                <c:pt idx="3410">
                  <c:v>63313</c:v>
                </c:pt>
                <c:pt idx="3411">
                  <c:v>63320</c:v>
                </c:pt>
                <c:pt idx="3412">
                  <c:v>63327</c:v>
                </c:pt>
                <c:pt idx="3413">
                  <c:v>63334</c:v>
                </c:pt>
                <c:pt idx="3414">
                  <c:v>63341</c:v>
                </c:pt>
                <c:pt idx="3415">
                  <c:v>63348</c:v>
                </c:pt>
                <c:pt idx="3416">
                  <c:v>63355</c:v>
                </c:pt>
                <c:pt idx="3417">
                  <c:v>63362</c:v>
                </c:pt>
                <c:pt idx="3418">
                  <c:v>63369</c:v>
                </c:pt>
                <c:pt idx="3419">
                  <c:v>63376</c:v>
                </c:pt>
                <c:pt idx="3420">
                  <c:v>63383</c:v>
                </c:pt>
                <c:pt idx="3421">
                  <c:v>63390</c:v>
                </c:pt>
                <c:pt idx="3422">
                  <c:v>63397</c:v>
                </c:pt>
                <c:pt idx="3423">
                  <c:v>63404</c:v>
                </c:pt>
                <c:pt idx="3424">
                  <c:v>63411</c:v>
                </c:pt>
                <c:pt idx="3425">
                  <c:v>63418</c:v>
                </c:pt>
                <c:pt idx="3426">
                  <c:v>63425</c:v>
                </c:pt>
                <c:pt idx="3427">
                  <c:v>63432</c:v>
                </c:pt>
                <c:pt idx="3428">
                  <c:v>63439</c:v>
                </c:pt>
                <c:pt idx="3429">
                  <c:v>63446</c:v>
                </c:pt>
                <c:pt idx="3430">
                  <c:v>63453</c:v>
                </c:pt>
                <c:pt idx="3431">
                  <c:v>63460</c:v>
                </c:pt>
                <c:pt idx="3432">
                  <c:v>63467</c:v>
                </c:pt>
                <c:pt idx="3433">
                  <c:v>63474</c:v>
                </c:pt>
                <c:pt idx="3434">
                  <c:v>63481</c:v>
                </c:pt>
                <c:pt idx="3435">
                  <c:v>63488</c:v>
                </c:pt>
                <c:pt idx="3436">
                  <c:v>63495</c:v>
                </c:pt>
                <c:pt idx="3437">
                  <c:v>63502</c:v>
                </c:pt>
                <c:pt idx="3438">
                  <c:v>63509</c:v>
                </c:pt>
                <c:pt idx="3439">
                  <c:v>63516</c:v>
                </c:pt>
                <c:pt idx="3440">
                  <c:v>63523</c:v>
                </c:pt>
                <c:pt idx="3441">
                  <c:v>63530</c:v>
                </c:pt>
                <c:pt idx="3442">
                  <c:v>63537</c:v>
                </c:pt>
                <c:pt idx="3443">
                  <c:v>63544</c:v>
                </c:pt>
                <c:pt idx="3444">
                  <c:v>63552</c:v>
                </c:pt>
                <c:pt idx="3445">
                  <c:v>63559</c:v>
                </c:pt>
                <c:pt idx="3446">
                  <c:v>63566</c:v>
                </c:pt>
                <c:pt idx="3447">
                  <c:v>63573</c:v>
                </c:pt>
                <c:pt idx="3448">
                  <c:v>63580</c:v>
                </c:pt>
                <c:pt idx="3449">
                  <c:v>63587</c:v>
                </c:pt>
                <c:pt idx="3450">
                  <c:v>63594</c:v>
                </c:pt>
                <c:pt idx="3451">
                  <c:v>63601</c:v>
                </c:pt>
                <c:pt idx="3452">
                  <c:v>63608</c:v>
                </c:pt>
                <c:pt idx="3453">
                  <c:v>63615</c:v>
                </c:pt>
                <c:pt idx="3454">
                  <c:v>63622</c:v>
                </c:pt>
                <c:pt idx="3455">
                  <c:v>63629</c:v>
                </c:pt>
                <c:pt idx="3456">
                  <c:v>63636</c:v>
                </c:pt>
                <c:pt idx="3457">
                  <c:v>63643</c:v>
                </c:pt>
                <c:pt idx="3458">
                  <c:v>63650</c:v>
                </c:pt>
                <c:pt idx="3459">
                  <c:v>63661</c:v>
                </c:pt>
                <c:pt idx="3460">
                  <c:v>63664</c:v>
                </c:pt>
                <c:pt idx="3461">
                  <c:v>63671</c:v>
                </c:pt>
                <c:pt idx="3462">
                  <c:v>63678</c:v>
                </c:pt>
                <c:pt idx="3463">
                  <c:v>63685</c:v>
                </c:pt>
                <c:pt idx="3464">
                  <c:v>63692</c:v>
                </c:pt>
                <c:pt idx="3465">
                  <c:v>63699</c:v>
                </c:pt>
                <c:pt idx="3466">
                  <c:v>63706</c:v>
                </c:pt>
                <c:pt idx="3467">
                  <c:v>63713</c:v>
                </c:pt>
                <c:pt idx="3468">
                  <c:v>63720</c:v>
                </c:pt>
                <c:pt idx="3469">
                  <c:v>63727</c:v>
                </c:pt>
                <c:pt idx="3470">
                  <c:v>63734</c:v>
                </c:pt>
                <c:pt idx="3471">
                  <c:v>63741</c:v>
                </c:pt>
                <c:pt idx="3472">
                  <c:v>63748</c:v>
                </c:pt>
                <c:pt idx="3473">
                  <c:v>63755</c:v>
                </c:pt>
                <c:pt idx="3474">
                  <c:v>63762</c:v>
                </c:pt>
                <c:pt idx="3475">
                  <c:v>63769</c:v>
                </c:pt>
                <c:pt idx="3476">
                  <c:v>63776</c:v>
                </c:pt>
                <c:pt idx="3477">
                  <c:v>63783</c:v>
                </c:pt>
                <c:pt idx="3478">
                  <c:v>63790</c:v>
                </c:pt>
                <c:pt idx="3479">
                  <c:v>63797</c:v>
                </c:pt>
                <c:pt idx="3480">
                  <c:v>63804</c:v>
                </c:pt>
                <c:pt idx="3481">
                  <c:v>63811</c:v>
                </c:pt>
                <c:pt idx="3482">
                  <c:v>63818</c:v>
                </c:pt>
                <c:pt idx="3483">
                  <c:v>63825</c:v>
                </c:pt>
                <c:pt idx="3484">
                  <c:v>63832</c:v>
                </c:pt>
                <c:pt idx="3485">
                  <c:v>63839</c:v>
                </c:pt>
                <c:pt idx="3486">
                  <c:v>63846</c:v>
                </c:pt>
                <c:pt idx="3487">
                  <c:v>63853</c:v>
                </c:pt>
                <c:pt idx="3488">
                  <c:v>63860</c:v>
                </c:pt>
                <c:pt idx="3489">
                  <c:v>63867</c:v>
                </c:pt>
                <c:pt idx="3490">
                  <c:v>63874</c:v>
                </c:pt>
                <c:pt idx="3491">
                  <c:v>63881</c:v>
                </c:pt>
                <c:pt idx="3492">
                  <c:v>63888</c:v>
                </c:pt>
                <c:pt idx="3493">
                  <c:v>63895</c:v>
                </c:pt>
                <c:pt idx="3494">
                  <c:v>63902</c:v>
                </c:pt>
                <c:pt idx="3495">
                  <c:v>63909</c:v>
                </c:pt>
                <c:pt idx="3496">
                  <c:v>63919</c:v>
                </c:pt>
                <c:pt idx="3497">
                  <c:v>63926</c:v>
                </c:pt>
                <c:pt idx="3498">
                  <c:v>63933</c:v>
                </c:pt>
                <c:pt idx="3499">
                  <c:v>63940</c:v>
                </c:pt>
                <c:pt idx="3500">
                  <c:v>63947</c:v>
                </c:pt>
                <c:pt idx="3501">
                  <c:v>63954</c:v>
                </c:pt>
                <c:pt idx="3502">
                  <c:v>63961</c:v>
                </c:pt>
                <c:pt idx="3503">
                  <c:v>63968</c:v>
                </c:pt>
                <c:pt idx="3504">
                  <c:v>63975</c:v>
                </c:pt>
                <c:pt idx="3505">
                  <c:v>63982</c:v>
                </c:pt>
                <c:pt idx="3506">
                  <c:v>63989</c:v>
                </c:pt>
                <c:pt idx="3507">
                  <c:v>63996</c:v>
                </c:pt>
                <c:pt idx="3508">
                  <c:v>64003</c:v>
                </c:pt>
                <c:pt idx="3509">
                  <c:v>64010</c:v>
                </c:pt>
                <c:pt idx="3510">
                  <c:v>64019</c:v>
                </c:pt>
                <c:pt idx="3511">
                  <c:v>64024</c:v>
                </c:pt>
                <c:pt idx="3512">
                  <c:v>64031</c:v>
                </c:pt>
                <c:pt idx="3513">
                  <c:v>64038</c:v>
                </c:pt>
                <c:pt idx="3514">
                  <c:v>64045</c:v>
                </c:pt>
                <c:pt idx="3515">
                  <c:v>64052</c:v>
                </c:pt>
                <c:pt idx="3516">
                  <c:v>64059</c:v>
                </c:pt>
                <c:pt idx="3517">
                  <c:v>64066</c:v>
                </c:pt>
                <c:pt idx="3518">
                  <c:v>64073</c:v>
                </c:pt>
                <c:pt idx="3519">
                  <c:v>64080</c:v>
                </c:pt>
                <c:pt idx="3520">
                  <c:v>64087</c:v>
                </c:pt>
                <c:pt idx="3521">
                  <c:v>64094</c:v>
                </c:pt>
                <c:pt idx="3522">
                  <c:v>64101</c:v>
                </c:pt>
                <c:pt idx="3523">
                  <c:v>64108</c:v>
                </c:pt>
                <c:pt idx="3524">
                  <c:v>64115</c:v>
                </c:pt>
                <c:pt idx="3525">
                  <c:v>64122</c:v>
                </c:pt>
                <c:pt idx="3526">
                  <c:v>64129</c:v>
                </c:pt>
                <c:pt idx="3527">
                  <c:v>64136</c:v>
                </c:pt>
                <c:pt idx="3528">
                  <c:v>64143</c:v>
                </c:pt>
                <c:pt idx="3529">
                  <c:v>64150</c:v>
                </c:pt>
                <c:pt idx="3530">
                  <c:v>64157</c:v>
                </c:pt>
                <c:pt idx="3531">
                  <c:v>64164</c:v>
                </c:pt>
                <c:pt idx="3532">
                  <c:v>64171</c:v>
                </c:pt>
                <c:pt idx="3533">
                  <c:v>64178</c:v>
                </c:pt>
              </c:numCache>
            </c:numRef>
          </c:cat>
          <c:val>
            <c:numRef>
              <c:f>Monitor!$Z$19:$Z$3552</c:f>
              <c:numCache>
                <c:formatCode>0.0000%</c:formatCode>
                <c:ptCount val="3534"/>
                <c:pt idx="0">
                  <c:v>-3.6699999999967683E-4</c:v>
                </c:pt>
                <c:pt idx="1">
                  <c:v>-3.7180536445635681E-4</c:v>
                </c:pt>
                <c:pt idx="2">
                  <c:v>-3.7341029362833548E-4</c:v>
                </c:pt>
                <c:pt idx="3">
                  <c:v>-3.7500000111486358E-4</c:v>
                </c:pt>
                <c:pt idx="4">
                  <c:v>-3.7656605667877344E-4</c:v>
                </c:pt>
                <c:pt idx="5">
                  <c:v>-3.7810661031859434E-4</c:v>
                </c:pt>
                <c:pt idx="6">
                  <c:v>-3.8257321022918897E-4</c:v>
                </c:pt>
                <c:pt idx="7">
                  <c:v>-3.840097067118333E-4</c:v>
                </c:pt>
                <c:pt idx="8">
                  <c:v>-3.854196765401979E-4</c:v>
                </c:pt>
                <c:pt idx="9">
                  <c:v>-3.8680291476789322E-4</c:v>
                </c:pt>
                <c:pt idx="10">
                  <c:v>-3.9148375340278437E-4</c:v>
                </c:pt>
                <c:pt idx="11">
                  <c:v>-3.9206445272969712E-4</c:v>
                </c:pt>
                <c:pt idx="12">
                  <c:v>-3.9331095874678364E-4</c:v>
                </c:pt>
                <c:pt idx="13">
                  <c:v>-3.9551443014793921E-4</c:v>
                </c:pt>
                <c:pt idx="14">
                  <c:v>-3.4739374381479625E-4</c:v>
                </c:pt>
                <c:pt idx="15">
                  <c:v>-3.4707167207491602E-4</c:v>
                </c:pt>
                <c:pt idx="16">
                  <c:v>-3.4742321741759491E-4</c:v>
                </c:pt>
                <c:pt idx="17">
                  <c:v>-3.4844075524246339E-4</c:v>
                </c:pt>
                <c:pt idx="18">
                  <c:v>-3.4942947368306153E-4</c:v>
                </c:pt>
                <c:pt idx="19">
                  <c:v>-3.5038917000981709E-4</c:v>
                </c:pt>
                <c:pt idx="20">
                  <c:v>-3.5380459059975361E-4</c:v>
                </c:pt>
                <c:pt idx="21">
                  <c:v>-3.5393367963779728E-4</c:v>
                </c:pt>
                <c:pt idx="22">
                  <c:v>-3.5474524060926613E-4</c:v>
                </c:pt>
                <c:pt idx="23">
                  <c:v>-3.5552665984423697E-4</c:v>
                </c:pt>
                <c:pt idx="24">
                  <c:v>-3.5627783136487457E-4</c:v>
                </c:pt>
                <c:pt idx="25">
                  <c:v>-3.5915193865771974E-4</c:v>
                </c:pt>
                <c:pt idx="26">
                  <c:v>-3.5897792063921413E-4</c:v>
                </c:pt>
                <c:pt idx="27">
                  <c:v>-3.595762638372459E-4</c:v>
                </c:pt>
                <c:pt idx="28">
                  <c:v>-3.6014372341700625E-4</c:v>
                </c:pt>
                <c:pt idx="29">
                  <c:v>-3.6068019339370897E-4</c:v>
                </c:pt>
                <c:pt idx="30">
                  <c:v>-3.6306363458616763E-4</c:v>
                </c:pt>
                <c:pt idx="31">
                  <c:v>-3.6251405751861284E-4</c:v>
                </c:pt>
                <c:pt idx="32">
                  <c:v>-3.6289398966218498E-4</c:v>
                </c:pt>
                <c:pt idx="33">
                  <c:v>-3.6324229627226069E-4</c:v>
                </c:pt>
                <c:pt idx="34">
                  <c:v>-3.63558871357103E-4</c:v>
                </c:pt>
                <c:pt idx="35">
                  <c:v>-3.6296944261248934E-4</c:v>
                </c:pt>
                <c:pt idx="36">
                  <c:v>-3.7546127935630106E-4</c:v>
                </c:pt>
                <c:pt idx="37">
                  <c:v>-3.7561760648971312E-4</c:v>
                </c:pt>
                <c:pt idx="38">
                  <c:v>-3.7574156622610172E-4</c:v>
                </c:pt>
                <c:pt idx="39">
                  <c:v>-3.7583305257199201E-4</c:v>
                </c:pt>
                <c:pt idx="40">
                  <c:v>-3.7715889030069048E-4</c:v>
                </c:pt>
                <c:pt idx="41">
                  <c:v>-3.7587214409505405E-4</c:v>
                </c:pt>
                <c:pt idx="42">
                  <c:v>-3.7579967351681996E-4</c:v>
                </c:pt>
                <c:pt idx="43">
                  <c:v>-3.7569409355509015E-4</c:v>
                </c:pt>
                <c:pt idx="44">
                  <c:v>-3.7555536075462514E-4</c:v>
                </c:pt>
                <c:pt idx="45">
                  <c:v>-3.7654935825500271E-4</c:v>
                </c:pt>
                <c:pt idx="46">
                  <c:v>-3.7467366141934373E-4</c:v>
                </c:pt>
                <c:pt idx="47">
                  <c:v>-3.7437289097470671E-4</c:v>
                </c:pt>
                <c:pt idx="48">
                  <c:v>-3.7404052085241254E-4</c:v>
                </c:pt>
                <c:pt idx="49">
                  <c:v>-3.7367682033531815E-4</c:v>
                </c:pt>
                <c:pt idx="50">
                  <c:v>-3.7440507143158132E-4</c:v>
                </c:pt>
                <c:pt idx="51">
                  <c:v>-3.7191409993176316E-4</c:v>
                </c:pt>
                <c:pt idx="52">
                  <c:v>-3.7139778664789698E-4</c:v>
                </c:pt>
                <c:pt idx="53">
                  <c:v>-3.7085175864855999E-4</c:v>
                </c:pt>
                <c:pt idx="54">
                  <c:v>-3.7027628521226478E-4</c:v>
                </c:pt>
                <c:pt idx="55">
                  <c:v>-3.7080877627076423E-4</c:v>
                </c:pt>
                <c:pt idx="56">
                  <c:v>-3.6708148290449591E-4</c:v>
                </c:pt>
                <c:pt idx="57">
                  <c:v>-3.8890548047141465E-4</c:v>
                </c:pt>
                <c:pt idx="58">
                  <c:v>-3.8815372417639812E-4</c:v>
                </c:pt>
                <c:pt idx="59">
                  <c:v>-3.8737384443978404E-4</c:v>
                </c:pt>
                <c:pt idx="60">
                  <c:v>-3.8656611349304067E-4</c:v>
                </c:pt>
                <c:pt idx="61">
                  <c:v>-3.8397853570232353E-4</c:v>
                </c:pt>
                <c:pt idx="62">
                  <c:v>-3.8306212222930479E-4</c:v>
                </c:pt>
                <c:pt idx="63">
                  <c:v>-3.8211921870042294E-4</c:v>
                </c:pt>
                <c:pt idx="64">
                  <c:v>-3.8115009734582841E-4</c:v>
                </c:pt>
                <c:pt idx="65">
                  <c:v>-3.8015503039874626E-4</c:v>
                </c:pt>
                <c:pt idx="66">
                  <c:v>-3.7706006966972775E-4</c:v>
                </c:pt>
                <c:pt idx="67">
                  <c:v>-3.76023130860624E-4</c:v>
                </c:pt>
                <c:pt idx="68">
                  <c:v>-3.7499999999927245E-4</c:v>
                </c:pt>
                <c:pt idx="69">
                  <c:v>-3.7399887087857006E-4</c:v>
                </c:pt>
                <c:pt idx="70">
                  <c:v>-3.7302123105979973E-4</c:v>
                </c:pt>
                <c:pt idx="71">
                  <c:v>-3.7022735743416239E-4</c:v>
                </c:pt>
                <c:pt idx="72">
                  <c:v>-3.6934178483737014E-4</c:v>
                </c:pt>
                <c:pt idx="73">
                  <c:v>-3.6847875654941523E-4</c:v>
                </c:pt>
                <c:pt idx="74">
                  <c:v>-3.6763808356719878E-4</c:v>
                </c:pt>
                <c:pt idx="75">
                  <c:v>-3.6512130714480925E-4</c:v>
                </c:pt>
                <c:pt idx="76">
                  <c:v>-3.6376343319039005E-4</c:v>
                </c:pt>
                <c:pt idx="77">
                  <c:v>-3.6305292300212329E-4</c:v>
                </c:pt>
                <c:pt idx="78">
                  <c:v>-3.623634450996597E-4</c:v>
                </c:pt>
                <c:pt idx="79">
                  <c:v>-4.2033404366335219E-4</c:v>
                </c:pt>
                <c:pt idx="80">
                  <c:v>-4.1974690109889437E-4</c:v>
                </c:pt>
                <c:pt idx="81">
                  <c:v>-4.1917965648146293E-4</c:v>
                </c:pt>
                <c:pt idx="82">
                  <c:v>-4.1863212080620201E-4</c:v>
                </c:pt>
                <c:pt idx="83">
                  <c:v>-4.1810410506957368E-4</c:v>
                </c:pt>
                <c:pt idx="84">
                  <c:v>-4.1663528743238535E-4</c:v>
                </c:pt>
                <c:pt idx="85">
                  <c:v>-4.1618346138987112E-4</c:v>
                </c:pt>
                <c:pt idx="86">
                  <c:v>-4.1575021025600108E-4</c:v>
                </c:pt>
                <c:pt idx="87">
                  <c:v>-4.153353450246019E-4</c:v>
                </c:pt>
                <c:pt idx="88">
                  <c:v>-4.1493867668466886E-4</c:v>
                </c:pt>
                <c:pt idx="89">
                  <c:v>-4.1385596294710202E-4</c:v>
                </c:pt>
                <c:pt idx="90">
                  <c:v>-4.1353019209944156E-4</c:v>
                </c:pt>
                <c:pt idx="91">
                  <c:v>-4.1322167310359632E-4</c:v>
                </c:pt>
                <c:pt idx="92">
                  <c:v>-4.1293021695163617E-4</c:v>
                </c:pt>
                <c:pt idx="93">
                  <c:v>-4.1265563463036036E-4</c:v>
                </c:pt>
                <c:pt idx="94">
                  <c:v>-4.119312405669452E-4</c:v>
                </c:pt>
                <c:pt idx="95">
                  <c:v>-4.1172226347592874E-4</c:v>
                </c:pt>
                <c:pt idx="96">
                  <c:v>-4.115292151680399E-4</c:v>
                </c:pt>
                <c:pt idx="97">
                  <c:v>-4.1135190662876047E-4</c:v>
                </c:pt>
                <c:pt idx="98">
                  <c:v>-4.1119014884796409E-4</c:v>
                </c:pt>
                <c:pt idx="99">
                  <c:v>-3.8231541790543735E-4</c:v>
                </c:pt>
                <c:pt idx="100">
                  <c:v>-3.8167016887857841E-4</c:v>
                </c:pt>
                <c:pt idx="101">
                  <c:v>-3.8157819309647678E-4</c:v>
                </c:pt>
                <c:pt idx="102">
                  <c:v>-3.8150072232934207E-4</c:v>
                </c:pt>
                <c:pt idx="103">
                  <c:v>-3.8143756546338281E-4</c:v>
                </c:pt>
                <c:pt idx="104">
                  <c:v>-3.8190540517002561E-4</c:v>
                </c:pt>
                <c:pt idx="105">
                  <c:v>-3.8132425471193443E-4</c:v>
                </c:pt>
                <c:pt idx="106">
                  <c:v>-3.8132980062677291E-4</c:v>
                </c:pt>
                <c:pt idx="107">
                  <c:v>-3.8134851375515311E-4</c:v>
                </c:pt>
                <c:pt idx="108">
                  <c:v>-3.8138020297839859E-4</c:v>
                </c:pt>
                <c:pt idx="109">
                  <c:v>-3.8215550665152847E-4</c:v>
                </c:pt>
                <c:pt idx="110">
                  <c:v>-3.8163289852022331E-4</c:v>
                </c:pt>
                <c:pt idx="111">
                  <c:v>-3.8172660148960702E-4</c:v>
                </c:pt>
                <c:pt idx="112">
                  <c:v>-3.8183213386000503E-4</c:v>
                </c:pt>
                <c:pt idx="113">
                  <c:v>-3.8194930451540543E-4</c:v>
                </c:pt>
                <c:pt idx="114">
                  <c:v>-3.8300089017559164E-4</c:v>
                </c:pt>
                <c:pt idx="115">
                  <c:v>-3.8253054766812511E-4</c:v>
                </c:pt>
                <c:pt idx="116">
                  <c:v>-3.8270304300880298E-4</c:v>
                </c:pt>
                <c:pt idx="117">
                  <c:v>-3.8288602993441501E-4</c:v>
                </c:pt>
                <c:pt idx="118">
                  <c:v>-3.83079317332502E-4</c:v>
                </c:pt>
                <c:pt idx="119">
                  <c:v>-3.850260542727418E-4</c:v>
                </c:pt>
                <c:pt idx="120">
                  <c:v>-3.7039745151925255E-4</c:v>
                </c:pt>
                <c:pt idx="121">
                  <c:v>-3.7064628996214715E-4</c:v>
                </c:pt>
                <c:pt idx="122">
                  <c:v>-3.7090422402104127E-4</c:v>
                </c:pt>
                <c:pt idx="123">
                  <c:v>-3.7278996271034861E-4</c:v>
                </c:pt>
                <c:pt idx="124">
                  <c:v>-3.7202317717508772E-4</c:v>
                </c:pt>
                <c:pt idx="125">
                  <c:v>-3.7232378488033757E-4</c:v>
                </c:pt>
                <c:pt idx="126">
                  <c:v>-3.7263236642717443E-4</c:v>
                </c:pt>
                <c:pt idx="127">
                  <c:v>-3.7294873485515113E-4</c:v>
                </c:pt>
                <c:pt idx="128">
                  <c:v>-3.7493800384212362E-4</c:v>
                </c:pt>
                <c:pt idx="129">
                  <c:v>-3.7428833811303802E-4</c:v>
                </c:pt>
                <c:pt idx="130">
                  <c:v>-3.7464083650438364E-4</c:v>
                </c:pt>
                <c:pt idx="131">
                  <c:v>-3.75000000000719E-4</c:v>
                </c:pt>
                <c:pt idx="132">
                  <c:v>-3.753655686252213E-4</c:v>
                </c:pt>
                <c:pt idx="133">
                  <c:v>-3.7744202291166396E-4</c:v>
                </c:pt>
                <c:pt idx="134">
                  <c:v>-3.7688012366312782E-4</c:v>
                </c:pt>
                <c:pt idx="135">
                  <c:v>-3.7726870733402056E-4</c:v>
                </c:pt>
                <c:pt idx="136">
                  <c:v>-3.7766001887979577E-4</c:v>
                </c:pt>
                <c:pt idx="137">
                  <c:v>-3.7805343325782718E-4</c:v>
                </c:pt>
                <c:pt idx="138">
                  <c:v>-3.8003017111123131E-4</c:v>
                </c:pt>
                <c:pt idx="139">
                  <c:v>-3.8042307657417871E-4</c:v>
                </c:pt>
                <c:pt idx="140">
                  <c:v>-3.799617652462932E-4</c:v>
                </c:pt>
                <c:pt idx="141">
                  <c:v>-3.2853504342549982E-4</c:v>
                </c:pt>
                <c:pt idx="142">
                  <c:v>-3.2969397829225519E-4</c:v>
                </c:pt>
                <c:pt idx="143">
                  <c:v>-3.3007133979649756E-4</c:v>
                </c:pt>
                <c:pt idx="144">
                  <c:v>-3.3044317304464532E-4</c:v>
                </c:pt>
                <c:pt idx="145">
                  <c:v>-3.3080884611932286E-4</c:v>
                </c:pt>
                <c:pt idx="146">
                  <c:v>-3.3116772709876249E-4</c:v>
                </c:pt>
                <c:pt idx="147">
                  <c:v>-3.3219729830419629E-4</c:v>
                </c:pt>
                <c:pt idx="148">
                  <c:v>-3.3252269173727361E-4</c:v>
                </c:pt>
                <c:pt idx="149">
                  <c:v>-3.328381334886745E-4</c:v>
                </c:pt>
                <c:pt idx="150">
                  <c:v>-3.3314299164234086E-4</c:v>
                </c:pt>
                <c:pt idx="151">
                  <c:v>-3.3343663428265401E-4</c:v>
                </c:pt>
                <c:pt idx="152">
                  <c:v>-3.3424394994752263E-4</c:v>
                </c:pt>
                <c:pt idx="153">
                  <c:v>-3.3448641136330258E-4</c:v>
                </c:pt>
                <c:pt idx="154">
                  <c:v>-3.3471449768016906E-4</c:v>
                </c:pt>
                <c:pt idx="155">
                  <c:v>-3.3492757698118581E-4</c:v>
                </c:pt>
                <c:pt idx="156">
                  <c:v>-3.3512501735293005E-4</c:v>
                </c:pt>
                <c:pt idx="157">
                  <c:v>-3.3561718570867058E-4</c:v>
                </c:pt>
                <c:pt idx="158">
                  <c:v>-3.3574575118605561E-4</c:v>
                </c:pt>
                <c:pt idx="159">
                  <c:v>-3.3585551814597272E-4</c:v>
                </c:pt>
                <c:pt idx="160">
                  <c:v>-3.3594585467412074E-4</c:v>
                </c:pt>
                <c:pt idx="161">
                  <c:v>-3.3601612885004973E-4</c:v>
                </c:pt>
                <c:pt idx="162">
                  <c:v>-3.4220397508753233E-4</c:v>
                </c:pt>
                <c:pt idx="163">
                  <c:v>-3.4216896871755567E-4</c:v>
                </c:pt>
                <c:pt idx="164">
                  <c:v>-3.4211043823883104E-4</c:v>
                </c:pt>
                <c:pt idx="165">
                  <c:v>-3.4202775860351899E-4</c:v>
                </c:pt>
                <c:pt idx="166">
                  <c:v>-3.4357053251366898E-4</c:v>
                </c:pt>
                <c:pt idx="167">
                  <c:v>-3.4144304747009478E-4</c:v>
                </c:pt>
                <c:pt idx="168">
                  <c:v>-3.412302462825539E-4</c:v>
                </c:pt>
                <c:pt idx="169">
                  <c:v>-3.4098954562314984E-4</c:v>
                </c:pt>
                <c:pt idx="170">
                  <c:v>-3.4072032044447741E-4</c:v>
                </c:pt>
                <c:pt idx="171">
                  <c:v>-3.4178063933701667E-4</c:v>
                </c:pt>
                <c:pt idx="172">
                  <c:v>-3.3934567339220247E-4</c:v>
                </c:pt>
                <c:pt idx="173">
                  <c:v>-3.3892444975883781E-4</c:v>
                </c:pt>
                <c:pt idx="174">
                  <c:v>-3.3847095126225631E-4</c:v>
                </c:pt>
                <c:pt idx="175">
                  <c:v>-3.3798455284028212E-4</c:v>
                </c:pt>
                <c:pt idx="176">
                  <c:v>-3.3850963589954441E-4</c:v>
                </c:pt>
                <c:pt idx="177">
                  <c:v>-3.3569745864060334E-4</c:v>
                </c:pt>
                <c:pt idx="178">
                  <c:v>-3.3503718463860817E-4</c:v>
                </c:pt>
                <c:pt idx="179">
                  <c:v>-3.3434026032209063E-4</c:v>
                </c:pt>
                <c:pt idx="180">
                  <c:v>-3.3360606062018603E-4</c:v>
                </c:pt>
                <c:pt idx="181">
                  <c:v>-3.3354768815281745E-4</c:v>
                </c:pt>
                <c:pt idx="182">
                  <c:v>-3.3028400652228951E-4</c:v>
                </c:pt>
                <c:pt idx="183">
                  <c:v>-3.2935405379702875E-4</c:v>
                </c:pt>
                <c:pt idx="184">
                  <c:v>-3.4325139259721416E-4</c:v>
                </c:pt>
                <c:pt idx="185">
                  <c:v>-3.4223876696343436E-4</c:v>
                </c:pt>
                <c:pt idx="186">
                  <c:v>-3.4123690898095796E-4</c:v>
                </c:pt>
                <c:pt idx="187">
                  <c:v>-3.3775925517888559E-4</c:v>
                </c:pt>
                <c:pt idx="188">
                  <c:v>-3.3652899948504567E-4</c:v>
                </c:pt>
                <c:pt idx="189">
                  <c:v>-3.3525334251194793E-4</c:v>
                </c:pt>
                <c:pt idx="190">
                  <c:v>-3.339316591670059E-4</c:v>
                </c:pt>
                <c:pt idx="191">
                  <c:v>-3.3226359096933896E-4</c:v>
                </c:pt>
                <c:pt idx="192">
                  <c:v>-3.2817216006849085E-4</c:v>
                </c:pt>
                <c:pt idx="193">
                  <c:v>-3.2661096834954564E-4</c:v>
                </c:pt>
                <c:pt idx="194">
                  <c:v>-3.2499999963372819E-4</c:v>
                </c:pt>
                <c:pt idx="195">
                  <c:v>-3.2333880488414398E-4</c:v>
                </c:pt>
                <c:pt idx="196">
                  <c:v>-3.2098094320518795E-4</c:v>
                </c:pt>
                <c:pt idx="197">
                  <c:v>-3.16205298474223E-4</c:v>
                </c:pt>
                <c:pt idx="198">
                  <c:v>-3.1430491771190365E-4</c:v>
                </c:pt>
                <c:pt idx="199">
                  <c:v>-3.1235984803484163E-4</c:v>
                </c:pt>
                <c:pt idx="200">
                  <c:v>-3.1037114581759003E-4</c:v>
                </c:pt>
                <c:pt idx="201">
                  <c:v>-3.074272914332105E-4</c:v>
                </c:pt>
                <c:pt idx="202">
                  <c:v>-3.0200113907597885E-4</c:v>
                </c:pt>
                <c:pt idx="203">
                  <c:v>-2.9981011981126417E-4</c:v>
                </c:pt>
                <c:pt idx="204">
                  <c:v>-2.9758180627626889E-4</c:v>
                </c:pt>
                <c:pt idx="205">
                  <c:v>-2.9531725485249687E-4</c:v>
                </c:pt>
                <c:pt idx="206">
                  <c:v>-3.4209697477953819E-4</c:v>
                </c:pt>
                <c:pt idx="207">
                  <c:v>-3.3717492199704445E-4</c:v>
                </c:pt>
                <c:pt idx="208">
                  <c:v>-3.347450587412231E-4</c:v>
                </c:pt>
                <c:pt idx="209">
                  <c:v>-3.3228529631530544E-4</c:v>
                </c:pt>
                <c:pt idx="210">
                  <c:v>-3.2979669109558233E-4</c:v>
                </c:pt>
                <c:pt idx="211">
                  <c:v>-3.2501206895796386E-4</c:v>
                </c:pt>
                <c:pt idx="212">
                  <c:v>-3.1957496997909345E-4</c:v>
                </c:pt>
                <c:pt idx="213">
                  <c:v>-3.1695799657589606E-4</c:v>
                </c:pt>
                <c:pt idx="214">
                  <c:v>-3.1431851870788525E-4</c:v>
                </c:pt>
                <c:pt idx="215">
                  <c:v>-3.1165759277090144E-4</c:v>
                </c:pt>
                <c:pt idx="216">
                  <c:v>-3.0669338767331871E-4</c:v>
                </c:pt>
                <c:pt idx="217">
                  <c:v>-3.0082053632693814E-4</c:v>
                </c:pt>
                <c:pt idx="218">
                  <c:v>-2.9806821606740954E-4</c:v>
                </c:pt>
                <c:pt idx="219">
                  <c:v>-2.9530078616782005E-4</c:v>
                </c:pt>
                <c:pt idx="220">
                  <c:v>-2.9251930304269075E-4</c:v>
                </c:pt>
                <c:pt idx="221">
                  <c:v>-2.8749556448684309E-4</c:v>
                </c:pt>
                <c:pt idx="222">
                  <c:v>-2.8127396667711738E-4</c:v>
                </c:pt>
                <c:pt idx="223">
                  <c:v>-2.784380637433287E-4</c:v>
                </c:pt>
                <c:pt idx="224">
                  <c:v>-2.7559444613020986E-4</c:v>
                </c:pt>
                <c:pt idx="225">
                  <c:v>-2.7274417027574148E-4</c:v>
                </c:pt>
                <c:pt idx="226">
                  <c:v>-2.6777323927600159E-4</c:v>
                </c:pt>
                <c:pt idx="227">
                  <c:v>-2.9925160039446158E-4</c:v>
                </c:pt>
                <c:pt idx="228">
                  <c:v>-2.9638390777761306E-4</c:v>
                </c:pt>
                <c:pt idx="229">
                  <c:v>-2.9351589559682402E-4</c:v>
                </c:pt>
                <c:pt idx="230">
                  <c:v>-2.9064862029832926E-4</c:v>
                </c:pt>
                <c:pt idx="231">
                  <c:v>-2.8502759059776013E-4</c:v>
                </c:pt>
                <c:pt idx="232">
                  <c:v>-2.7920801695755794E-4</c:v>
                </c:pt>
                <c:pt idx="233">
                  <c:v>-2.7636027287353504E-4</c:v>
                </c:pt>
                <c:pt idx="234">
                  <c:v>-2.7351960441351187E-4</c:v>
                </c:pt>
                <c:pt idx="235">
                  <c:v>-2.7068706804718278E-4</c:v>
                </c:pt>
                <c:pt idx="236">
                  <c:v>-2.6532040028578476E-4</c:v>
                </c:pt>
                <c:pt idx="237">
                  <c:v>-2.5945937297177718E-4</c:v>
                </c:pt>
                <c:pt idx="238">
                  <c:v>-2.566833441923187E-4</c:v>
                </c:pt>
                <c:pt idx="239">
                  <c:v>-2.5392178637598364E-4</c:v>
                </c:pt>
                <c:pt idx="240">
                  <c:v>-2.5117575601027816E-4</c:v>
                </c:pt>
                <c:pt idx="241">
                  <c:v>-2.4615266506164353E-4</c:v>
                </c:pt>
                <c:pt idx="242">
                  <c:v>-2.4036803892378013E-4</c:v>
                </c:pt>
                <c:pt idx="243">
                  <c:v>-2.3771549323546522E-4</c:v>
                </c:pt>
                <c:pt idx="244">
                  <c:v>-2.3508481398363789E-4</c:v>
                </c:pt>
                <c:pt idx="245">
                  <c:v>-2.3247705767926382E-4</c:v>
                </c:pt>
                <c:pt idx="246">
                  <c:v>-2.2787904981555886E-4</c:v>
                </c:pt>
                <c:pt idx="247">
                  <c:v>-2.2229639213258834E-4</c:v>
                </c:pt>
                <c:pt idx="248">
                  <c:v>-2.1981909823908872E-4</c:v>
                </c:pt>
                <c:pt idx="249">
                  <c:v>-2.1829429964307821E-4</c:v>
                </c:pt>
                <c:pt idx="250">
                  <c:v>-2.1585472283130588E-4</c:v>
                </c:pt>
                <c:pt idx="251">
                  <c:v>-2.1344635857119769E-4</c:v>
                </c:pt>
                <c:pt idx="252">
                  <c:v>-2.0641922244853255E-4</c:v>
                </c:pt>
                <c:pt idx="253">
                  <c:v>-2.0414638975856699E-4</c:v>
                </c:pt>
                <c:pt idx="254">
                  <c:v>-2.0191011031518485E-4</c:v>
                </c:pt>
                <c:pt idx="255">
                  <c:v>-1.9971145225956605E-4</c:v>
                </c:pt>
                <c:pt idx="256">
                  <c:v>-1.9755148373816098E-4</c:v>
                </c:pt>
                <c:pt idx="257">
                  <c:v>-1.9131439684724597E-4</c:v>
                </c:pt>
                <c:pt idx="258">
                  <c:v>-1.8931986793598415E-4</c:v>
                </c:pt>
                <c:pt idx="259">
                  <c:v>-1.8736936930041149E-4</c:v>
                </c:pt>
                <c:pt idx="260">
                  <c:v>-1.8546396909224894E-4</c:v>
                </c:pt>
                <c:pt idx="261">
                  <c:v>-1.8360455744737358E-4</c:v>
                </c:pt>
                <c:pt idx="262">
                  <c:v>-1.7830332261955555E-4</c:v>
                </c:pt>
                <c:pt idx="263">
                  <c:v>-1.7662857791883409E-4</c:v>
                </c:pt>
                <c:pt idx="264">
                  <c:v>-1.7500000010732528E-4</c:v>
                </c:pt>
                <c:pt idx="265">
                  <c:v>-1.7341737079532718E-4</c:v>
                </c:pt>
                <c:pt idx="266">
                  <c:v>-1.7187959782307059E-4</c:v>
                </c:pt>
                <c:pt idx="267">
                  <c:v>-1.671733765887372E-4</c:v>
                </c:pt>
                <c:pt idx="268">
                  <c:v>-1.6615085712718409E-4</c:v>
                </c:pt>
                <c:pt idx="269">
                  <c:v>-1.6481770667166039E-4</c:v>
                </c:pt>
                <c:pt idx="270">
                  <c:v>-1.6352154886024948E-4</c:v>
                </c:pt>
                <c:pt idx="271">
                  <c:v>-1.6226107306530099E-4</c:v>
                </c:pt>
                <c:pt idx="272">
                  <c:v>-7.7808326706457052E-5</c:v>
                </c:pt>
                <c:pt idx="273">
                  <c:v>-7.6684793999586673E-5</c:v>
                </c:pt>
                <c:pt idx="274">
                  <c:v>-7.5589279492215908E-5</c:v>
                </c:pt>
                <c:pt idx="275">
                  <c:v>-7.4520486763982404E-5</c:v>
                </c:pt>
                <c:pt idx="276">
                  <c:v>-7.469817026970801E-5</c:v>
                </c:pt>
                <c:pt idx="277">
                  <c:v>-7.0486605146114428E-5</c:v>
                </c:pt>
                <c:pt idx="278">
                  <c:v>-6.9531974926023465E-5</c:v>
                </c:pt>
                <c:pt idx="279">
                  <c:v>-6.8596287917714306E-5</c:v>
                </c:pt>
                <c:pt idx="280">
                  <c:v>-6.7678247689529285E-5</c:v>
                </c:pt>
                <c:pt idx="281">
                  <c:v>-6.797983431023843E-5</c:v>
                </c:pt>
                <c:pt idx="282">
                  <c:v>-6.4156625836268077E-5</c:v>
                </c:pt>
                <c:pt idx="283">
                  <c:v>-6.3307372947385914E-5</c:v>
                </c:pt>
                <c:pt idx="284">
                  <c:v>-6.2467988205672725E-5</c:v>
                </c:pt>
                <c:pt idx="285">
                  <c:v>-6.1637175170782129E-5</c:v>
                </c:pt>
                <c:pt idx="286">
                  <c:v>-6.1907228815612374E-5</c:v>
                </c:pt>
                <c:pt idx="287">
                  <c:v>-5.8373711187384799E-5</c:v>
                </c:pt>
                <c:pt idx="288">
                  <c:v>-5.7566309996696631E-5</c:v>
                </c:pt>
                <c:pt idx="289">
                  <c:v>-5.6759701830784742E-5</c:v>
                </c:pt>
                <c:pt idx="290">
                  <c:v>-5.595259024104849E-5</c:v>
                </c:pt>
                <c:pt idx="291">
                  <c:v>-5.6045135654083543E-5</c:v>
                </c:pt>
                <c:pt idx="292">
                  <c:v>-5.269318057279564E-5</c:v>
                </c:pt>
                <c:pt idx="293">
                  <c:v>-5.1864105057598387E-5</c:v>
                </c:pt>
                <c:pt idx="294">
                  <c:v>-5.1026747391783644E-5</c:v>
                </c:pt>
                <c:pt idx="295">
                  <c:v>-5.0179811115455436E-5</c:v>
                </c:pt>
                <c:pt idx="296">
                  <c:v>-4.9958333902096339E-5</c:v>
                </c:pt>
                <c:pt idx="297">
                  <c:v>-4.6670350705785537E-5</c:v>
                </c:pt>
                <c:pt idx="298">
                  <c:v>-4.5756074463679851E-5</c:v>
                </c:pt>
                <c:pt idx="299">
                  <c:v>-4.4824440835176411E-5</c:v>
                </c:pt>
                <c:pt idx="300">
                  <c:v>-4.3874153353862731E-5</c:v>
                </c:pt>
                <c:pt idx="301">
                  <c:v>-4.3211599828128509E-5</c:v>
                </c:pt>
                <c:pt idx="302">
                  <c:v>-3.9860535494492005E-5</c:v>
                </c:pt>
                <c:pt idx="303">
                  <c:v>-3.879753168038917E-5</c:v>
                </c:pt>
                <c:pt idx="304">
                  <c:v>-3.7708095174164271E-5</c:v>
                </c:pt>
                <c:pt idx="305">
                  <c:v>-3.6590929497240644E-5</c:v>
                </c:pt>
                <c:pt idx="306">
                  <c:v>-3.5369706394791585E-5</c:v>
                </c:pt>
                <c:pt idx="307">
                  <c:v>-3.1819045409802086E-5</c:v>
                </c:pt>
                <c:pt idx="308">
                  <c:v>-3.0543786606462362E-5</c:v>
                </c:pt>
                <c:pt idx="309">
                  <c:v>-2.9233019708831676E-5</c:v>
                </c:pt>
                <c:pt idx="310">
                  <c:v>-2.7885448220087092E-5</c:v>
                </c:pt>
                <c:pt idx="311">
                  <c:v>-2.599742225963016E-5</c:v>
                </c:pt>
                <c:pt idx="312">
                  <c:v>-2.2101186329754984E-5</c:v>
                </c:pt>
                <c:pt idx="313">
                  <c:v>-2.0867589721690401E-5</c:v>
                </c:pt>
                <c:pt idx="314">
                  <c:v>-1.9612363480359107E-5</c:v>
                </c:pt>
                <c:pt idx="315">
                  <c:v>-1.8037908085410947E-5</c:v>
                </c:pt>
                <c:pt idx="316">
                  <c:v>-1.6416852299805385E-5</c:v>
                </c:pt>
                <c:pt idx="317">
                  <c:v>-1.0783462161014755E-5</c:v>
                </c:pt>
                <c:pt idx="318">
                  <c:v>-9.4401185539716437E-6</c:v>
                </c:pt>
                <c:pt idx="319">
                  <c:v>-7.5661807579230356E-6</c:v>
                </c:pt>
                <c:pt idx="320">
                  <c:v>-5.6376905197552674E-6</c:v>
                </c:pt>
                <c:pt idx="321">
                  <c:v>-3.6533224787582697E-6</c:v>
                </c:pt>
                <c:pt idx="322">
                  <c:v>3.3733678250769117E-6</c:v>
                </c:pt>
                <c:pt idx="323">
                  <c:v>4.869435023202584E-6</c:v>
                </c:pt>
                <c:pt idx="324">
                  <c:v>7.1530726133417488E-6</c:v>
                </c:pt>
                <c:pt idx="325">
                  <c:v>9.5005402593884014E-6</c:v>
                </c:pt>
                <c:pt idx="326">
                  <c:v>1.1913163361576551E-5</c:v>
                </c:pt>
                <c:pt idx="327">
                  <c:v>2.0534409520459681E-5</c:v>
                </c:pt>
                <c:pt idx="328">
                  <c:v>2.2241718454552029E-5</c:v>
                </c:pt>
                <c:pt idx="329">
                  <c:v>2.4999999999941735E-5</c:v>
                </c:pt>
                <c:pt idx="330">
                  <c:v>2.7830975206200037E-5</c:v>
                </c:pt>
                <c:pt idx="331">
                  <c:v>3.0733897968815427E-5</c:v>
                </c:pt>
                <c:pt idx="332">
                  <c:v>4.3041856251591071E-5</c:v>
                </c:pt>
                <c:pt idx="333">
                  <c:v>4.6287110550657928E-5</c:v>
                </c:pt>
                <c:pt idx="334">
                  <c:v>4.9597349909724642E-5</c:v>
                </c:pt>
                <c:pt idx="335">
                  <c:v>5.43023884205826E-5</c:v>
                </c:pt>
                <c:pt idx="336">
                  <c:v>-1.6626007207459953E-5</c:v>
                </c:pt>
                <c:pt idx="337">
                  <c:v>-1.5318673940445393E-5</c:v>
                </c:pt>
                <c:pt idx="338">
                  <c:v>-1.1642968739788984E-5</c:v>
                </c:pt>
                <c:pt idx="339">
                  <c:v>-7.9104025960674562E-6</c:v>
                </c:pt>
                <c:pt idx="340">
                  <c:v>-4.1221359090570786E-6</c:v>
                </c:pt>
                <c:pt idx="341">
                  <c:v>1.0013850446876948E-5</c:v>
                </c:pt>
                <c:pt idx="342">
                  <c:v>1.1564728128909962E-5</c:v>
                </c:pt>
                <c:pt idx="343">
                  <c:v>1.5614091408266972E-5</c:v>
                </c:pt>
                <c:pt idx="344">
                  <c:v>1.9712192764309577E-5</c:v>
                </c:pt>
                <c:pt idx="345">
                  <c:v>2.3857871779497941E-5</c:v>
                </c:pt>
                <c:pt idx="346">
                  <c:v>4.165535682995965E-5</c:v>
                </c:pt>
                <c:pt idx="347">
                  <c:v>4.3445659405006497E-5</c:v>
                </c:pt>
                <c:pt idx="348">
                  <c:v>4.5259316781454118E-5</c:v>
                </c:pt>
                <c:pt idx="349">
                  <c:v>4.9666092733602341E-5</c:v>
                </c:pt>
                <c:pt idx="350">
                  <c:v>5.4112323309318811E-5</c:v>
                </c:pt>
                <c:pt idx="351">
                  <c:v>7.0272480466736649E-5</c:v>
                </c:pt>
                <c:pt idx="352">
                  <c:v>7.2268582800738557E-5</c:v>
                </c:pt>
                <c:pt idx="353">
                  <c:v>7.6894679676975386E-5</c:v>
                </c:pt>
                <c:pt idx="354">
                  <c:v>8.1553268419298774E-5</c:v>
                </c:pt>
                <c:pt idx="355">
                  <c:v>8.6243188556878181E-5</c:v>
                </c:pt>
                <c:pt idx="356">
                  <c:v>9.5246894980174161E-5</c:v>
                </c:pt>
                <c:pt idx="357">
                  <c:v>9.7421097223349896E-5</c:v>
                </c:pt>
                <c:pt idx="358">
                  <c:v>1.1012214319716662E-4</c:v>
                </c:pt>
                <c:pt idx="359">
                  <c:v>1.1235757742088377E-4</c:v>
                </c:pt>
                <c:pt idx="360">
                  <c:v>1.17235893023145E-4</c:v>
                </c:pt>
                <c:pt idx="361">
                  <c:v>1.3721194136763557E-4</c:v>
                </c:pt>
                <c:pt idx="362">
                  <c:v>1.3956828143246724E-4</c:v>
                </c:pt>
                <c:pt idx="363">
                  <c:v>1.4194370774587518E-4</c:v>
                </c:pt>
                <c:pt idx="364">
                  <c:v>1.4694030305506409E-4</c:v>
                </c:pt>
                <c:pt idx="365">
                  <c:v>1.5195250413081962E-4</c:v>
                </c:pt>
                <c:pt idx="366">
                  <c:v>1.7220279833030704E-4</c:v>
                </c:pt>
                <c:pt idx="367">
                  <c:v>1.746964485755953E-4</c:v>
                </c:pt>
                <c:pt idx="368">
                  <c:v>1.7720652017771954E-4</c:v>
                </c:pt>
                <c:pt idx="369">
                  <c:v>1.8228771026483265E-4</c:v>
                </c:pt>
                <c:pt idx="370">
                  <c:v>1.8737629086531561E-4</c:v>
                </c:pt>
                <c:pt idx="371">
                  <c:v>2.0768281605410609E-4</c:v>
                </c:pt>
                <c:pt idx="372">
                  <c:v>2.1027940319662264E-4</c:v>
                </c:pt>
                <c:pt idx="373">
                  <c:v>2.1288897429276414E-4</c:v>
                </c:pt>
                <c:pt idx="374">
                  <c:v>2.1799725152049767E-4</c:v>
                </c:pt>
                <c:pt idx="375">
                  <c:v>2.2310470372009547E-4</c:v>
                </c:pt>
                <c:pt idx="376">
                  <c:v>2.4325828476567824E-4</c:v>
                </c:pt>
                <c:pt idx="377">
                  <c:v>2.5072158193149781E-4</c:v>
                </c:pt>
                <c:pt idx="378">
                  <c:v>2.55768346390879E-4</c:v>
                </c:pt>
                <c:pt idx="379">
                  <c:v>2.6080647833816371E-4</c:v>
                </c:pt>
                <c:pt idx="380">
                  <c:v>2.7051704931432531E-4</c:v>
                </c:pt>
                <c:pt idx="381">
                  <c:v>2.808499720507524E-4</c:v>
                </c:pt>
                <c:pt idx="382">
                  <c:v>2.8582790966851624E-4</c:v>
                </c:pt>
                <c:pt idx="383">
                  <c:v>2.9079040202555751E-4</c:v>
                </c:pt>
                <c:pt idx="384">
                  <c:v>2.9573631364407745E-4</c:v>
                </c:pt>
                <c:pt idx="385">
                  <c:v>3.0514550262339635E-4</c:v>
                </c:pt>
                <c:pt idx="386">
                  <c:v>3.1533144297539152E-4</c:v>
                </c:pt>
                <c:pt idx="387">
                  <c:v>3.2017741853882799E-4</c:v>
                </c:pt>
                <c:pt idx="388">
                  <c:v>3.2500000038052215E-4</c:v>
                </c:pt>
                <c:pt idx="389">
                  <c:v>3.2979813494149468E-4</c:v>
                </c:pt>
                <c:pt idx="390">
                  <c:v>3.3884233378027876E-4</c:v>
                </c:pt>
                <c:pt idx="391">
                  <c:v>3.487325052418401E-4</c:v>
                </c:pt>
                <c:pt idx="392">
                  <c:v>3.5339833691069253E-4</c:v>
                </c:pt>
                <c:pt idx="393">
                  <c:v>3.580359658811075E-4</c:v>
                </c:pt>
                <c:pt idx="394">
                  <c:v>3.62645694561618E-4</c:v>
                </c:pt>
                <c:pt idx="395">
                  <c:v>3.7132271238485574E-4</c:v>
                </c:pt>
                <c:pt idx="396">
                  <c:v>3.8081543938511581E-4</c:v>
                </c:pt>
                <c:pt idx="397">
                  <c:v>3.8529304140036538E-4</c:v>
                </c:pt>
                <c:pt idx="398">
                  <c:v>3.8974569306078925E-4</c:v>
                </c:pt>
                <c:pt idx="399">
                  <c:v>3.9417388603483258E-4</c:v>
                </c:pt>
                <c:pt idx="400">
                  <c:v>3.9659222279143393E-4</c:v>
                </c:pt>
                <c:pt idx="401">
                  <c:v>4.0969015002918302E-4</c:v>
                </c:pt>
                <c:pt idx="402">
                  <c:v>4.1401067339682802E-4</c:v>
                </c:pt>
                <c:pt idx="403">
                  <c:v>4.1830929904918359E-4</c:v>
                </c:pt>
                <c:pt idx="404">
                  <c:v>4.2258652406994263E-4</c:v>
                </c:pt>
                <c:pt idx="405">
                  <c:v>4.2684284554982545E-4</c:v>
                </c:pt>
                <c:pt idx="406">
                  <c:v>4.3949135966986537E-4</c:v>
                </c:pt>
                <c:pt idx="407">
                  <c:v>4.436690379241901E-4</c:v>
                </c:pt>
                <c:pt idx="408">
                  <c:v>4.4782829811934908E-4</c:v>
                </c:pt>
                <c:pt idx="409">
                  <c:v>4.5196963735923883E-4</c:v>
                </c:pt>
                <c:pt idx="410">
                  <c:v>4.7242491801096639E-4</c:v>
                </c:pt>
                <c:pt idx="411">
                  <c:v>4.7646917082141087E-4</c:v>
                </c:pt>
                <c:pt idx="412">
                  <c:v>4.8049898246535098E-4</c:v>
                </c:pt>
                <c:pt idx="413">
                  <c:v>4.8451485006600843E-4</c:v>
                </c:pt>
                <c:pt idx="414">
                  <c:v>4.9648375984401554E-4</c:v>
                </c:pt>
                <c:pt idx="415">
                  <c:v>5.0044882252396302E-4</c:v>
                </c:pt>
                <c:pt idx="416">
                  <c:v>5.0440242680045363E-4</c:v>
                </c:pt>
                <c:pt idx="417">
                  <c:v>5.0834506980549331E-4</c:v>
                </c:pt>
                <c:pt idx="418">
                  <c:v>5.1793930405573841E-4</c:v>
                </c:pt>
                <c:pt idx="419">
                  <c:v>5.2980103174125827E-4</c:v>
                </c:pt>
                <c:pt idx="420">
                  <c:v>5.3369018819379602E-4</c:v>
                </c:pt>
                <c:pt idx="421">
                  <c:v>5.3757209578221619E-4</c:v>
                </c:pt>
                <c:pt idx="422">
                  <c:v>5.452491598725201E-4</c:v>
                </c:pt>
                <c:pt idx="423">
                  <c:v>5.5303707246147425E-4</c:v>
                </c:pt>
                <c:pt idx="424">
                  <c:v>5.5689011197674503E-4</c:v>
                </c:pt>
                <c:pt idx="425">
                  <c:v>5.6073885314685782E-4</c:v>
                </c:pt>
                <c:pt idx="426">
                  <c:v>5.6458378772540683E-4</c:v>
                </c:pt>
                <c:pt idx="427">
                  <c:v>5.722730370170693E-4</c:v>
                </c:pt>
                <c:pt idx="428">
                  <c:v>5.7993529542697277E-4</c:v>
                </c:pt>
                <c:pt idx="429">
                  <c:v>5.8376857352886841E-4</c:v>
                </c:pt>
                <c:pt idx="430">
                  <c:v>5.8760099564417797E-4</c:v>
                </c:pt>
                <c:pt idx="431">
                  <c:v>5.9143305354387337E-4</c:v>
                </c:pt>
                <c:pt idx="432">
                  <c:v>5.9917602051928753E-4</c:v>
                </c:pt>
                <c:pt idx="433">
                  <c:v>6.0676747852063948E-4</c:v>
                </c:pt>
                <c:pt idx="434">
                  <c:v>6.1060509201110486E-4</c:v>
                </c:pt>
                <c:pt idx="435">
                  <c:v>6.1444529196739441E-4</c:v>
                </c:pt>
                <c:pt idx="436">
                  <c:v>6.1828857017611958E-4</c:v>
                </c:pt>
                <c:pt idx="437">
                  <c:v>6.2612320008703648E-4</c:v>
                </c:pt>
                <c:pt idx="438">
                  <c:v>6.3370230133711399E-4</c:v>
                </c:pt>
                <c:pt idx="439">
                  <c:v>6.3756834767930465E-4</c:v>
                </c:pt>
                <c:pt idx="440">
                  <c:v>6.4144042303530531E-4</c:v>
                </c:pt>
                <c:pt idx="441">
                  <c:v>6.4531901920562916E-4</c:v>
                </c:pt>
                <c:pt idx="442">
                  <c:v>6.5327967006787065E-4</c:v>
                </c:pt>
                <c:pt idx="443">
                  <c:v>6.6090844812036079E-4</c:v>
                </c:pt>
                <c:pt idx="444">
                  <c:v>6.6482702544385546E-4</c:v>
                </c:pt>
                <c:pt idx="445">
                  <c:v>6.6875507442732828E-4</c:v>
                </c:pt>
                <c:pt idx="446">
                  <c:v>6.7269308688780091E-4</c:v>
                </c:pt>
                <c:pt idx="447">
                  <c:v>6.808105295204698E-4</c:v>
                </c:pt>
                <c:pt idx="448">
                  <c:v>6.8855460784099799E-4</c:v>
                </c:pt>
                <c:pt idx="449">
                  <c:v>6.9254981496612723E-4</c:v>
                </c:pt>
                <c:pt idx="450">
                  <c:v>6.9655793649906058E-4</c:v>
                </c:pt>
                <c:pt idx="451">
                  <c:v>7.005794642663773E-4</c:v>
                </c:pt>
                <c:pt idx="452">
                  <c:v>7.0888080211360639E-4</c:v>
                </c:pt>
                <c:pt idx="453">
                  <c:v>7.1680422857844451E-4</c:v>
                </c:pt>
                <c:pt idx="454">
                  <c:v>7.208951651470764E-4</c:v>
                </c:pt>
                <c:pt idx="455">
                  <c:v>7.2499999999910201E-4</c:v>
                </c:pt>
                <c:pt idx="456">
                  <c:v>7.2911872470561166E-4</c:v>
                </c:pt>
                <c:pt idx="457">
                  <c:v>7.3761423293209781E-4</c:v>
                </c:pt>
                <c:pt idx="458">
                  <c:v>7.457315908283677E-4</c:v>
                </c:pt>
                <c:pt idx="459">
                  <c:v>7.4991904519162576E-4</c:v>
                </c:pt>
                <c:pt idx="460">
                  <c:v>7.5412009308987711E-4</c:v>
                </c:pt>
                <c:pt idx="461">
                  <c:v>7.5833468372636366E-4</c:v>
                </c:pt>
                <c:pt idx="462">
                  <c:v>7.6034111374759391E-4</c:v>
                </c:pt>
                <c:pt idx="463">
                  <c:v>7.7532745765780979E-4</c:v>
                </c:pt>
                <c:pt idx="464">
                  <c:v>7.7960899999326386E-4</c:v>
                </c:pt>
                <c:pt idx="465">
                  <c:v>7.8390378027076474E-4</c:v>
                </c:pt>
                <c:pt idx="466">
                  <c:v>7.8821174769094793E-4</c:v>
                </c:pt>
                <c:pt idx="467">
                  <c:v>7.9707743053455428E-4</c:v>
                </c:pt>
                <c:pt idx="468">
                  <c:v>8.0557447280947005E-4</c:v>
                </c:pt>
                <c:pt idx="469">
                  <c:v>8.0994761394998676E-4</c:v>
                </c:pt>
                <c:pt idx="470">
                  <c:v>8.1433363743525962E-4</c:v>
                </c:pt>
                <c:pt idx="471">
                  <c:v>8.1873249246592391E-4</c:v>
                </c:pt>
                <c:pt idx="472">
                  <c:v>8.2777331554368663E-4</c:v>
                </c:pt>
                <c:pt idx="473">
                  <c:v>8.3645521202479079E-4</c:v>
                </c:pt>
                <c:pt idx="474">
                  <c:v>8.4091746277195753E-4</c:v>
                </c:pt>
                <c:pt idx="475">
                  <c:v>8.4539224026137648E-4</c:v>
                </c:pt>
                <c:pt idx="476">
                  <c:v>8.4987949369194507E-4</c:v>
                </c:pt>
                <c:pt idx="477">
                  <c:v>8.5908932054477112E-4</c:v>
                </c:pt>
                <c:pt idx="478">
                  <c:v>8.6795225080714357E-4</c:v>
                </c:pt>
                <c:pt idx="479">
                  <c:v>8.725011219269241E-4</c:v>
                </c:pt>
                <c:pt idx="480">
                  <c:v>8.7706216418210851E-4</c:v>
                </c:pt>
                <c:pt idx="481">
                  <c:v>8.8163532676811883E-4</c:v>
                </c:pt>
                <c:pt idx="482">
                  <c:v>8.9100839211870555E-4</c:v>
                </c:pt>
                <c:pt idx="483">
                  <c:v>9.0004816440010819E-4</c:v>
                </c:pt>
                <c:pt idx="484">
                  <c:v>9.0468116661936713E-4</c:v>
                </c:pt>
                <c:pt idx="485">
                  <c:v>9.0932598435675507E-4</c:v>
                </c:pt>
                <c:pt idx="486">
                  <c:v>9.1398256681203853E-4</c:v>
                </c:pt>
                <c:pt idx="487">
                  <c:v>9.2351347656576075E-4</c:v>
                </c:pt>
                <c:pt idx="488">
                  <c:v>9.3272552775011078E-4</c:v>
                </c:pt>
                <c:pt idx="489">
                  <c:v>9.3744017174879357E-4</c:v>
                </c:pt>
                <c:pt idx="490">
                  <c:v>9.4216627564572405E-4</c:v>
                </c:pt>
                <c:pt idx="491">
                  <c:v>9.4690378863806211E-4</c:v>
                </c:pt>
                <c:pt idx="492">
                  <c:v>9.5658751988602232E-4</c:v>
                </c:pt>
                <c:pt idx="493">
                  <c:v>9.6596691548904619E-4</c:v>
                </c:pt>
                <c:pt idx="494">
                  <c:v>9.7076071190104829E-4</c:v>
                </c:pt>
                <c:pt idx="495">
                  <c:v>9.7556561258446586E-4</c:v>
                </c:pt>
                <c:pt idx="496">
                  <c:v>9.8038156673472079E-4</c:v>
                </c:pt>
                <c:pt idx="497">
                  <c:v>9.9021346774367451E-4</c:v>
                </c:pt>
                <c:pt idx="498">
                  <c:v>9.9975490190473693E-4</c:v>
                </c:pt>
                <c:pt idx="499">
                  <c:v>1.0046253613135595E-3</c:v>
                </c:pt>
                <c:pt idx="500">
                  <c:v>1.0095065693582761E-3</c:v>
                </c:pt>
                <c:pt idx="501">
                  <c:v>1.0143984752325717E-3</c:v>
                </c:pt>
                <c:pt idx="502">
                  <c:v>1.0243742654525434E-3</c:v>
                </c:pt>
                <c:pt idx="503">
                  <c:v>1.0340720609139981E-3</c:v>
                </c:pt>
                <c:pt idx="504">
                  <c:v>1.0390166938492717E-3</c:v>
                </c:pt>
                <c:pt idx="505">
                  <c:v>1.0439717197753611E-3</c:v>
                </c:pt>
                <c:pt idx="506">
                  <c:v>1.0463764339471442E-3</c:v>
                </c:pt>
                <c:pt idx="507">
                  <c:v>1.0513473496235901E-3</c:v>
                </c:pt>
                <c:pt idx="508">
                  <c:v>1.0663214009596137E-3</c:v>
                </c:pt>
                <c:pt idx="509">
                  <c:v>1.0713330149511072E-3</c:v>
                </c:pt>
                <c:pt idx="510">
                  <c:v>1.0763546751051841E-3</c:v>
                </c:pt>
                <c:pt idx="511">
                  <c:v>1.0813863300545819E-3</c:v>
                </c:pt>
                <c:pt idx="512">
                  <c:v>1.0864279284311601E-3</c:v>
                </c:pt>
                <c:pt idx="513">
                  <c:v>1.1016118704513574E-3</c:v>
                </c:pt>
                <c:pt idx="514">
                  <c:v>1.1066927288605234E-3</c:v>
                </c:pt>
                <c:pt idx="515">
                  <c:v>1.1117832738596809E-3</c:v>
                </c:pt>
                <c:pt idx="516">
                  <c:v>1.1168834540762976E-3</c:v>
                </c:pt>
                <c:pt idx="517">
                  <c:v>1.121993218144868E-3</c:v>
                </c:pt>
                <c:pt idx="518">
                  <c:v>1.158025608013175E-3</c:v>
                </c:pt>
                <c:pt idx="519">
                  <c:v>1.1945118392547556E-3</c:v>
                </c:pt>
                <c:pt idx="520">
                  <c:v>1.2396437792978326E-3</c:v>
                </c:pt>
                <c:pt idx="521">
                  <c:v>1.2771312869865313E-3</c:v>
                </c:pt>
                <c:pt idx="522">
                  <c:v>1.3150708428409385E-3</c:v>
                </c:pt>
                <c:pt idx="523">
                  <c:v>1.3534624602792569E-3</c:v>
                </c:pt>
                <c:pt idx="524">
                  <c:v>1.3923061528863646E-3</c:v>
                </c:pt>
                <c:pt idx="525">
                  <c:v>1.431601934406161E-3</c:v>
                </c:pt>
                <c:pt idx="526">
                  <c:v>1.4713498187390163E-3</c:v>
                </c:pt>
                <c:pt idx="527">
                  <c:v>1.5115498199494248E-3</c:v>
                </c:pt>
                <c:pt idx="528">
                  <c:v>1.5402450409576218E-3</c:v>
                </c:pt>
                <c:pt idx="529">
                  <c:v>1.5812194194042561E-3</c:v>
                </c:pt>
                <c:pt idx="530">
                  <c:v>1.6226459268766646E-3</c:v>
                </c:pt>
                <c:pt idx="531">
                  <c:v>1.6645245774080664E-3</c:v>
                </c:pt>
                <c:pt idx="532">
                  <c:v>1.7068553851835588E-3</c:v>
                </c:pt>
                <c:pt idx="533">
                  <c:v>1.749638364544559E-3</c:v>
                </c:pt>
                <c:pt idx="534">
                  <c:v>1.7928735299843623E-3</c:v>
                </c:pt>
                <c:pt idx="535">
                  <c:v>1.8365608961481428E-3</c:v>
                </c:pt>
                <c:pt idx="536">
                  <c:v>1.8807004778373937E-3</c:v>
                </c:pt>
                <c:pt idx="537">
                  <c:v>1.9220182725906757E-3</c:v>
                </c:pt>
                <c:pt idx="538">
                  <c:v>1.9670297827358752E-3</c:v>
                </c:pt>
                <c:pt idx="539">
                  <c:v>2.0124935444700617E-3</c:v>
                </c:pt>
                <c:pt idx="540">
                  <c:v>2.0584095730233E-3</c:v>
                </c:pt>
                <c:pt idx="541">
                  <c:v>2.1218303652611719E-3</c:v>
                </c:pt>
                <c:pt idx="542">
                  <c:v>2.1688139160447079E-3</c:v>
                </c:pt>
                <c:pt idx="543">
                  <c:v>2.2162498304862657E-3</c:v>
                </c:pt>
                <c:pt idx="544">
                  <c:v>2.2641381253724175E-3</c:v>
                </c:pt>
                <c:pt idx="545">
                  <c:v>2.329617159875938E-3</c:v>
                </c:pt>
                <c:pt idx="546">
                  <c:v>2.3505419317076644E-3</c:v>
                </c:pt>
                <c:pt idx="547">
                  <c:v>2.3996895438986453E-3</c:v>
                </c:pt>
                <c:pt idx="548">
                  <c:v>2.4492895721555546E-3</c:v>
                </c:pt>
                <c:pt idx="549">
                  <c:v>2.4993420334696371E-3</c:v>
                </c:pt>
                <c:pt idx="550">
                  <c:v>2.5609688441539432E-3</c:v>
                </c:pt>
                <c:pt idx="551">
                  <c:v>2.6120242855868199E-3</c:v>
                </c:pt>
                <c:pt idx="552">
                  <c:v>2.6635322475122639E-3</c:v>
                </c:pt>
                <c:pt idx="553">
                  <c:v>2.7154927481590975E-3</c:v>
                </c:pt>
                <c:pt idx="554">
                  <c:v>2.7679058059143146E-3</c:v>
                </c:pt>
                <c:pt idx="555">
                  <c:v>2.820771439325632E-3</c:v>
                </c:pt>
                <c:pt idx="556">
                  <c:v>2.8740854681054443E-3</c:v>
                </c:pt>
                <c:pt idx="557">
                  <c:v>2.9278177982881345E-3</c:v>
                </c:pt>
                <c:pt idx="558">
                  <c:v>2.9700778968622357E-3</c:v>
                </c:pt>
                <c:pt idx="559">
                  <c:v>3.0363774564548824E-3</c:v>
                </c:pt>
                <c:pt idx="560">
                  <c:v>3.0911247966940022E-3</c:v>
                </c:pt>
                <c:pt idx="561">
                  <c:v>3.1461304822136093E-3</c:v>
                </c:pt>
                <c:pt idx="562">
                  <c:v>3.2013545136039619E-3</c:v>
                </c:pt>
                <c:pt idx="563">
                  <c:v>3.2567568891949989E-3</c:v>
                </c:pt>
                <c:pt idx="564">
                  <c:v>3.3122976050265754E-3</c:v>
                </c:pt>
                <c:pt idx="565">
                  <c:v>3.367936654844212E-3</c:v>
                </c:pt>
                <c:pt idx="566">
                  <c:v>3.4236340300752843E-3</c:v>
                </c:pt>
                <c:pt idx="567">
                  <c:v>3.4673900801556507E-3</c:v>
                </c:pt>
                <c:pt idx="568">
                  <c:v>3.5230997613895049E-3</c:v>
                </c:pt>
                <c:pt idx="569">
                  <c:v>3.5787490011289121E-3</c:v>
                </c:pt>
                <c:pt idx="570">
                  <c:v>3.6343149210812057E-3</c:v>
                </c:pt>
                <c:pt idx="571">
                  <c:v>3.7016908532085139E-3</c:v>
                </c:pt>
                <c:pt idx="572">
                  <c:v>3.7570711401784061E-3</c:v>
                </c:pt>
                <c:pt idx="573">
                  <c:v>3.8123668333678068E-3</c:v>
                </c:pt>
                <c:pt idx="574">
                  <c:v>3.8675779290903035E-3</c:v>
                </c:pt>
                <c:pt idx="575">
                  <c:v>3.9227044236705387E-3</c:v>
                </c:pt>
                <c:pt idx="576">
                  <c:v>3.9777463134340035E-3</c:v>
                </c:pt>
                <c:pt idx="577">
                  <c:v>4.0327035947146962E-3</c:v>
                </c:pt>
                <c:pt idx="578">
                  <c:v>4.0875762638525638E-3</c:v>
                </c:pt>
                <c:pt idx="579">
                  <c:v>4.1423643171909592E-3</c:v>
                </c:pt>
                <c:pt idx="580">
                  <c:v>4.1814031805476048E-3</c:v>
                </c:pt>
                <c:pt idx="581">
                  <c:v>4.2360436166033466E-3</c:v>
                </c:pt>
                <c:pt idx="582">
                  <c:v>4.2905993978568091E-3</c:v>
                </c:pt>
                <c:pt idx="583">
                  <c:v>4.3450705208307738E-3</c:v>
                </c:pt>
                <c:pt idx="584">
                  <c:v>4.4149521487997631E-3</c:v>
                </c:pt>
                <c:pt idx="585">
                  <c:v>4.4808926567812069E-3</c:v>
                </c:pt>
                <c:pt idx="586">
                  <c:v>4.5350681262648906E-3</c:v>
                </c:pt>
                <c:pt idx="587">
                  <c:v>4.5930353156635167E-3</c:v>
                </c:pt>
                <c:pt idx="588">
                  <c:v>4.64316506130843E-3</c:v>
                </c:pt>
                <c:pt idx="589">
                  <c:v>4.6970865198936451E-3</c:v>
                </c:pt>
                <c:pt idx="590">
                  <c:v>4.750923301217614E-3</c:v>
                </c:pt>
                <c:pt idx="591">
                  <c:v>4.8046754018044339E-3</c:v>
                </c:pt>
                <c:pt idx="592">
                  <c:v>4.8583428181878689E-3</c:v>
                </c:pt>
                <c:pt idx="593">
                  <c:v>4.9157699003907094E-3</c:v>
                </c:pt>
                <c:pt idx="594">
                  <c:v>4.9692626222532016E-3</c:v>
                </c:pt>
                <c:pt idx="595">
                  <c:v>5.0226706560547833E-3</c:v>
                </c:pt>
                <c:pt idx="596">
                  <c:v>5.0759939983104135E-3</c:v>
                </c:pt>
                <c:pt idx="597">
                  <c:v>5.1254095160732259E-3</c:v>
                </c:pt>
                <c:pt idx="598">
                  <c:v>5.1785687547229202E-3</c:v>
                </c:pt>
                <c:pt idx="599">
                  <c:v>5.2316432850496222E-3</c:v>
                </c:pt>
                <c:pt idx="600">
                  <c:v>5.2997574920153412E-3</c:v>
                </c:pt>
                <c:pt idx="601">
                  <c:v>5.3375382070412619E-3</c:v>
                </c:pt>
                <c:pt idx="602">
                  <c:v>5.3941553350416562E-3</c:v>
                </c:pt>
                <c:pt idx="603">
                  <c:v>5.4468857394167529E-3</c:v>
                </c:pt>
                <c:pt idx="604">
                  <c:v>5.4995314245793354E-3</c:v>
                </c:pt>
                <c:pt idx="605">
                  <c:v>5.552092387096497E-3</c:v>
                </c:pt>
                <c:pt idx="606">
                  <c:v>5.6045686235388064E-3</c:v>
                </c:pt>
                <c:pt idx="607">
                  <c:v>5.6569601304846534E-3</c:v>
                </c:pt>
                <c:pt idx="608">
                  <c:v>5.7092711575460042E-3</c:v>
                </c:pt>
                <c:pt idx="609">
                  <c:v>5.7615322016252545E-3</c:v>
                </c:pt>
                <c:pt idx="610">
                  <c:v>5.8137837640177652E-3</c:v>
                </c:pt>
                <c:pt idx="611">
                  <c:v>5.8660663678692434E-3</c:v>
                </c:pt>
                <c:pt idx="612">
                  <c:v>5.9184205384906234E-3</c:v>
                </c:pt>
                <c:pt idx="613">
                  <c:v>5.9708868033598005E-3</c:v>
                </c:pt>
                <c:pt idx="614">
                  <c:v>6.0235056921329275E-3</c:v>
                </c:pt>
                <c:pt idx="615">
                  <c:v>6.0763177366557107E-3</c:v>
                </c:pt>
                <c:pt idx="616">
                  <c:v>6.1293634709868672E-3</c:v>
                </c:pt>
                <c:pt idx="617">
                  <c:v>6.182683431413768E-3</c:v>
                </c:pt>
                <c:pt idx="618">
                  <c:v>6.236318156482846E-3</c:v>
                </c:pt>
                <c:pt idx="619">
                  <c:v>6.2863170313012477E-3</c:v>
                </c:pt>
                <c:pt idx="620">
                  <c:v>6.3406701156721252E-3</c:v>
                </c:pt>
                <c:pt idx="621">
                  <c:v>6.3954569609998256E-3</c:v>
                </c:pt>
                <c:pt idx="622">
                  <c:v>6.4506916216183095E-3</c:v>
                </c:pt>
                <c:pt idx="623">
                  <c:v>6.5104971817994571E-3</c:v>
                </c:pt>
                <c:pt idx="624">
                  <c:v>6.5666608696425127E-3</c:v>
                </c:pt>
                <c:pt idx="625">
                  <c:v>6.6232726069995803E-3</c:v>
                </c:pt>
                <c:pt idx="626">
                  <c:v>6.6803324132612366E-3</c:v>
                </c:pt>
                <c:pt idx="627">
                  <c:v>6.7378403079701088E-3</c:v>
                </c:pt>
                <c:pt idx="628">
                  <c:v>6.7957963108260912E-3</c:v>
                </c:pt>
                <c:pt idx="629">
                  <c:v>6.8542004416793931E-3</c:v>
                </c:pt>
                <c:pt idx="630">
                  <c:v>6.9130527205357494E-3</c:v>
                </c:pt>
                <c:pt idx="631">
                  <c:v>6.9723531675538178E-3</c:v>
                </c:pt>
                <c:pt idx="632">
                  <c:v>7.0276810208699412E-3</c:v>
                </c:pt>
                <c:pt idx="633">
                  <c:v>7.0878446701658554E-3</c:v>
                </c:pt>
                <c:pt idx="634">
                  <c:v>7.1484565286071729E-3</c:v>
                </c:pt>
                <c:pt idx="635">
                  <c:v>7.2095166167313101E-3</c:v>
                </c:pt>
                <c:pt idx="636">
                  <c:v>7.2798484538082239E-3</c:v>
                </c:pt>
                <c:pt idx="637">
                  <c:v>7.3418691039710627E-3</c:v>
                </c:pt>
                <c:pt idx="638">
                  <c:v>7.4043380493502347E-3</c:v>
                </c:pt>
                <c:pt idx="639">
                  <c:v>7.4672553111129842E-3</c:v>
                </c:pt>
                <c:pt idx="640">
                  <c:v>7.5306209105793992E-3</c:v>
                </c:pt>
                <c:pt idx="641">
                  <c:v>7.5897130529245516E-3</c:v>
                </c:pt>
                <c:pt idx="642">
                  <c:v>7.6539420047634366E-3</c:v>
                </c:pt>
                <c:pt idx="643">
                  <c:v>7.7186193365657019E-3</c:v>
                </c:pt>
                <c:pt idx="644">
                  <c:v>7.7837450700029009E-3</c:v>
                </c:pt>
                <c:pt idx="645">
                  <c:v>7.8590334919442072E-3</c:v>
                </c:pt>
                <c:pt idx="646">
                  <c:v>7.9251230567102607E-3</c:v>
                </c:pt>
                <c:pt idx="647">
                  <c:v>7.9916611363380873E-3</c:v>
                </c:pt>
                <c:pt idx="648">
                  <c:v>8.0586477536224946E-3</c:v>
                </c:pt>
                <c:pt idx="649">
                  <c:v>8.1210900952903061E-3</c:v>
                </c:pt>
                <c:pt idx="650">
                  <c:v>8.1889402777913164E-3</c:v>
                </c:pt>
                <c:pt idx="651">
                  <c:v>8.2768353712260687E-3</c:v>
                </c:pt>
                <c:pt idx="652">
                  <c:v>8.3457109186233659E-3</c:v>
                </c:pt>
                <c:pt idx="653">
                  <c:v>8.420172023497088E-3</c:v>
                </c:pt>
                <c:pt idx="654">
                  <c:v>8.4899785520512038E-3</c:v>
                </c:pt>
                <c:pt idx="655">
                  <c:v>8.5602337889931577E-3</c:v>
                </c:pt>
                <c:pt idx="656">
                  <c:v>8.6309377583932596E-3</c:v>
                </c:pt>
                <c:pt idx="657">
                  <c:v>8.7020904844782171E-3</c:v>
                </c:pt>
                <c:pt idx="658">
                  <c:v>8.7736919916259204E-3</c:v>
                </c:pt>
                <c:pt idx="659">
                  <c:v>8.8457423043715282E-3</c:v>
                </c:pt>
                <c:pt idx="660">
                  <c:v>8.9182304997351258E-3</c:v>
                </c:pt>
                <c:pt idx="661">
                  <c:v>8.9911018626007994E-3</c:v>
                </c:pt>
                <c:pt idx="662">
                  <c:v>9.0642907258316023E-3</c:v>
                </c:pt>
                <c:pt idx="663">
                  <c:v>9.1377314174779165E-3</c:v>
                </c:pt>
                <c:pt idx="664">
                  <c:v>9.21135826072619E-3</c:v>
                </c:pt>
                <c:pt idx="665">
                  <c:v>9.2851055738667875E-3</c:v>
                </c:pt>
                <c:pt idx="666">
                  <c:v>9.3589076702635752E-3</c:v>
                </c:pt>
                <c:pt idx="667">
                  <c:v>9.4326988583435054E-3</c:v>
                </c:pt>
                <c:pt idx="668">
                  <c:v>9.5064134415887864E-3</c:v>
                </c:pt>
                <c:pt idx="669">
                  <c:v>9.579985718548182E-3</c:v>
                </c:pt>
                <c:pt idx="670">
                  <c:v>9.6533499828517812E-3</c:v>
                </c:pt>
                <c:pt idx="671">
                  <c:v>9.7211607392152424E-3</c:v>
                </c:pt>
                <c:pt idx="672">
                  <c:v>9.7939393009040827E-3</c:v>
                </c:pt>
                <c:pt idx="673">
                  <c:v>9.8663197742622707E-3</c:v>
                </c:pt>
                <c:pt idx="674">
                  <c:v>9.938285709143067E-3</c:v>
                </c:pt>
                <c:pt idx="675">
                  <c:v>1.0030499453174264E-2</c:v>
                </c:pt>
                <c:pt idx="676">
                  <c:v>1.0086115553485014E-2</c:v>
                </c:pt>
                <c:pt idx="677">
                  <c:v>1.0156810006908414E-2</c:v>
                </c:pt>
                <c:pt idx="678">
                  <c:v>1.0227089800401074E-2</c:v>
                </c:pt>
                <c:pt idx="679">
                  <c:v>1.0296954911633897E-2</c:v>
                </c:pt>
                <c:pt idx="680">
                  <c:v>1.0366405318407254E-2</c:v>
                </c:pt>
                <c:pt idx="681">
                  <c:v>1.0435440998654446E-2</c:v>
                </c:pt>
                <c:pt idx="682">
                  <c:v>1.0504061930440844E-2</c:v>
                </c:pt>
                <c:pt idx="683">
                  <c:v>1.0572268091960416E-2</c:v>
                </c:pt>
                <c:pt idx="684">
                  <c:v>1.0630215509594976E-2</c:v>
                </c:pt>
                <c:pt idx="685">
                  <c:v>1.0697647338556493E-2</c:v>
                </c:pt>
                <c:pt idx="686">
                  <c:v>1.0764664335246366E-2</c:v>
                </c:pt>
                <c:pt idx="687">
                  <c:v>1.0831266478834145E-2</c:v>
                </c:pt>
                <c:pt idx="688">
                  <c:v>1.0897453748614616E-2</c:v>
                </c:pt>
                <c:pt idx="689">
                  <c:v>1.0963226124012238E-2</c:v>
                </c:pt>
                <c:pt idx="690">
                  <c:v>1.1028583584580254E-2</c:v>
                </c:pt>
                <c:pt idx="691">
                  <c:v>1.1093526110001584E-2</c:v>
                </c:pt>
                <c:pt idx="692">
                  <c:v>1.1158053680087932E-2</c:v>
                </c:pt>
                <c:pt idx="693">
                  <c:v>1.1217489280558336E-2</c:v>
                </c:pt>
                <c:pt idx="694">
                  <c:v>1.1281214535541331E-2</c:v>
                </c:pt>
                <c:pt idx="695">
                  <c:v>1.1344524778608256E-2</c:v>
                </c:pt>
                <c:pt idx="696">
                  <c:v>1.140741999029693E-2</c:v>
                </c:pt>
                <c:pt idx="697">
                  <c:v>1.1483591578274057E-2</c:v>
                </c:pt>
                <c:pt idx="698">
                  <c:v>1.154557365880737E-2</c:v>
                </c:pt>
                <c:pt idx="699">
                  <c:v>1.1607140638109035E-2</c:v>
                </c:pt>
                <c:pt idx="700">
                  <c:v>1.1668292496611225E-2</c:v>
                </c:pt>
                <c:pt idx="701">
                  <c:v>1.1724578656405761E-2</c:v>
                </c:pt>
                <c:pt idx="702">
                  <c:v>1.1784927903384833E-2</c:v>
                </c:pt>
                <c:pt idx="703">
                  <c:v>1.1844861976568779E-2</c:v>
                </c:pt>
                <c:pt idx="704">
                  <c:v>1.1904380857115532E-2</c:v>
                </c:pt>
                <c:pt idx="705">
                  <c:v>1.1963484526313906E-2</c:v>
                </c:pt>
                <c:pt idx="706">
                  <c:v>1.202648503174294E-2</c:v>
                </c:pt>
                <c:pt idx="707">
                  <c:v>1.208473050786428E-2</c:v>
                </c:pt>
                <c:pt idx="708">
                  <c:v>1.2142560711400607E-2</c:v>
                </c:pt>
                <c:pt idx="709">
                  <c:v>1.21999756239701E-2</c:v>
                </c:pt>
                <c:pt idx="710">
                  <c:v>1.2256975227323878E-2</c:v>
                </c:pt>
                <c:pt idx="711">
                  <c:v>1.2313559503346002E-2</c:v>
                </c:pt>
                <c:pt idx="712">
                  <c:v>1.2369729422401126E-2</c:v>
                </c:pt>
                <c:pt idx="713">
                  <c:v>1.2425502556473119E-2</c:v>
                </c:pt>
                <c:pt idx="714">
                  <c:v>1.2480910254187415E-2</c:v>
                </c:pt>
                <c:pt idx="715">
                  <c:v>1.253598428302918E-2</c:v>
                </c:pt>
                <c:pt idx="716">
                  <c:v>1.2590756412355993E-2</c:v>
                </c:pt>
                <c:pt idx="717">
                  <c:v>1.2645258413373519E-2</c:v>
                </c:pt>
                <c:pt idx="718">
                  <c:v>1.269952205911553E-2</c:v>
                </c:pt>
                <c:pt idx="719">
                  <c:v>1.2753579124417828E-2</c:v>
                </c:pt>
                <c:pt idx="720">
                  <c:v>1.2807461385905225E-2</c:v>
                </c:pt>
                <c:pt idx="721">
                  <c:v>1.2861200621972419E-2</c:v>
                </c:pt>
                <c:pt idx="722">
                  <c:v>1.2914828612772702E-2</c:v>
                </c:pt>
                <c:pt idx="723">
                  <c:v>1.2964323486189066E-2</c:v>
                </c:pt>
                <c:pt idx="724">
                  <c:v>1.3017822459384312E-2</c:v>
                </c:pt>
                <c:pt idx="725">
                  <c:v>1.3071304909706817E-2</c:v>
                </c:pt>
                <c:pt idx="726">
                  <c:v>1.3124788622077372E-2</c:v>
                </c:pt>
                <c:pt idx="727">
                  <c:v>1.3182336428172653E-2</c:v>
                </c:pt>
                <c:pt idx="728">
                  <c:v>1.3235826784402238E-2</c:v>
                </c:pt>
                <c:pt idx="729">
                  <c:v>1.3289319410245887E-2</c:v>
                </c:pt>
                <c:pt idx="730">
                  <c:v>1.3342814305775712E-2</c:v>
                </c:pt>
                <c:pt idx="731">
                  <c:v>1.3396311471067308E-2</c:v>
                </c:pt>
                <c:pt idx="732">
                  <c:v>1.3449810906191052E-2</c:v>
                </c:pt>
                <c:pt idx="733">
                  <c:v>1.3503312611219931E-2</c:v>
                </c:pt>
                <c:pt idx="734">
                  <c:v>1.3556816586228664E-2</c:v>
                </c:pt>
                <c:pt idx="735">
                  <c:v>1.3610322831288501E-2</c:v>
                </c:pt>
                <c:pt idx="736">
                  <c:v>1.3655669239789781E-2</c:v>
                </c:pt>
                <c:pt idx="737">
                  <c:v>1.3709175640427063E-2</c:v>
                </c:pt>
                <c:pt idx="738">
                  <c:v>1.3762684295300254E-2</c:v>
                </c:pt>
                <c:pt idx="739">
                  <c:v>1.381619520447952E-2</c:v>
                </c:pt>
                <c:pt idx="740">
                  <c:v>1.386970836803858E-2</c:v>
                </c:pt>
                <c:pt idx="741">
                  <c:v>1.3923223786046712E-2</c:v>
                </c:pt>
                <c:pt idx="742">
                  <c:v>1.3976741458574971E-2</c:v>
                </c:pt>
                <c:pt idx="743">
                  <c:v>1.4030261385694409E-2</c:v>
                </c:pt>
                <c:pt idx="744">
                  <c:v>1.4083783567476971E-2</c:v>
                </c:pt>
                <c:pt idx="745">
                  <c:v>1.4133207412386934E-2</c:v>
                </c:pt>
                <c:pt idx="746">
                  <c:v>1.4186731840991281E-2</c:v>
                </c:pt>
                <c:pt idx="747">
                  <c:v>1.4240258516448218E-2</c:v>
                </c:pt>
                <c:pt idx="748">
                  <c:v>1.4293787438827804E-2</c:v>
                </c:pt>
                <c:pt idx="749">
                  <c:v>1.4359648658407203E-2</c:v>
                </c:pt>
                <c:pt idx="750">
                  <c:v>1.4413188962997019E-2</c:v>
                </c:pt>
                <c:pt idx="751">
                  <c:v>1.44667315388057E-2</c:v>
                </c:pt>
                <c:pt idx="752">
                  <c:v>1.4520276385905364E-2</c:v>
                </c:pt>
                <c:pt idx="753">
                  <c:v>1.4569703924164602E-2</c:v>
                </c:pt>
                <c:pt idx="754">
                  <c:v>1.46232509846619E-2</c:v>
                </c:pt>
                <c:pt idx="755">
                  <c:v>1.4676800308636516E-2</c:v>
                </c:pt>
                <c:pt idx="756">
                  <c:v>1.4730351896162237E-2</c:v>
                </c:pt>
                <c:pt idx="757">
                  <c:v>1.4783905747310214E-2</c:v>
                </c:pt>
                <c:pt idx="758">
                  <c:v>1.4841593169729788E-2</c:v>
                </c:pt>
                <c:pt idx="759">
                  <c:v>1.4895153917918591E-2</c:v>
                </c:pt>
                <c:pt idx="760">
                  <c:v>1.4948716937982259E-2</c:v>
                </c:pt>
                <c:pt idx="761">
                  <c:v>1.5002282229997247E-2</c:v>
                </c:pt>
                <c:pt idx="762">
                  <c:v>1.5055849794032199E-2</c:v>
                </c:pt>
                <c:pt idx="763">
                  <c:v>1.5109419630163575E-2</c:v>
                </c:pt>
                <c:pt idx="764">
                  <c:v>1.5162991081372588E-2</c:v>
                </c:pt>
                <c:pt idx="765">
                  <c:v>1.5216552453378043E-2</c:v>
                </c:pt>
                <c:pt idx="766">
                  <c:v>1.5270082892807867E-2</c:v>
                </c:pt>
                <c:pt idx="767">
                  <c:v>1.5323561267930911E-2</c:v>
                </c:pt>
                <c:pt idx="768">
                  <c:v>1.5376966445868251E-2</c:v>
                </c:pt>
                <c:pt idx="769">
                  <c:v>1.5430277292591447E-2</c:v>
                </c:pt>
                <c:pt idx="770">
                  <c:v>1.5483472672938182E-2</c:v>
                </c:pt>
                <c:pt idx="771">
                  <c:v>1.5536531450603578E-2</c:v>
                </c:pt>
                <c:pt idx="772">
                  <c:v>1.5589432488157567E-2</c:v>
                </c:pt>
                <c:pt idx="773">
                  <c:v>1.5642154647048368E-2</c:v>
                </c:pt>
                <c:pt idx="774">
                  <c:v>1.5694676787611182E-2</c:v>
                </c:pt>
                <c:pt idx="775">
                  <c:v>1.5742947178617451E-2</c:v>
                </c:pt>
                <c:pt idx="776">
                  <c:v>1.5795023119731074E-2</c:v>
                </c:pt>
                <c:pt idx="777">
                  <c:v>1.5846836034790136E-2</c:v>
                </c:pt>
                <c:pt idx="778">
                  <c:v>1.5898374089118098E-2</c:v>
                </c:pt>
                <c:pt idx="779">
                  <c:v>1.5949636607581166E-2</c:v>
                </c:pt>
                <c:pt idx="780">
                  <c:v>1.6004567249779802E-2</c:v>
                </c:pt>
                <c:pt idx="781">
                  <c:v>1.6055261233523643E-2</c:v>
                </c:pt>
                <c:pt idx="782">
                  <c:v>1.6105679643573186E-2</c:v>
                </c:pt>
                <c:pt idx="783">
                  <c:v>1.6155822469306493E-2</c:v>
                </c:pt>
                <c:pt idx="784">
                  <c:v>1.6205689700152889E-2</c:v>
                </c:pt>
                <c:pt idx="785">
                  <c:v>1.6255281325605126E-2</c:v>
                </c:pt>
                <c:pt idx="786">
                  <c:v>1.6304597335211564E-2</c:v>
                </c:pt>
                <c:pt idx="787">
                  <c:v>1.6353637718578781E-2</c:v>
                </c:pt>
                <c:pt idx="788">
                  <c:v>1.6394792813085424E-2</c:v>
                </c:pt>
                <c:pt idx="789">
                  <c:v>1.6443316875470515E-2</c:v>
                </c:pt>
                <c:pt idx="790">
                  <c:v>1.6491565294410648E-2</c:v>
                </c:pt>
                <c:pt idx="791">
                  <c:v>1.6539538059956449E-2</c:v>
                </c:pt>
                <c:pt idx="792">
                  <c:v>1.6587235162218938E-2</c:v>
                </c:pt>
                <c:pt idx="793">
                  <c:v>1.6634656591362429E-2</c:v>
                </c:pt>
                <c:pt idx="794">
                  <c:v>1.6681802337609852E-2</c:v>
                </c:pt>
                <c:pt idx="795">
                  <c:v>1.6728672391240096E-2</c:v>
                </c:pt>
                <c:pt idx="796">
                  <c:v>1.6775266742589778E-2</c:v>
                </c:pt>
                <c:pt idx="797">
                  <c:v>1.6817935799863324E-2</c:v>
                </c:pt>
                <c:pt idx="798">
                  <c:v>1.6863996262766884E-2</c:v>
                </c:pt>
                <c:pt idx="799">
                  <c:v>1.6909781002467074E-2</c:v>
                </c:pt>
                <c:pt idx="800">
                  <c:v>1.695529000962934E-2</c:v>
                </c:pt>
                <c:pt idx="801">
                  <c:v>1.7011256648402254E-2</c:v>
                </c:pt>
                <c:pt idx="802">
                  <c:v>1.7056161430432433E-2</c:v>
                </c:pt>
                <c:pt idx="803">
                  <c:v>1.7100790427821397E-2</c:v>
                </c:pt>
                <c:pt idx="804">
                  <c:v>1.7145143631162766E-2</c:v>
                </c:pt>
                <c:pt idx="805">
                  <c:v>1.7189221031107489E-2</c:v>
                </c:pt>
                <c:pt idx="806">
                  <c:v>1.7229534366839005E-2</c:v>
                </c:pt>
                <c:pt idx="807">
                  <c:v>1.7273077752397337E-2</c:v>
                </c:pt>
                <c:pt idx="808">
                  <c:v>1.731634531550507E-2</c:v>
                </c:pt>
                <c:pt idx="809">
                  <c:v>1.7359337047142615E-2</c:v>
                </c:pt>
                <c:pt idx="810">
                  <c:v>1.7405470656729531E-2</c:v>
                </c:pt>
                <c:pt idx="811">
                  <c:v>1.7447893043219278E-2</c:v>
                </c:pt>
                <c:pt idx="812">
                  <c:v>1.7490039562497343E-2</c:v>
                </c:pt>
                <c:pt idx="813">
                  <c:v>1.7531910205678656E-2</c:v>
                </c:pt>
                <c:pt idx="814">
                  <c:v>1.7573504963938107E-2</c:v>
                </c:pt>
                <c:pt idx="815">
                  <c:v>1.7614823828507056E-2</c:v>
                </c:pt>
                <c:pt idx="816">
                  <c:v>1.765586643088549E-2</c:v>
                </c:pt>
                <c:pt idx="817">
                  <c:v>1.7696626359199767E-2</c:v>
                </c:pt>
                <c:pt idx="818">
                  <c:v>1.7737092186686874E-2</c:v>
                </c:pt>
                <c:pt idx="819">
                  <c:v>1.7777252334389888E-2</c:v>
                </c:pt>
                <c:pt idx="820">
                  <c:v>1.7817095222945251E-2</c:v>
                </c:pt>
                <c:pt idx="821">
                  <c:v>1.7856609272595813E-2</c:v>
                </c:pt>
                <c:pt idx="822">
                  <c:v>1.7895782903203858E-2</c:v>
                </c:pt>
                <c:pt idx="823">
                  <c:v>1.7934604534251095E-2</c:v>
                </c:pt>
                <c:pt idx="824">
                  <c:v>1.7973062584858666E-2</c:v>
                </c:pt>
                <c:pt idx="825">
                  <c:v>1.8011145473791467E-2</c:v>
                </c:pt>
                <c:pt idx="826">
                  <c:v>1.8048841619472931E-2</c:v>
                </c:pt>
                <c:pt idx="827">
                  <c:v>1.8083100970010566E-2</c:v>
                </c:pt>
                <c:pt idx="828">
                  <c:v>1.8120017531676628E-2</c:v>
                </c:pt>
                <c:pt idx="829">
                  <c:v>1.8156512847821587E-2</c:v>
                </c:pt>
                <c:pt idx="830">
                  <c:v>1.8192580432765761E-2</c:v>
                </c:pt>
                <c:pt idx="831">
                  <c:v>1.8228219911079348E-2</c:v>
                </c:pt>
                <c:pt idx="832">
                  <c:v>1.8266326003417519E-2</c:v>
                </c:pt>
                <c:pt idx="833">
                  <c:v>1.8301080413296204E-2</c:v>
                </c:pt>
                <c:pt idx="834">
                  <c:v>1.8335406663182213E-2</c:v>
                </c:pt>
                <c:pt idx="835">
                  <c:v>1.8369304741854952E-2</c:v>
                </c:pt>
                <c:pt idx="836">
                  <c:v>1.8402774638234594E-2</c:v>
                </c:pt>
                <c:pt idx="837">
                  <c:v>1.8435816341378582E-2</c:v>
                </c:pt>
                <c:pt idx="838">
                  <c:v>1.84684298404886E-2</c:v>
                </c:pt>
                <c:pt idx="839">
                  <c:v>1.8500615124901008E-2</c:v>
                </c:pt>
                <c:pt idx="840">
                  <c:v>1.8529708561856269E-2</c:v>
                </c:pt>
                <c:pt idx="841">
                  <c:v>1.8561066362919744E-2</c:v>
                </c:pt>
                <c:pt idx="842">
                  <c:v>1.8591995938207498E-2</c:v>
                </c:pt>
                <c:pt idx="843">
                  <c:v>1.8622497277721375E-2</c:v>
                </c:pt>
                <c:pt idx="844">
                  <c:v>1.8654285442943674E-2</c:v>
                </c:pt>
                <c:pt idx="845">
                  <c:v>1.8686415226856212E-2</c:v>
                </c:pt>
                <c:pt idx="846">
                  <c:v>1.8715570618938342E-2</c:v>
                </c:pt>
                <c:pt idx="847">
                  <c:v>1.8744297735288233E-2</c:v>
                </c:pt>
                <c:pt idx="848">
                  <c:v>1.8772596566614851E-2</c:v>
                </c:pt>
                <c:pt idx="849">
                  <c:v>1.87980664759273E-2</c:v>
                </c:pt>
                <c:pt idx="850">
                  <c:v>1.8825537871542508E-2</c:v>
                </c:pt>
                <c:pt idx="851">
                  <c:v>1.885258097601028E-2</c:v>
                </c:pt>
                <c:pt idx="852">
                  <c:v>1.8879195780683311E-2</c:v>
                </c:pt>
                <c:pt idx="853">
                  <c:v>1.891450143921676E-2</c:v>
                </c:pt>
                <c:pt idx="854">
                  <c:v>1.8940142618064173E-2</c:v>
                </c:pt>
                <c:pt idx="855">
                  <c:v>1.896535538691475E-2</c:v>
                </c:pt>
                <c:pt idx="856">
                  <c:v>1.8990139737346284E-2</c:v>
                </c:pt>
                <c:pt idx="857">
                  <c:v>1.9021787355631897E-2</c:v>
                </c:pt>
                <c:pt idx="858">
                  <c:v>1.9032027259052915E-2</c:v>
                </c:pt>
                <c:pt idx="859">
                  <c:v>1.9055614381655255E-2</c:v>
                </c:pt>
                <c:pt idx="860">
                  <c:v>1.9078773118566716E-2</c:v>
                </c:pt>
                <c:pt idx="861">
                  <c:v>1.9101503462298788E-2</c:v>
                </c:pt>
                <c:pt idx="862">
                  <c:v>1.913523675574021E-2</c:v>
                </c:pt>
                <c:pt idx="863">
                  <c:v>1.9156897233445588E-2</c:v>
                </c:pt>
                <c:pt idx="864">
                  <c:v>1.91781292713873E-2</c:v>
                </c:pt>
                <c:pt idx="865">
                  <c:v>1.919893286262481E-2</c:v>
                </c:pt>
                <c:pt idx="866">
                  <c:v>1.9219308000354866E-2</c:v>
                </c:pt>
                <c:pt idx="867">
                  <c:v>1.9239254677916706E-2</c:v>
                </c:pt>
                <c:pt idx="868">
                  <c:v>1.9258777381912725E-2</c:v>
                </c:pt>
                <c:pt idx="869">
                  <c:v>1.9277908327704606E-2</c:v>
                </c:pt>
                <c:pt idx="870">
                  <c:v>1.9296690298668324E-2</c:v>
                </c:pt>
                <c:pt idx="871">
                  <c:v>1.9315166099896388E-2</c:v>
                </c:pt>
                <c:pt idx="872">
                  <c:v>1.9333378537370171E-2</c:v>
                </c:pt>
                <c:pt idx="873">
                  <c:v>1.9351370417918189E-2</c:v>
                </c:pt>
                <c:pt idx="874">
                  <c:v>1.9369184549197855E-2</c:v>
                </c:pt>
                <c:pt idx="875">
                  <c:v>1.9386863739670301E-2</c:v>
                </c:pt>
                <c:pt idx="876">
                  <c:v>1.9404450798583842E-2</c:v>
                </c:pt>
                <c:pt idx="877">
                  <c:v>1.9421988535958355E-2</c:v>
                </c:pt>
                <c:pt idx="878">
                  <c:v>1.9439519762586146E-2</c:v>
                </c:pt>
                <c:pt idx="879">
                  <c:v>1.9455287134193582E-2</c:v>
                </c:pt>
                <c:pt idx="880">
                  <c:v>1.9472923405596858E-2</c:v>
                </c:pt>
                <c:pt idx="881">
                  <c:v>1.9490678832463654E-2</c:v>
                </c:pt>
                <c:pt idx="882">
                  <c:v>1.9508568242743822E-2</c:v>
                </c:pt>
                <c:pt idx="883">
                  <c:v>1.9528433978600362E-2</c:v>
                </c:pt>
                <c:pt idx="884">
                  <c:v>1.9546602263845313E-2</c:v>
                </c:pt>
                <c:pt idx="885">
                  <c:v>1.9564904714533371E-2</c:v>
                </c:pt>
                <c:pt idx="886">
                  <c:v>1.9583341332536943E-2</c:v>
                </c:pt>
                <c:pt idx="887">
                  <c:v>1.9601912119742354E-2</c:v>
                </c:pt>
                <c:pt idx="888">
                  <c:v>1.9620617078048082E-2</c:v>
                </c:pt>
                <c:pt idx="889">
                  <c:v>1.9639456209369115E-2</c:v>
                </c:pt>
                <c:pt idx="890">
                  <c:v>1.9658429515632611E-2</c:v>
                </c:pt>
                <c:pt idx="891">
                  <c:v>1.9677536998778753E-2</c:v>
                </c:pt>
                <c:pt idx="892">
                  <c:v>1.9694841091454304E-2</c:v>
                </c:pt>
                <c:pt idx="893">
                  <c:v>1.9714206292386353E-2</c:v>
                </c:pt>
                <c:pt idx="894">
                  <c:v>1.9733705667590976E-2</c:v>
                </c:pt>
                <c:pt idx="895">
                  <c:v>1.9753339219041974E-2</c:v>
                </c:pt>
                <c:pt idx="896">
                  <c:v>1.9773961241138949E-2</c:v>
                </c:pt>
                <c:pt idx="897">
                  <c:v>1.9793871643817518E-2</c:v>
                </c:pt>
                <c:pt idx="898">
                  <c:v>1.9813916220424943E-2</c:v>
                </c:pt>
                <c:pt idx="899">
                  <c:v>1.9836107649251797E-2</c:v>
                </c:pt>
                <c:pt idx="900">
                  <c:v>1.9854407903464377E-2</c:v>
                </c:pt>
                <c:pt idx="901">
                  <c:v>1.9874855013949144E-2</c:v>
                </c:pt>
                <c:pt idx="902">
                  <c:v>1.9895436306467396E-2</c:v>
                </c:pt>
                <c:pt idx="903">
                  <c:v>1.9916151783080593E-2</c:v>
                </c:pt>
                <c:pt idx="904">
                  <c:v>1.993700144585997E-2</c:v>
                </c:pt>
                <c:pt idx="905">
                  <c:v>1.9962140435410392E-2</c:v>
                </c:pt>
                <c:pt idx="906">
                  <c:v>1.9983279986778919E-2</c:v>
                </c:pt>
                <c:pt idx="907">
                  <c:v>2.0004553748266988E-2</c:v>
                </c:pt>
                <c:pt idx="908">
                  <c:v>2.0025961722050248E-2</c:v>
                </c:pt>
                <c:pt idx="909">
                  <c:v>2.0045382714494662E-2</c:v>
                </c:pt>
                <c:pt idx="910">
                  <c:v>2.0067048328347086E-2</c:v>
                </c:pt>
                <c:pt idx="911">
                  <c:v>2.0088848152179782E-2</c:v>
                </c:pt>
                <c:pt idx="912">
                  <c:v>2.0117073707162286E-2</c:v>
                </c:pt>
                <c:pt idx="913">
                  <c:v>2.0148859845563374E-2</c:v>
                </c:pt>
                <c:pt idx="914">
                  <c:v>2.0163599456025593E-2</c:v>
                </c:pt>
                <c:pt idx="915">
                  <c:v>2.018598532923116E-2</c:v>
                </c:pt>
                <c:pt idx="916">
                  <c:v>2.0208505433294461E-2</c:v>
                </c:pt>
                <c:pt idx="917">
                  <c:v>2.0231159770520608E-2</c:v>
                </c:pt>
                <c:pt idx="918">
                  <c:v>2.0253948343228613E-2</c:v>
                </c:pt>
                <c:pt idx="919">
                  <c:v>2.0276871141114549E-2</c:v>
                </c:pt>
                <c:pt idx="920">
                  <c:v>2.029992173553645E-2</c:v>
                </c:pt>
                <c:pt idx="921">
                  <c:v>2.0323076855753321E-2</c:v>
                </c:pt>
                <c:pt idx="922">
                  <c:v>2.0346310501388538E-2</c:v>
                </c:pt>
                <c:pt idx="923">
                  <c:v>2.0369596671462466E-2</c:v>
                </c:pt>
                <c:pt idx="924">
                  <c:v>2.0392909364376838E-2</c:v>
                </c:pt>
                <c:pt idx="925">
                  <c:v>2.0416222577920837E-2</c:v>
                </c:pt>
                <c:pt idx="926">
                  <c:v>2.0439510309267616E-2</c:v>
                </c:pt>
                <c:pt idx="927">
                  <c:v>2.0462746554974296E-2</c:v>
                </c:pt>
                <c:pt idx="928">
                  <c:v>2.0485905310982839E-2</c:v>
                </c:pt>
                <c:pt idx="929">
                  <c:v>2.0508960572629603E-2</c:v>
                </c:pt>
                <c:pt idx="930">
                  <c:v>2.0531886334647087E-2</c:v>
                </c:pt>
                <c:pt idx="931">
                  <c:v>2.055248154838657E-2</c:v>
                </c:pt>
                <c:pt idx="932">
                  <c:v>2.0575083780411025E-2</c:v>
                </c:pt>
                <c:pt idx="933">
                  <c:v>2.0597482885513604E-2</c:v>
                </c:pt>
                <c:pt idx="934">
                  <c:v>2.0628205014289087E-2</c:v>
                </c:pt>
                <c:pt idx="935">
                  <c:v>2.0643779443713144E-2</c:v>
                </c:pt>
                <c:pt idx="936">
                  <c:v>2.0665542425454219E-2</c:v>
                </c:pt>
                <c:pt idx="937">
                  <c:v>2.068709787430268E-2</c:v>
                </c:pt>
                <c:pt idx="938">
                  <c:v>2.0708445786846479E-2</c:v>
                </c:pt>
                <c:pt idx="939">
                  <c:v>2.0729586159705708E-2</c:v>
                </c:pt>
                <c:pt idx="940">
                  <c:v>2.0750518989531747E-2</c:v>
                </c:pt>
                <c:pt idx="941">
                  <c:v>2.0771244273012454E-2</c:v>
                </c:pt>
                <c:pt idx="942">
                  <c:v>2.0791762006865246E-2</c:v>
                </c:pt>
                <c:pt idx="943">
                  <c:v>2.0812072187840543E-2</c:v>
                </c:pt>
                <c:pt idx="944">
                  <c:v>2.0828176996605663E-2</c:v>
                </c:pt>
                <c:pt idx="945">
                  <c:v>2.0848099413544041E-2</c:v>
                </c:pt>
                <c:pt idx="946">
                  <c:v>2.086781429030804E-2</c:v>
                </c:pt>
                <c:pt idx="947">
                  <c:v>2.0900326119507109E-2</c:v>
                </c:pt>
                <c:pt idx="948">
                  <c:v>2.090936158086798E-2</c:v>
                </c:pt>
                <c:pt idx="949">
                  <c:v>2.0925713649167399E-2</c:v>
                </c:pt>
                <c:pt idx="950">
                  <c:v>2.0944598335012721E-2</c:v>
                </c:pt>
                <c:pt idx="951">
                  <c:v>2.0963275465734732E-2</c:v>
                </c:pt>
                <c:pt idx="952">
                  <c:v>2.0981745038441524E-2</c:v>
                </c:pt>
                <c:pt idx="953">
                  <c:v>2.099812976441039E-2</c:v>
                </c:pt>
                <c:pt idx="954">
                  <c:v>2.1016197987106376E-2</c:v>
                </c:pt>
                <c:pt idx="955">
                  <c:v>2.1034058654690393E-2</c:v>
                </c:pt>
                <c:pt idx="956">
                  <c:v>2.1051711764429337E-2</c:v>
                </c:pt>
                <c:pt idx="957">
                  <c:v>2.1074619928357498E-2</c:v>
                </c:pt>
                <c:pt idx="958">
                  <c:v>2.1091816448679138E-2</c:v>
                </c:pt>
                <c:pt idx="959">
                  <c:v>2.1108805368612593E-2</c:v>
                </c:pt>
                <c:pt idx="960">
                  <c:v>2.1125586685466977E-2</c:v>
                </c:pt>
                <c:pt idx="961">
                  <c:v>2.1140396135612718E-2</c:v>
                </c:pt>
                <c:pt idx="962">
                  <c:v>2.1156776108039059E-2</c:v>
                </c:pt>
                <c:pt idx="963">
                  <c:v>2.1172948481133387E-2</c:v>
                </c:pt>
                <c:pt idx="964">
                  <c:v>2.118891325236235E-2</c:v>
                </c:pt>
                <c:pt idx="965">
                  <c:v>2.1206379131727068E-2</c:v>
                </c:pt>
                <c:pt idx="966">
                  <c:v>2.1221914775464618E-2</c:v>
                </c:pt>
                <c:pt idx="967">
                  <c:v>2.123724279821481E-2</c:v>
                </c:pt>
                <c:pt idx="968">
                  <c:v>2.125236319754828E-2</c:v>
                </c:pt>
                <c:pt idx="969">
                  <c:v>2.1267275971072162E-2</c:v>
                </c:pt>
                <c:pt idx="970">
                  <c:v>2.1281981116425736E-2</c:v>
                </c:pt>
                <c:pt idx="971">
                  <c:v>2.129647863127869E-2</c:v>
                </c:pt>
                <c:pt idx="972">
                  <c:v>2.131076851333721E-2</c:v>
                </c:pt>
                <c:pt idx="973">
                  <c:v>2.1324850760337886E-2</c:v>
                </c:pt>
                <c:pt idx="974">
                  <c:v>2.1338725370048592E-2</c:v>
                </c:pt>
                <c:pt idx="975">
                  <c:v>2.1352392340275427E-2</c:v>
                </c:pt>
                <c:pt idx="976">
                  <c:v>2.1365851668853172E-2</c:v>
                </c:pt>
                <c:pt idx="977">
                  <c:v>2.137910335364962E-2</c:v>
                </c:pt>
                <c:pt idx="978">
                  <c:v>2.1392147392567312E-2</c:v>
                </c:pt>
                <c:pt idx="979">
                  <c:v>2.140498378354095E-2</c:v>
                </c:pt>
                <c:pt idx="980">
                  <c:v>2.1417612524536504E-2</c:v>
                </c:pt>
                <c:pt idx="981">
                  <c:v>2.1430033613554708E-2</c:v>
                </c:pt>
                <c:pt idx="982">
                  <c:v>2.1442247048629303E-2</c:v>
                </c:pt>
                <c:pt idx="983">
                  <c:v>2.1452796420208559E-2</c:v>
                </c:pt>
                <c:pt idx="984">
                  <c:v>2.1464608672266804E-2</c:v>
                </c:pt>
                <c:pt idx="985">
                  <c:v>2.1476213276776658E-2</c:v>
                </c:pt>
                <c:pt idx="986">
                  <c:v>2.1487610231920681E-2</c:v>
                </c:pt>
                <c:pt idx="987">
                  <c:v>2.150439100269904E-2</c:v>
                </c:pt>
                <c:pt idx="988">
                  <c:v>2.1511166820246844E-2</c:v>
                </c:pt>
                <c:pt idx="989">
                  <c:v>2.1521926625400662E-2</c:v>
                </c:pt>
                <c:pt idx="990">
                  <c:v>2.1532478762058164E-2</c:v>
                </c:pt>
                <c:pt idx="991">
                  <c:v>2.1542823228550258E-2</c:v>
                </c:pt>
                <c:pt idx="992">
                  <c:v>2.1552960023237377E-2</c:v>
                </c:pt>
                <c:pt idx="993">
                  <c:v>2.1562889144513857E-2</c:v>
                </c:pt>
                <c:pt idx="994">
                  <c:v>2.1572610590807909E-2</c:v>
                </c:pt>
                <c:pt idx="995">
                  <c:v>2.1582124360579893E-2</c:v>
                </c:pt>
                <c:pt idx="996">
                  <c:v>2.158888561884087E-2</c:v>
                </c:pt>
                <c:pt idx="997">
                  <c:v>2.1598012607793926E-2</c:v>
                </c:pt>
                <c:pt idx="998">
                  <c:v>2.1606931940405083E-2</c:v>
                </c:pt>
                <c:pt idx="999">
                  <c:v>2.1615643615292335E-2</c:v>
                </c:pt>
                <c:pt idx="1000">
                  <c:v>2.1624147631107427E-2</c:v>
                </c:pt>
                <c:pt idx="1001">
                  <c:v>2.1632443986531413E-2</c:v>
                </c:pt>
                <c:pt idx="1002">
                  <c:v>2.1640532680280877E-2</c:v>
                </c:pt>
                <c:pt idx="1003">
                  <c:v>2.1648413711100822E-2</c:v>
                </c:pt>
                <c:pt idx="1004">
                  <c:v>2.1656087077770891E-2</c:v>
                </c:pt>
                <c:pt idx="1005">
                  <c:v>2.166240741024229E-2</c:v>
                </c:pt>
                <c:pt idx="1006">
                  <c:v>2.1669679841970574E-2</c:v>
                </c:pt>
                <c:pt idx="1007">
                  <c:v>2.1676744618480893E-2</c:v>
                </c:pt>
                <c:pt idx="1008">
                  <c:v>2.1683601738691865E-2</c:v>
                </c:pt>
                <c:pt idx="1009">
                  <c:v>2.1693510318755101E-2</c:v>
                </c:pt>
                <c:pt idx="1010">
                  <c:v>2.1699908778325106E-2</c:v>
                </c:pt>
                <c:pt idx="1011">
                  <c:v>2.1706099541214385E-2</c:v>
                </c:pt>
                <c:pt idx="1012">
                  <c:v>2.1712082606441991E-2</c:v>
                </c:pt>
                <c:pt idx="1013">
                  <c:v>2.1716830810114697E-2</c:v>
                </c:pt>
                <c:pt idx="1014">
                  <c:v>2.1722412977092147E-2</c:v>
                </c:pt>
                <c:pt idx="1015">
                  <c:v>2.1727787456140325E-2</c:v>
                </c:pt>
                <c:pt idx="1016">
                  <c:v>2.1732954246417704E-2</c:v>
                </c:pt>
                <c:pt idx="1017">
                  <c:v>2.1737913347112631E-2</c:v>
                </c:pt>
                <c:pt idx="1018">
                  <c:v>2.1743619296167742E-2</c:v>
                </c:pt>
                <c:pt idx="1019">
                  <c:v>2.1748148453080731E-2</c:v>
                </c:pt>
                <c:pt idx="1020">
                  <c:v>2.1752469905672155E-2</c:v>
                </c:pt>
                <c:pt idx="1021">
                  <c:v>2.1756583653259949E-2</c:v>
                </c:pt>
                <c:pt idx="1022">
                  <c:v>2.1760489695191589E-2</c:v>
                </c:pt>
                <c:pt idx="1023">
                  <c:v>2.1764188030848439E-2</c:v>
                </c:pt>
                <c:pt idx="1024">
                  <c:v>2.1767679019128631E-2</c:v>
                </c:pt>
                <c:pt idx="1025">
                  <c:v>2.1770969057161946E-2</c:v>
                </c:pt>
                <c:pt idx="1026">
                  <c:v>2.1774069552436381E-2</c:v>
                </c:pt>
                <c:pt idx="1027">
                  <c:v>2.1776992064162917E-2</c:v>
                </c:pt>
                <c:pt idx="1028">
                  <c:v>2.1779748151609876E-2</c:v>
                </c:pt>
                <c:pt idx="1029">
                  <c:v>2.1782349374101194E-2</c:v>
                </c:pt>
                <c:pt idx="1030">
                  <c:v>2.1784807291012065E-2</c:v>
                </c:pt>
                <c:pt idx="1031">
                  <c:v>2.1787133461758527E-2</c:v>
                </c:pt>
                <c:pt idx="1032">
                  <c:v>2.1789339445804395E-2</c:v>
                </c:pt>
                <c:pt idx="1033">
                  <c:v>2.1791436802645638E-2</c:v>
                </c:pt>
                <c:pt idx="1034">
                  <c:v>2.1793437091815592E-2</c:v>
                </c:pt>
                <c:pt idx="1035">
                  <c:v>2.1794568825375751E-2</c:v>
                </c:pt>
                <c:pt idx="1036">
                  <c:v>2.1796413609268869E-2</c:v>
                </c:pt>
                <c:pt idx="1037">
                  <c:v>2.1798195782129146E-2</c:v>
                </c:pt>
                <c:pt idx="1038">
                  <c:v>2.1799921811518012E-2</c:v>
                </c:pt>
                <c:pt idx="1039">
                  <c:v>2.180235951209299E-2</c:v>
                </c:pt>
                <c:pt idx="1040">
                  <c:v>2.1803970094114652E-2</c:v>
                </c:pt>
                <c:pt idx="1041">
                  <c:v>2.1805524892500341E-2</c:v>
                </c:pt>
                <c:pt idx="1042">
                  <c:v>2.1807023907184898E-2</c:v>
                </c:pt>
                <c:pt idx="1043">
                  <c:v>2.1808467138104887E-2</c:v>
                </c:pt>
                <c:pt idx="1044">
                  <c:v>2.1809854585197755E-2</c:v>
                </c:pt>
                <c:pt idx="1045">
                  <c:v>2.1811186248404415E-2</c:v>
                </c:pt>
                <c:pt idx="1046">
                  <c:v>2.1812462127668394E-2</c:v>
                </c:pt>
                <c:pt idx="1047">
                  <c:v>2.1813682222936691E-2</c:v>
                </c:pt>
                <c:pt idx="1048">
                  <c:v>2.1814114187414056E-2</c:v>
                </c:pt>
                <c:pt idx="1049">
                  <c:v>2.1815226631890811E-2</c:v>
                </c:pt>
                <c:pt idx="1050">
                  <c:v>2.1816283295593281E-2</c:v>
                </c:pt>
                <c:pt idx="1051">
                  <c:v>2.1817284178477548E-2</c:v>
                </c:pt>
                <c:pt idx="1052">
                  <c:v>2.181822928050144E-2</c:v>
                </c:pt>
                <c:pt idx="1053">
                  <c:v>2.181911860162368E-2</c:v>
                </c:pt>
                <c:pt idx="1054">
                  <c:v>2.1819952141809124E-2</c:v>
                </c:pt>
                <c:pt idx="1055">
                  <c:v>2.1820729901020006E-2</c:v>
                </c:pt>
                <c:pt idx="1056">
                  <c:v>2.1821451879226454E-2</c:v>
                </c:pt>
                <c:pt idx="1057">
                  <c:v>2.1821420758854515E-2</c:v>
                </c:pt>
                <c:pt idx="1058">
                  <c:v>2.1822035122183614E-2</c:v>
                </c:pt>
                <c:pt idx="1059">
                  <c:v>2.1822593707796045E-2</c:v>
                </c:pt>
                <c:pt idx="1060">
                  <c:v>2.1823096515667828E-2</c:v>
                </c:pt>
                <c:pt idx="1061">
                  <c:v>2.1824906212301577E-2</c:v>
                </c:pt>
                <c:pt idx="1062">
                  <c:v>2.1825289542722892E-2</c:v>
                </c:pt>
                <c:pt idx="1063">
                  <c:v>2.1825617088601139E-2</c:v>
                </c:pt>
                <c:pt idx="1064">
                  <c:v>2.1825888849922412E-2</c:v>
                </c:pt>
                <c:pt idx="1065">
                  <c:v>2.1826104826677153E-2</c:v>
                </c:pt>
                <c:pt idx="1066">
                  <c:v>2.1825603700447341E-2</c:v>
                </c:pt>
                <c:pt idx="1067">
                  <c:v>2.1825712086102959E-2</c:v>
                </c:pt>
                <c:pt idx="1068">
                  <c:v>2.1825764690541566E-2</c:v>
                </c:pt>
                <c:pt idx="1069">
                  <c:v>2.1825761513762285E-2</c:v>
                </c:pt>
                <c:pt idx="1070">
                  <c:v>2.1826347941695707E-2</c:v>
                </c:pt>
                <c:pt idx="1071">
                  <c:v>2.182622921093396E-2</c:v>
                </c:pt>
                <c:pt idx="1072">
                  <c:v>2.1826054695590916E-2</c:v>
                </c:pt>
                <c:pt idx="1073">
                  <c:v>2.1825824395672648E-2</c:v>
                </c:pt>
                <c:pt idx="1074">
                  <c:v>2.182553831118959E-2</c:v>
                </c:pt>
                <c:pt idx="1075">
                  <c:v>2.1825196442153031E-2</c:v>
                </c:pt>
                <c:pt idx="1076">
                  <c:v>2.1824798788579482E-2</c:v>
                </c:pt>
                <c:pt idx="1077">
                  <c:v>2.1824345350483717E-2</c:v>
                </c:pt>
                <c:pt idx="1078">
                  <c:v>2.1823836127886586E-2</c:v>
                </c:pt>
                <c:pt idx="1079">
                  <c:v>2.1823271120809808E-2</c:v>
                </c:pt>
                <c:pt idx="1080">
                  <c:v>2.1822650329274239E-2</c:v>
                </c:pt>
                <c:pt idx="1081">
                  <c:v>2.1821973753311158E-2</c:v>
                </c:pt>
                <c:pt idx="1082">
                  <c:v>2.1821241392945764E-2</c:v>
                </c:pt>
                <c:pt idx="1083">
                  <c:v>2.182045324821107E-2</c:v>
                </c:pt>
                <c:pt idx="1084">
                  <c:v>2.1819609319138358E-2</c:v>
                </c:pt>
                <c:pt idx="1085">
                  <c:v>2.1818709605766727E-2</c:v>
                </c:pt>
                <c:pt idx="1086">
                  <c:v>2.18177541081318E-2</c:v>
                </c:pt>
                <c:pt idx="1087">
                  <c:v>2.181616575506564E-2</c:v>
                </c:pt>
                <c:pt idx="1088">
                  <c:v>2.1815102737852924E-2</c:v>
                </c:pt>
                <c:pt idx="1089">
                  <c:v>2.1813983939872071E-2</c:v>
                </c:pt>
                <c:pt idx="1090">
                  <c:v>2.181280936117052E-2</c:v>
                </c:pt>
                <c:pt idx="1091">
                  <c:v>2.1811579001794819E-2</c:v>
                </c:pt>
                <c:pt idx="1092">
                  <c:v>2.1810849655257147E-2</c:v>
                </c:pt>
                <c:pt idx="1093">
                  <c:v>2.1809503669058129E-2</c:v>
                </c:pt>
                <c:pt idx="1094">
                  <c:v>2.1808101898986808E-2</c:v>
                </c:pt>
                <c:pt idx="1095">
                  <c:v>2.1806644345104868E-2</c:v>
                </c:pt>
                <c:pt idx="1096">
                  <c:v>2.1805131007474009E-2</c:v>
                </c:pt>
                <c:pt idx="1097">
                  <c:v>2.180356188615765E-2</c:v>
                </c:pt>
                <c:pt idx="1098">
                  <c:v>2.1801936981223565E-2</c:v>
                </c:pt>
                <c:pt idx="1099">
                  <c:v>2.1800256292741266E-2</c:v>
                </c:pt>
                <c:pt idx="1100">
                  <c:v>2.1797471102998678E-2</c:v>
                </c:pt>
                <c:pt idx="1101">
                  <c:v>2.1795687032143185E-2</c:v>
                </c:pt>
                <c:pt idx="1102">
                  <c:v>2.1793847184667037E-2</c:v>
                </c:pt>
                <c:pt idx="1103">
                  <c:v>2.1791951560645728E-2</c:v>
                </c:pt>
                <c:pt idx="1104">
                  <c:v>2.1789716835485251E-2</c:v>
                </c:pt>
                <c:pt idx="1105">
                  <c:v>2.1787701690566763E-2</c:v>
                </c:pt>
                <c:pt idx="1106">
                  <c:v>2.1785630769358022E-2</c:v>
                </c:pt>
                <c:pt idx="1107">
                  <c:v>2.1783504071948734E-2</c:v>
                </c:pt>
                <c:pt idx="1108">
                  <c:v>2.1781321598425052E-2</c:v>
                </c:pt>
                <c:pt idx="1109">
                  <c:v>2.1778595969282302E-2</c:v>
                </c:pt>
                <c:pt idx="1110">
                  <c:v>2.1776306065948381E-2</c:v>
                </c:pt>
                <c:pt idx="1111">
                  <c:v>2.1773960390120424E-2</c:v>
                </c:pt>
                <c:pt idx="1112">
                  <c:v>2.1771558941899024E-2</c:v>
                </c:pt>
                <c:pt idx="1113">
                  <c:v>2.177145232080065E-2</c:v>
                </c:pt>
                <c:pt idx="1114">
                  <c:v>2.1768918645690083E-2</c:v>
                </c:pt>
                <c:pt idx="1115">
                  <c:v>2.1766329181799111E-2</c:v>
                </c:pt>
                <c:pt idx="1116">
                  <c:v>2.1763683929240839E-2</c:v>
                </c:pt>
                <c:pt idx="1117">
                  <c:v>2.1758061972480335E-2</c:v>
                </c:pt>
                <c:pt idx="1118">
                  <c:v>2.1756878980207402E-2</c:v>
                </c:pt>
                <c:pt idx="1119">
                  <c:v>2.175407882326592E-2</c:v>
                </c:pt>
                <c:pt idx="1120">
                  <c:v>2.1751222888121282E-2</c:v>
                </c:pt>
                <c:pt idx="1121">
                  <c:v>2.1748311174895587E-2</c:v>
                </c:pt>
                <c:pt idx="1122">
                  <c:v>2.1746640858467454E-2</c:v>
                </c:pt>
                <c:pt idx="1123">
                  <c:v>2.1743605088586873E-2</c:v>
                </c:pt>
                <c:pt idx="1124">
                  <c:v>2.1740513531026281E-2</c:v>
                </c:pt>
                <c:pt idx="1125">
                  <c:v>2.1737366185918341E-2</c:v>
                </c:pt>
                <c:pt idx="1126">
                  <c:v>2.1734163053401669E-2</c:v>
                </c:pt>
                <c:pt idx="1127">
                  <c:v>2.1730904133614871E-2</c:v>
                </c:pt>
                <c:pt idx="1128">
                  <c:v>2.1727589426699116E-2</c:v>
                </c:pt>
                <c:pt idx="1129">
                  <c:v>2.1724218932798967E-2</c:v>
                </c:pt>
                <c:pt idx="1130">
                  <c:v>2.171959576317066E-2</c:v>
                </c:pt>
                <c:pt idx="1131">
                  <c:v>2.1717310584633952E-2</c:v>
                </c:pt>
                <c:pt idx="1132">
                  <c:v>2.1713772730668424E-2</c:v>
                </c:pt>
                <c:pt idx="1133">
                  <c:v>2.171017909031887E-2</c:v>
                </c:pt>
                <c:pt idx="1134">
                  <c:v>2.1706529663740065E-2</c:v>
                </c:pt>
                <c:pt idx="1135">
                  <c:v>2.1702824451093578E-2</c:v>
                </c:pt>
                <c:pt idx="1136">
                  <c:v>2.1699063452537585E-2</c:v>
                </c:pt>
                <c:pt idx="1137">
                  <c:v>2.1695246668237054E-2</c:v>
                </c:pt>
                <c:pt idx="1138">
                  <c:v>2.1691374098357818E-2</c:v>
                </c:pt>
                <c:pt idx="1139">
                  <c:v>2.1686362435864744E-2</c:v>
                </c:pt>
                <c:pt idx="1140">
                  <c:v>2.1682390965034302E-2</c:v>
                </c:pt>
                <c:pt idx="1141">
                  <c:v>2.1678363719018951E-2</c:v>
                </c:pt>
                <c:pt idx="1142">
                  <c:v>2.167428069798559E-2</c:v>
                </c:pt>
                <c:pt idx="1143">
                  <c:v>2.1671174471246418E-2</c:v>
                </c:pt>
                <c:pt idx="1144">
                  <c:v>2.1666967191510754E-2</c:v>
                </c:pt>
                <c:pt idx="1145">
                  <c:v>2.1662704127424333E-2</c:v>
                </c:pt>
                <c:pt idx="1146">
                  <c:v>2.1658385279173388E-2</c:v>
                </c:pt>
                <c:pt idx="1147">
                  <c:v>2.1654010646945009E-2</c:v>
                </c:pt>
                <c:pt idx="1148">
                  <c:v>2.1649580230928826E-2</c:v>
                </c:pt>
                <c:pt idx="1149">
                  <c:v>2.1645094031318729E-2</c:v>
                </c:pt>
                <c:pt idx="1150">
                  <c:v>2.1640552048307754E-2</c:v>
                </c:pt>
                <c:pt idx="1151">
                  <c:v>2.1635954282095745E-2</c:v>
                </c:pt>
                <c:pt idx="1152">
                  <c:v>2.1630076167546086E-2</c:v>
                </c:pt>
                <c:pt idx="1153">
                  <c:v>2.1625383898097539E-2</c:v>
                </c:pt>
                <c:pt idx="1154">
                  <c:v>2.1620635859113335E-2</c:v>
                </c:pt>
                <c:pt idx="1155">
                  <c:v>2.1615832050791539E-2</c:v>
                </c:pt>
                <c:pt idx="1156">
                  <c:v>2.160829589375448E-2</c:v>
                </c:pt>
                <c:pt idx="1157">
                  <c:v>2.1604217019361483E-2</c:v>
                </c:pt>
                <c:pt idx="1158">
                  <c:v>2.1599217720801301E-2</c:v>
                </c:pt>
                <c:pt idx="1159">
                  <c:v>2.1594437225514487E-2</c:v>
                </c:pt>
                <c:pt idx="1160">
                  <c:v>2.1589051808829734E-2</c:v>
                </c:pt>
                <c:pt idx="1161">
                  <c:v>2.1583885195847894E-2</c:v>
                </c:pt>
                <c:pt idx="1162">
                  <c:v>2.1578662811822885E-2</c:v>
                </c:pt>
                <c:pt idx="1163">
                  <c:v>2.1573384656976072E-2</c:v>
                </c:pt>
                <c:pt idx="1164">
                  <c:v>2.1568050731528812E-2</c:v>
                </c:pt>
                <c:pt idx="1165">
                  <c:v>2.1562909824430765E-2</c:v>
                </c:pt>
                <c:pt idx="1166">
                  <c:v>2.1557460049417762E-2</c:v>
                </c:pt>
                <c:pt idx="1167">
                  <c:v>2.155195450125344E-2</c:v>
                </c:pt>
                <c:pt idx="1168">
                  <c:v>2.1546393180172398E-2</c:v>
                </c:pt>
                <c:pt idx="1169">
                  <c:v>2.154054455321882E-2</c:v>
                </c:pt>
                <c:pt idx="1170">
                  <c:v>2.1534876008961538E-2</c:v>
                </c:pt>
                <c:pt idx="1171">
                  <c:v>2.1529151695724492E-2</c:v>
                </c:pt>
                <c:pt idx="1172">
                  <c:v>2.1521709918550222E-2</c:v>
                </c:pt>
                <c:pt idx="1173">
                  <c:v>2.1517535763274729E-2</c:v>
                </c:pt>
                <c:pt idx="1174">
                  <c:v>2.1511854035832154E-2</c:v>
                </c:pt>
                <c:pt idx="1175">
                  <c:v>2.1505902311086064E-2</c:v>
                </c:pt>
                <c:pt idx="1176">
                  <c:v>2.149989481538082E-2</c:v>
                </c:pt>
                <c:pt idx="1177">
                  <c:v>2.1493831548970999E-2</c:v>
                </c:pt>
                <c:pt idx="1178">
                  <c:v>2.1487712512117264E-2</c:v>
                </c:pt>
                <c:pt idx="1179">
                  <c:v>2.1481537705078539E-2</c:v>
                </c:pt>
                <c:pt idx="1180">
                  <c:v>2.1475307310059505E-2</c:v>
                </c:pt>
                <c:pt idx="1181">
                  <c:v>2.1469022632084951E-2</c:v>
                </c:pt>
                <c:pt idx="1182">
                  <c:v>2.1462685404071292E-2</c:v>
                </c:pt>
                <c:pt idx="1183">
                  <c:v>2.145629735977515E-2</c:v>
                </c:pt>
                <c:pt idx="1184">
                  <c:v>2.1449860232934891E-2</c:v>
                </c:pt>
                <c:pt idx="1185">
                  <c:v>2.1443375757284541E-2</c:v>
                </c:pt>
                <c:pt idx="1186">
                  <c:v>2.1436845666549437E-2</c:v>
                </c:pt>
                <c:pt idx="1187">
                  <c:v>2.1430271694440148E-2</c:v>
                </c:pt>
                <c:pt idx="1188">
                  <c:v>2.1423655574662026E-2</c:v>
                </c:pt>
                <c:pt idx="1189">
                  <c:v>2.1416999040907391E-2</c:v>
                </c:pt>
                <c:pt idx="1190">
                  <c:v>2.1410303826861609E-2</c:v>
                </c:pt>
                <c:pt idx="1191">
                  <c:v>2.1403423831756661E-2</c:v>
                </c:pt>
                <c:pt idx="1192">
                  <c:v>2.1396659221849707E-2</c:v>
                </c:pt>
                <c:pt idx="1193">
                  <c:v>2.1389861022596945E-2</c:v>
                </c:pt>
                <c:pt idx="1194">
                  <c:v>2.1383029834487699E-2</c:v>
                </c:pt>
                <c:pt idx="1195">
                  <c:v>2.1376302453006028E-2</c:v>
                </c:pt>
                <c:pt idx="1196">
                  <c:v>2.1369402536980532E-2</c:v>
                </c:pt>
                <c:pt idx="1197">
                  <c:v>2.1362469637613762E-2</c:v>
                </c:pt>
                <c:pt idx="1198">
                  <c:v>2.1355503755080361E-2</c:v>
                </c:pt>
                <c:pt idx="1199">
                  <c:v>2.1348504889555836E-2</c:v>
                </c:pt>
                <c:pt idx="1200">
                  <c:v>2.1341473041215704E-2</c:v>
                </c:pt>
                <c:pt idx="1201">
                  <c:v>2.1334408210236341E-2</c:v>
                </c:pt>
                <c:pt idx="1202">
                  <c:v>2.132731039679674E-2</c:v>
                </c:pt>
                <c:pt idx="1203">
                  <c:v>2.1320179601075014E-2</c:v>
                </c:pt>
                <c:pt idx="1204">
                  <c:v>2.131290397868502E-2</c:v>
                </c:pt>
                <c:pt idx="1205">
                  <c:v>2.1305709999473121E-2</c:v>
                </c:pt>
                <c:pt idx="1206">
                  <c:v>2.1298483040310144E-2</c:v>
                </c:pt>
                <c:pt idx="1207">
                  <c:v>2.1291223101374407E-2</c:v>
                </c:pt>
                <c:pt idx="1208">
                  <c:v>2.1282785069700161E-2</c:v>
                </c:pt>
                <c:pt idx="1209">
                  <c:v>2.1275457248092877E-2</c:v>
                </c:pt>
                <c:pt idx="1210">
                  <c:v>2.1268191447411943E-2</c:v>
                </c:pt>
                <c:pt idx="1211">
                  <c:v>2.1260702672798892E-2</c:v>
                </c:pt>
                <c:pt idx="1212">
                  <c:v>2.1253275919476344E-2</c:v>
                </c:pt>
                <c:pt idx="1213">
                  <c:v>2.1245816189281008E-2</c:v>
                </c:pt>
                <c:pt idx="1214">
                  <c:v>2.1238323482393184E-2</c:v>
                </c:pt>
                <c:pt idx="1215">
                  <c:v>2.1230797799001166E-2</c:v>
                </c:pt>
                <c:pt idx="1216">
                  <c:v>2.1223239139288808E-2</c:v>
                </c:pt>
                <c:pt idx="1217">
                  <c:v>2.121579808416333E-2</c:v>
                </c:pt>
                <c:pt idx="1218">
                  <c:v>2.1208167864856509E-2</c:v>
                </c:pt>
                <c:pt idx="1219">
                  <c:v>2.1200504666263428E-2</c:v>
                </c:pt>
                <c:pt idx="1220">
                  <c:v>2.119280848857872E-2</c:v>
                </c:pt>
                <c:pt idx="1221">
                  <c:v>2.1185015399982146E-2</c:v>
                </c:pt>
                <c:pt idx="1222">
                  <c:v>2.1177256075626358E-2</c:v>
                </c:pt>
                <c:pt idx="1223">
                  <c:v>2.1167231345840733E-2</c:v>
                </c:pt>
                <c:pt idx="1224">
                  <c:v>2.1159396646328283E-2</c:v>
                </c:pt>
                <c:pt idx="1225">
                  <c:v>2.1150555935368749E-2</c:v>
                </c:pt>
                <c:pt idx="1226">
                  <c:v>2.1143677372958487E-2</c:v>
                </c:pt>
                <c:pt idx="1227">
                  <c:v>2.113574092492581E-2</c:v>
                </c:pt>
                <c:pt idx="1228">
                  <c:v>2.1127771499428898E-2</c:v>
                </c:pt>
                <c:pt idx="1229">
                  <c:v>2.1119769096669322E-2</c:v>
                </c:pt>
                <c:pt idx="1230">
                  <c:v>2.1111733716847797E-2</c:v>
                </c:pt>
                <c:pt idx="1231">
                  <c:v>2.1103665360167636E-2</c:v>
                </c:pt>
                <c:pt idx="1232">
                  <c:v>2.1095564026831288E-2</c:v>
                </c:pt>
                <c:pt idx="1233">
                  <c:v>2.1087429717041199E-2</c:v>
                </c:pt>
                <c:pt idx="1234">
                  <c:v>2.1079262431005028E-2</c:v>
                </c:pt>
                <c:pt idx="1235">
                  <c:v>2.1071062168925223E-2</c:v>
                </c:pt>
                <c:pt idx="1236">
                  <c:v>2.1062828931008571E-2</c:v>
                </c:pt>
                <c:pt idx="1237">
                  <c:v>2.1054562717463605E-2</c:v>
                </c:pt>
                <c:pt idx="1238">
                  <c:v>2.1046263528497117E-2</c:v>
                </c:pt>
                <c:pt idx="1239">
                  <c:v>2.1037931364317634E-2</c:v>
                </c:pt>
                <c:pt idx="1240">
                  <c:v>2.102956622513542E-2</c:v>
                </c:pt>
                <c:pt idx="1241">
                  <c:v>2.1021168111161614E-2</c:v>
                </c:pt>
                <c:pt idx="1242">
                  <c:v>2.1012737022606486E-2</c:v>
                </c:pt>
                <c:pt idx="1243">
                  <c:v>2.1004272083642989E-2</c:v>
                </c:pt>
                <c:pt idx="1244">
                  <c:v>2.0995777896040027E-2</c:v>
                </c:pt>
                <c:pt idx="1245">
                  <c:v>2.0987250736196741E-2</c:v>
                </c:pt>
                <c:pt idx="1246">
                  <c:v>2.097865825904742E-2</c:v>
                </c:pt>
                <c:pt idx="1247">
                  <c:v>2.0970086968563232E-2</c:v>
                </c:pt>
                <c:pt idx="1248">
                  <c:v>2.0961458037004381E-2</c:v>
                </c:pt>
                <c:pt idx="1249">
                  <c:v>2.0952796132365614E-2</c:v>
                </c:pt>
                <c:pt idx="1250">
                  <c:v>2.0944101254865011E-2</c:v>
                </c:pt>
                <c:pt idx="1251">
                  <c:v>2.0935373404722402E-2</c:v>
                </c:pt>
                <c:pt idx="1252">
                  <c:v>2.092661258215674E-2</c:v>
                </c:pt>
                <c:pt idx="1253">
                  <c:v>2.0917818787386983E-2</c:v>
                </c:pt>
                <c:pt idx="1254">
                  <c:v>2.0908992020637295E-2</c:v>
                </c:pt>
                <c:pt idx="1255">
                  <c:v>2.09001322821275E-2</c:v>
                </c:pt>
                <c:pt idx="1256">
                  <c:v>2.0891275871349185E-2</c:v>
                </c:pt>
                <c:pt idx="1257">
                  <c:v>2.0882353061409478E-2</c:v>
                </c:pt>
                <c:pt idx="1258">
                  <c:v>2.0873397282052685E-2</c:v>
                </c:pt>
                <c:pt idx="1259">
                  <c:v>2.0859210741343729E-2</c:v>
                </c:pt>
                <c:pt idx="1260">
                  <c:v>2.0854095307856129E-2</c:v>
                </c:pt>
                <c:pt idx="1261">
                  <c:v>2.0846332129705696E-2</c:v>
                </c:pt>
                <c:pt idx="1262">
                  <c:v>2.0837244474913499E-2</c:v>
                </c:pt>
                <c:pt idx="1263">
                  <c:v>2.0828123851825951E-2</c:v>
                </c:pt>
                <c:pt idx="1264">
                  <c:v>2.081897026066969E-2</c:v>
                </c:pt>
                <c:pt idx="1265">
                  <c:v>2.0809845626039269E-2</c:v>
                </c:pt>
                <c:pt idx="1266">
                  <c:v>2.0800628985526259E-2</c:v>
                </c:pt>
                <c:pt idx="1267">
                  <c:v>2.079137937927733E-2</c:v>
                </c:pt>
                <c:pt idx="1268">
                  <c:v>2.0782096807520745E-2</c:v>
                </c:pt>
                <c:pt idx="1269">
                  <c:v>2.0772634034560037E-2</c:v>
                </c:pt>
                <c:pt idx="1270">
                  <c:v>2.076327974686603E-2</c:v>
                </c:pt>
                <c:pt idx="1271">
                  <c:v>2.0753892491077685E-2</c:v>
                </c:pt>
                <c:pt idx="1272">
                  <c:v>2.0744472267431327E-2</c:v>
                </c:pt>
                <c:pt idx="1273">
                  <c:v>2.0735104415022226E-2</c:v>
                </c:pt>
                <c:pt idx="1274">
                  <c:v>2.0725621155842096E-2</c:v>
                </c:pt>
                <c:pt idx="1275">
                  <c:v>2.0716104931141541E-2</c:v>
                </c:pt>
                <c:pt idx="1276">
                  <c:v>2.0706555741160374E-2</c:v>
                </c:pt>
                <c:pt idx="1277">
                  <c:v>2.0696973586134884E-2</c:v>
                </c:pt>
                <c:pt idx="1278">
                  <c:v>2.0687258613857389E-2</c:v>
                </c:pt>
                <c:pt idx="1279">
                  <c:v>2.0677607621885714E-2</c:v>
                </c:pt>
                <c:pt idx="1280">
                  <c:v>2.0667923663974498E-2</c:v>
                </c:pt>
                <c:pt idx="1281">
                  <c:v>2.0658206740366149E-2</c:v>
                </c:pt>
                <c:pt idx="1282">
                  <c:v>2.0648456851307433E-2</c:v>
                </c:pt>
                <c:pt idx="1283">
                  <c:v>2.06386739970425E-2</c:v>
                </c:pt>
                <c:pt idx="1284">
                  <c:v>2.0628858177818107E-2</c:v>
                </c:pt>
                <c:pt idx="1285">
                  <c:v>2.0619009393880151E-2</c:v>
                </c:pt>
                <c:pt idx="1286">
                  <c:v>2.0609127645477121E-2</c:v>
                </c:pt>
                <c:pt idx="1287">
                  <c:v>2.0599212932856648E-2</c:v>
                </c:pt>
                <c:pt idx="1288">
                  <c:v>2.0589265256268967E-2</c:v>
                </c:pt>
                <c:pt idx="1289">
                  <c:v>2.0579284615964314E-2</c:v>
                </c:pt>
                <c:pt idx="1290">
                  <c:v>2.0569271012193791E-2</c:v>
                </c:pt>
                <c:pt idx="1291">
                  <c:v>2.0559224445207632E-2</c:v>
                </c:pt>
                <c:pt idx="1292">
                  <c:v>2.0549144915260418E-2</c:v>
                </c:pt>
                <c:pt idx="1293">
                  <c:v>2.0539032422604988E-2</c:v>
                </c:pt>
                <c:pt idx="1294">
                  <c:v>2.0528886967496791E-2</c:v>
                </c:pt>
                <c:pt idx="1295">
                  <c:v>2.0518858048913551E-2</c:v>
                </c:pt>
                <c:pt idx="1296">
                  <c:v>2.0508649604284147E-2</c:v>
                </c:pt>
                <c:pt idx="1297">
                  <c:v>2.0498408199533958E-2</c:v>
                </c:pt>
                <c:pt idx="1298">
                  <c:v>2.0488133834918602E-2</c:v>
                </c:pt>
                <c:pt idx="1299">
                  <c:v>2.0477665264105837E-2</c:v>
                </c:pt>
                <c:pt idx="1300">
                  <c:v>2.0467322039661947E-2</c:v>
                </c:pt>
                <c:pt idx="1301">
                  <c:v>2.0456945854568198E-2</c:v>
                </c:pt>
                <c:pt idx="1302">
                  <c:v>2.0446536709085247E-2</c:v>
                </c:pt>
                <c:pt idx="1303">
                  <c:v>2.0436094603475494E-2</c:v>
                </c:pt>
                <c:pt idx="1304">
                  <c:v>2.042561953800134E-2</c:v>
                </c:pt>
                <c:pt idx="1305">
                  <c:v>2.0415111512925181E-2</c:v>
                </c:pt>
                <c:pt idx="1306">
                  <c:v>2.040457052851289E-2</c:v>
                </c:pt>
                <c:pt idx="1307">
                  <c:v>2.0393996585028606E-2</c:v>
                </c:pt>
                <c:pt idx="1308">
                  <c:v>2.0383764934078563E-2</c:v>
                </c:pt>
                <c:pt idx="1309">
                  <c:v>2.0373130982487275E-2</c:v>
                </c:pt>
                <c:pt idx="1310">
                  <c:v>2.0362464075680542E-2</c:v>
                </c:pt>
                <c:pt idx="1311">
                  <c:v>2.0351764213920376E-2</c:v>
                </c:pt>
                <c:pt idx="1312">
                  <c:v>2.0341031397467901E-2</c:v>
                </c:pt>
                <c:pt idx="1313">
                  <c:v>2.0330265626591348E-2</c:v>
                </c:pt>
                <c:pt idx="1314">
                  <c:v>2.031946690155273E-2</c:v>
                </c:pt>
                <c:pt idx="1315">
                  <c:v>2.0308635222618499E-2</c:v>
                </c:pt>
                <c:pt idx="1316">
                  <c:v>2.0297770590055109E-2</c:v>
                </c:pt>
                <c:pt idx="1317">
                  <c:v>2.0287086839544975E-2</c:v>
                </c:pt>
                <c:pt idx="1318">
                  <c:v>2.0276159268411163E-2</c:v>
                </c:pt>
                <c:pt idx="1319">
                  <c:v>2.0265198745953887E-2</c:v>
                </c:pt>
                <c:pt idx="1320">
                  <c:v>2.0254205272438097E-2</c:v>
                </c:pt>
                <c:pt idx="1321">
                  <c:v>2.0242500824156812E-2</c:v>
                </c:pt>
                <c:pt idx="1322">
                  <c:v>2.0231432526975419E-2</c:v>
                </c:pt>
                <c:pt idx="1323">
                  <c:v>2.0220331275075942E-2</c:v>
                </c:pt>
                <c:pt idx="1324">
                  <c:v>2.0209197068739897E-2</c:v>
                </c:pt>
                <c:pt idx="1325">
                  <c:v>2.0198268114677946E-2</c:v>
                </c:pt>
                <c:pt idx="1326">
                  <c:v>2.0187070980607017E-2</c:v>
                </c:pt>
                <c:pt idx="1327">
                  <c:v>2.0175840894415938E-2</c:v>
                </c:pt>
                <c:pt idx="1328">
                  <c:v>2.0164577856384917E-2</c:v>
                </c:pt>
                <c:pt idx="1329">
                  <c:v>2.0153281866792418E-2</c:v>
                </c:pt>
                <c:pt idx="1330">
                  <c:v>2.014169980326393E-2</c:v>
                </c:pt>
                <c:pt idx="1331">
                  <c:v>2.0130334923750801E-2</c:v>
                </c:pt>
                <c:pt idx="1332">
                  <c:v>2.0118937092062774E-2</c:v>
                </c:pt>
                <c:pt idx="1333">
                  <c:v>2.0107506308486567E-2</c:v>
                </c:pt>
                <c:pt idx="1334">
                  <c:v>2.0096042573308916E-2</c:v>
                </c:pt>
                <c:pt idx="1335">
                  <c:v>2.0084545886822625E-2</c:v>
                </c:pt>
                <c:pt idx="1336">
                  <c:v>2.0073016249310082E-2</c:v>
                </c:pt>
                <c:pt idx="1337">
                  <c:v>2.0061453661066694E-2</c:v>
                </c:pt>
                <c:pt idx="1338">
                  <c:v>2.0049858122381803E-2</c:v>
                </c:pt>
                <c:pt idx="1339">
                  <c:v>2.0038229633545609E-2</c:v>
                </c:pt>
                <c:pt idx="1340">
                  <c:v>2.0026568194851792E-2</c:v>
                </c:pt>
                <c:pt idx="1341">
                  <c:v>2.0014873806593156E-2</c:v>
                </c:pt>
                <c:pt idx="1342">
                  <c:v>2.0003146469065123E-2</c:v>
                </c:pt>
                <c:pt idx="1343">
                  <c:v>1.9991386182560498E-2</c:v>
                </c:pt>
                <c:pt idx="1344">
                  <c:v>1.9979592947377302E-2</c:v>
                </c:pt>
                <c:pt idx="1345">
                  <c:v>1.9967766763810089E-2</c:v>
                </c:pt>
                <c:pt idx="1346">
                  <c:v>1.9955907632157745E-2</c:v>
                </c:pt>
                <c:pt idx="1347">
                  <c:v>1.9944319661667143E-2</c:v>
                </c:pt>
                <c:pt idx="1348">
                  <c:v>1.9932397646757784E-2</c:v>
                </c:pt>
                <c:pt idx="1349">
                  <c:v>1.992044268606518E-2</c:v>
                </c:pt>
                <c:pt idx="1350">
                  <c:v>1.9908454779884479E-2</c:v>
                </c:pt>
                <c:pt idx="1351">
                  <c:v>1.9896433928515225E-2</c:v>
                </c:pt>
                <c:pt idx="1352">
                  <c:v>1.9884060949202559E-2</c:v>
                </c:pt>
                <c:pt idx="1353">
                  <c:v>1.9871971189348463E-2</c:v>
                </c:pt>
                <c:pt idx="1354">
                  <c:v>1.9859848483816875E-2</c:v>
                </c:pt>
                <c:pt idx="1355">
                  <c:v>1.9847692832914505E-2</c:v>
                </c:pt>
                <c:pt idx="1356">
                  <c:v>1.9835504236945464E-2</c:v>
                </c:pt>
                <c:pt idx="1357">
                  <c:v>1.9823282696218195E-2</c:v>
                </c:pt>
                <c:pt idx="1358">
                  <c:v>1.9811028211038546E-2</c:v>
                </c:pt>
                <c:pt idx="1359">
                  <c:v>1.9798740781714959E-2</c:v>
                </c:pt>
                <c:pt idx="1360">
                  <c:v>1.9787106854609604E-2</c:v>
                </c:pt>
                <c:pt idx="1361">
                  <c:v>1.9774759597713576E-2</c:v>
                </c:pt>
                <c:pt idx="1362">
                  <c:v>1.9762379400322772E-2</c:v>
                </c:pt>
                <c:pt idx="1363">
                  <c:v>1.9749966262744501E-2</c:v>
                </c:pt>
                <c:pt idx="1364">
                  <c:v>1.973752018528252E-2</c:v>
                </c:pt>
                <c:pt idx="1365">
                  <c:v>1.9725041168241475E-2</c:v>
                </c:pt>
                <c:pt idx="1366">
                  <c:v>1.971252921193134E-2</c:v>
                </c:pt>
                <c:pt idx="1367">
                  <c:v>1.9699984316657648E-2</c:v>
                </c:pt>
                <c:pt idx="1368">
                  <c:v>1.9687406482730374E-2</c:v>
                </c:pt>
                <c:pt idx="1369">
                  <c:v>1.967516579591734E-2</c:v>
                </c:pt>
                <c:pt idx="1370">
                  <c:v>1.9662525127277883E-2</c:v>
                </c:pt>
                <c:pt idx="1371">
                  <c:v>1.9649851522245035E-2</c:v>
                </c:pt>
                <c:pt idx="1372">
                  <c:v>1.9637144981126869E-2</c:v>
                </c:pt>
                <c:pt idx="1373">
                  <c:v>1.9623257810651971E-2</c:v>
                </c:pt>
                <c:pt idx="1374">
                  <c:v>1.9610476256717593E-2</c:v>
                </c:pt>
                <c:pt idx="1375">
                  <c:v>1.9597661763683938E-2</c:v>
                </c:pt>
                <c:pt idx="1376">
                  <c:v>1.9584814331872494E-2</c:v>
                </c:pt>
                <c:pt idx="1377">
                  <c:v>1.9571933961606475E-2</c:v>
                </c:pt>
                <c:pt idx="1378">
                  <c:v>1.955941877238054E-2</c:v>
                </c:pt>
                <c:pt idx="1379">
                  <c:v>1.954647558013245E-2</c:v>
                </c:pt>
                <c:pt idx="1380">
                  <c:v>1.9533499451697831E-2</c:v>
                </c:pt>
                <c:pt idx="1381">
                  <c:v>1.952049038740258E-2</c:v>
                </c:pt>
                <c:pt idx="1382">
                  <c:v>1.9507038044822615E-2</c:v>
                </c:pt>
                <c:pt idx="1383">
                  <c:v>1.9493960050658482E-2</c:v>
                </c:pt>
                <c:pt idx="1384">
                  <c:v>1.9480849120326642E-2</c:v>
                </c:pt>
                <c:pt idx="1385">
                  <c:v>1.946770525415379E-2</c:v>
                </c:pt>
                <c:pt idx="1386">
                  <c:v>1.9454528452470969E-2</c:v>
                </c:pt>
                <c:pt idx="1387">
                  <c:v>1.9441318715610081E-2</c:v>
                </c:pt>
                <c:pt idx="1388">
                  <c:v>1.9428076043902173E-2</c:v>
                </c:pt>
                <c:pt idx="1389">
                  <c:v>1.9414800437682622E-2</c:v>
                </c:pt>
                <c:pt idx="1390">
                  <c:v>1.9401491897283345E-2</c:v>
                </c:pt>
                <c:pt idx="1391">
                  <c:v>1.9388150423040585E-2</c:v>
                </c:pt>
                <c:pt idx="1392">
                  <c:v>1.9374776015287126E-2</c:v>
                </c:pt>
                <c:pt idx="1393">
                  <c:v>1.9361368674361824E-2</c:v>
                </c:pt>
                <c:pt idx="1394">
                  <c:v>1.9347928400601802E-2</c:v>
                </c:pt>
                <c:pt idx="1395">
                  <c:v>1.9334455194342445E-2</c:v>
                </c:pt>
                <c:pt idx="1396">
                  <c:v>1.9320949055926084E-2</c:v>
                </c:pt>
                <c:pt idx="1397">
                  <c:v>1.9307409985690714E-2</c:v>
                </c:pt>
                <c:pt idx="1398">
                  <c:v>1.9293837983975191E-2</c:v>
                </c:pt>
                <c:pt idx="1399">
                  <c:v>1.9280695570676739E-2</c:v>
                </c:pt>
                <c:pt idx="1400">
                  <c:v>1.9267060787434065E-2</c:v>
                </c:pt>
                <c:pt idx="1401">
                  <c:v>1.9253393074956666E-2</c:v>
                </c:pt>
                <c:pt idx="1402">
                  <c:v>1.9239692433587127E-2</c:v>
                </c:pt>
                <c:pt idx="1403">
                  <c:v>1.9225958863662761E-2</c:v>
                </c:pt>
                <c:pt idx="1404">
                  <c:v>1.9211714431808732E-2</c:v>
                </c:pt>
                <c:pt idx="1405">
                  <c:v>1.9197911919346198E-2</c:v>
                </c:pt>
                <c:pt idx="1406">
                  <c:v>1.9184076478160436E-2</c:v>
                </c:pt>
                <c:pt idx="1407">
                  <c:v>1.9170208108595523E-2</c:v>
                </c:pt>
                <c:pt idx="1408">
                  <c:v>1.9156306811004217E-2</c:v>
                </c:pt>
                <c:pt idx="1409">
                  <c:v>1.9142372585732328E-2</c:v>
                </c:pt>
                <c:pt idx="1410">
                  <c:v>1.9128405433132618E-2</c:v>
                </c:pt>
                <c:pt idx="1411">
                  <c:v>1.9114405353555242E-2</c:v>
                </c:pt>
                <c:pt idx="1412">
                  <c:v>1.9101377351884885E-2</c:v>
                </c:pt>
                <c:pt idx="1413">
                  <c:v>1.9087317611089283E-2</c:v>
                </c:pt>
                <c:pt idx="1414">
                  <c:v>1.9073224946711598E-2</c:v>
                </c:pt>
                <c:pt idx="1415">
                  <c:v>1.9059099359098219E-2</c:v>
                </c:pt>
                <c:pt idx="1416">
                  <c:v>1.9042400338111484E-2</c:v>
                </c:pt>
                <c:pt idx="1417">
                  <c:v>1.9028719380449033E-2</c:v>
                </c:pt>
                <c:pt idx="1418">
                  <c:v>1.9014490322078359E-2</c:v>
                </c:pt>
                <c:pt idx="1419">
                  <c:v>1.9000228341917058E-2</c:v>
                </c:pt>
                <c:pt idx="1420">
                  <c:v>1.8985933440316849E-2</c:v>
                </c:pt>
                <c:pt idx="1421">
                  <c:v>1.8972135995635572E-2</c:v>
                </c:pt>
                <c:pt idx="1422">
                  <c:v>1.895777835828329E-2</c:v>
                </c:pt>
                <c:pt idx="1423">
                  <c:v>1.8943387801680759E-2</c:v>
                </c:pt>
                <c:pt idx="1424">
                  <c:v>1.8928964326179163E-2</c:v>
                </c:pt>
                <c:pt idx="1425">
                  <c:v>1.8911790730351728E-2</c:v>
                </c:pt>
                <c:pt idx="1426">
                  <c:v>1.8897285863209452E-2</c:v>
                </c:pt>
                <c:pt idx="1427">
                  <c:v>1.8882748072643184E-2</c:v>
                </c:pt>
                <c:pt idx="1428">
                  <c:v>1.886094651668712E-2</c:v>
                </c:pt>
                <c:pt idx="1429">
                  <c:v>1.8855242344954472E-2</c:v>
                </c:pt>
                <c:pt idx="1430">
                  <c:v>1.8840615133212859E-2</c:v>
                </c:pt>
                <c:pt idx="1431">
                  <c:v>1.8825955002846933E-2</c:v>
                </c:pt>
                <c:pt idx="1432">
                  <c:v>1.8811261954217725E-2</c:v>
                </c:pt>
                <c:pt idx="1433">
                  <c:v>1.8796535987692421E-2</c:v>
                </c:pt>
                <c:pt idx="1434">
                  <c:v>1.8780061714320357E-2</c:v>
                </c:pt>
                <c:pt idx="1435">
                  <c:v>1.8765260549888398E-2</c:v>
                </c:pt>
                <c:pt idx="1436">
                  <c:v>1.875042646542548E-2</c:v>
                </c:pt>
                <c:pt idx="1437">
                  <c:v>1.8735559461311727E-2</c:v>
                </c:pt>
                <c:pt idx="1438">
                  <c:v>1.8720659537932366E-2</c:v>
                </c:pt>
                <c:pt idx="1439">
                  <c:v>1.8705726695666662E-2</c:v>
                </c:pt>
                <c:pt idx="1440">
                  <c:v>1.8690761578898738E-2</c:v>
                </c:pt>
                <c:pt idx="1441">
                  <c:v>1.8675768806299998E-2</c:v>
                </c:pt>
                <c:pt idx="1442">
                  <c:v>1.8662536172767415E-2</c:v>
                </c:pt>
                <c:pt idx="1443">
                  <c:v>1.8645724829209152E-2</c:v>
                </c:pt>
                <c:pt idx="1444">
                  <c:v>1.8630685896750647E-2</c:v>
                </c:pt>
                <c:pt idx="1445">
                  <c:v>1.8615643849547087E-2</c:v>
                </c:pt>
                <c:pt idx="1446">
                  <c:v>1.8600604823378011E-2</c:v>
                </c:pt>
                <c:pt idx="1447">
                  <c:v>1.8585574953920918E-2</c:v>
                </c:pt>
                <c:pt idx="1448">
                  <c:v>1.8570560376765723E-2</c:v>
                </c:pt>
                <c:pt idx="1449">
                  <c:v>1.8555567227401128E-2</c:v>
                </c:pt>
                <c:pt idx="1450">
                  <c:v>1.8540601641222312E-2</c:v>
                </c:pt>
                <c:pt idx="1451">
                  <c:v>1.8527416584024129E-2</c:v>
                </c:pt>
                <c:pt idx="1452">
                  <c:v>1.8512516347220613E-2</c:v>
                </c:pt>
                <c:pt idx="1453">
                  <c:v>1.8497661871725687E-2</c:v>
                </c:pt>
                <c:pt idx="1454">
                  <c:v>1.8482856664156763E-2</c:v>
                </c:pt>
                <c:pt idx="1455">
                  <c:v>1.846638724316553E-2</c:v>
                </c:pt>
                <c:pt idx="1456">
                  <c:v>1.8451689307863495E-2</c:v>
                </c:pt>
                <c:pt idx="1457">
                  <c:v>1.8437040845156842E-2</c:v>
                </c:pt>
                <c:pt idx="1458">
                  <c:v>1.8422441854484318E-2</c:v>
                </c:pt>
                <c:pt idx="1459">
                  <c:v>1.840789233528127E-2</c:v>
                </c:pt>
                <c:pt idx="1460">
                  <c:v>1.839339228698899E-2</c:v>
                </c:pt>
                <c:pt idx="1461">
                  <c:v>1.8378941709045381E-2</c:v>
                </c:pt>
                <c:pt idx="1462">
                  <c:v>1.8364540600895991E-2</c:v>
                </c:pt>
                <c:pt idx="1463">
                  <c:v>1.8350188961985519E-2</c:v>
                </c:pt>
                <c:pt idx="1464">
                  <c:v>1.8337525042435115E-2</c:v>
                </c:pt>
                <c:pt idx="1465">
                  <c:v>1.8323263913731666E-2</c:v>
                </c:pt>
                <c:pt idx="1466">
                  <c:v>1.8309052243513878E-2</c:v>
                </c:pt>
                <c:pt idx="1467">
                  <c:v>1.8294890031251183E-2</c:v>
                </c:pt>
                <c:pt idx="1468">
                  <c:v>1.827474409281284E-2</c:v>
                </c:pt>
                <c:pt idx="1469">
                  <c:v>1.8260701990532764E-2</c:v>
                </c:pt>
                <c:pt idx="1470">
                  <c:v>1.8246181118798825E-2</c:v>
                </c:pt>
                <c:pt idx="1471">
                  <c:v>1.823276615390506E-2</c:v>
                </c:pt>
                <c:pt idx="1472">
                  <c:v>1.8218872418516507E-2</c:v>
                </c:pt>
                <c:pt idx="1473">
                  <c:v>1.8205028137716947E-2</c:v>
                </c:pt>
                <c:pt idx="1474">
                  <c:v>1.8191233310993385E-2</c:v>
                </c:pt>
                <c:pt idx="1475">
                  <c:v>1.8177487937831072E-2</c:v>
                </c:pt>
                <c:pt idx="1476">
                  <c:v>1.816379201771437E-2</c:v>
                </c:pt>
                <c:pt idx="1477">
                  <c:v>1.8149637182407381E-2</c:v>
                </c:pt>
                <c:pt idx="1478">
                  <c:v>1.8136043015596012E-2</c:v>
                </c:pt>
                <c:pt idx="1479">
                  <c:v>1.8122498303263419E-2</c:v>
                </c:pt>
                <c:pt idx="1480">
                  <c:v>1.8109003044896963E-2</c:v>
                </c:pt>
                <c:pt idx="1481">
                  <c:v>1.8096054195026242E-2</c:v>
                </c:pt>
                <c:pt idx="1482">
                  <c:v>1.8082654982529773E-2</c:v>
                </c:pt>
                <c:pt idx="1483">
                  <c:v>1.8065500084038139E-2</c:v>
                </c:pt>
                <c:pt idx="1484">
                  <c:v>1.8056004905565203E-2</c:v>
                </c:pt>
                <c:pt idx="1485">
                  <c:v>1.8042754040103613E-2</c:v>
                </c:pt>
                <c:pt idx="1486">
                  <c:v>1.8027188529981943E-2</c:v>
                </c:pt>
                <c:pt idx="1487">
                  <c:v>1.8014046499551954E-2</c:v>
                </c:pt>
                <c:pt idx="1488">
                  <c:v>1.8000953919000071E-2</c:v>
                </c:pt>
                <c:pt idx="1489">
                  <c:v>1.7987910787831903E-2</c:v>
                </c:pt>
                <c:pt idx="1490">
                  <c:v>1.7974917105554808E-2</c:v>
                </c:pt>
                <c:pt idx="1491">
                  <c:v>1.7961972871679603E-2</c:v>
                </c:pt>
                <c:pt idx="1492">
                  <c:v>1.7949078085717125E-2</c:v>
                </c:pt>
                <c:pt idx="1493">
                  <c:v>1.7936232747183402E-2</c:v>
                </c:pt>
                <c:pt idx="1494">
                  <c:v>1.7923436855591005E-2</c:v>
                </c:pt>
                <c:pt idx="1495">
                  <c:v>1.791069041045858E-2</c:v>
                </c:pt>
                <c:pt idx="1496">
                  <c:v>1.7897993411306507E-2</c:v>
                </c:pt>
                <c:pt idx="1497">
                  <c:v>1.788534585765517E-2</c:v>
                </c:pt>
                <c:pt idx="1498">
                  <c:v>1.7872747749025825E-2</c:v>
                </c:pt>
                <c:pt idx="1499">
                  <c:v>1.7860199084945801E-2</c:v>
                </c:pt>
                <c:pt idx="1500">
                  <c:v>1.7847699864939833E-2</c:v>
                </c:pt>
                <c:pt idx="1501">
                  <c:v>1.7835250088539596E-2</c:v>
                </c:pt>
                <c:pt idx="1502">
                  <c:v>1.7822849755270685E-2</c:v>
                </c:pt>
                <c:pt idx="1503">
                  <c:v>1.7810931799926603E-2</c:v>
                </c:pt>
                <c:pt idx="1504">
                  <c:v>1.7798627427176032E-2</c:v>
                </c:pt>
                <c:pt idx="1505">
                  <c:v>1.7786372493339083E-2</c:v>
                </c:pt>
                <c:pt idx="1506">
                  <c:v>1.7774166997958977E-2</c:v>
                </c:pt>
                <c:pt idx="1507">
                  <c:v>1.7761589719642108E-2</c:v>
                </c:pt>
                <c:pt idx="1508">
                  <c:v>1.774948603542461E-2</c:v>
                </c:pt>
                <c:pt idx="1509">
                  <c:v>1.7737431791104503E-2</c:v>
                </c:pt>
                <c:pt idx="1510">
                  <c:v>1.7725426986231717E-2</c:v>
                </c:pt>
                <c:pt idx="1511">
                  <c:v>1.7713471620349221E-2</c:v>
                </c:pt>
                <c:pt idx="1512">
                  <c:v>1.7701565693009555E-2</c:v>
                </c:pt>
                <c:pt idx="1513">
                  <c:v>1.7689709203761766E-2</c:v>
                </c:pt>
                <c:pt idx="1514">
                  <c:v>1.7677902152158389E-2</c:v>
                </c:pt>
                <c:pt idx="1515">
                  <c:v>1.7666144537756303E-2</c:v>
                </c:pt>
                <c:pt idx="1516">
                  <c:v>1.7655226029305915E-2</c:v>
                </c:pt>
                <c:pt idx="1517">
                  <c:v>1.7643561367002292E-2</c:v>
                </c:pt>
                <c:pt idx="1518">
                  <c:v>1.7631946135051813E-2</c:v>
                </c:pt>
                <c:pt idx="1519">
                  <c:v>1.7620380333025487E-2</c:v>
                </c:pt>
                <c:pt idx="1520">
                  <c:v>1.7607222799459699E-2</c:v>
                </c:pt>
                <c:pt idx="1521">
                  <c:v>1.7595762917267166E-2</c:v>
                </c:pt>
                <c:pt idx="1522">
                  <c:v>1.7584352463666519E-2</c:v>
                </c:pt>
                <c:pt idx="1523">
                  <c:v>1.7572991438232322E-2</c:v>
                </c:pt>
                <c:pt idx="1524">
                  <c:v>1.7561679840549793E-2</c:v>
                </c:pt>
                <c:pt idx="1525">
                  <c:v>1.7550785744180068E-2</c:v>
                </c:pt>
                <c:pt idx="1526">
                  <c:v>1.7539570015736108E-2</c:v>
                </c:pt>
                <c:pt idx="1527">
                  <c:v>1.7528403711075866E-2</c:v>
                </c:pt>
                <c:pt idx="1528">
                  <c:v>1.7517286829790681E-2</c:v>
                </c:pt>
                <c:pt idx="1529">
                  <c:v>1.7505151841029392E-2</c:v>
                </c:pt>
                <c:pt idx="1530">
                  <c:v>1.7494142793961512E-2</c:v>
                </c:pt>
                <c:pt idx="1531">
                  <c:v>1.7483183177161337E-2</c:v>
                </c:pt>
                <c:pt idx="1532">
                  <c:v>1.7472272990219629E-2</c:v>
                </c:pt>
                <c:pt idx="1533">
                  <c:v>1.7461755799496402E-2</c:v>
                </c:pt>
                <c:pt idx="1534">
                  <c:v>1.7449400593329233E-2</c:v>
                </c:pt>
                <c:pt idx="1535">
                  <c:v>1.7438642744262281E-2</c:v>
                </c:pt>
                <c:pt idx="1536">
                  <c:v>1.7427934320680575E-2</c:v>
                </c:pt>
                <c:pt idx="1537">
                  <c:v>1.7416944231948141E-2</c:v>
                </c:pt>
                <c:pt idx="1538">
                  <c:v>1.7406337676596738E-2</c:v>
                </c:pt>
                <c:pt idx="1539">
                  <c:v>1.7395780548202646E-2</c:v>
                </c:pt>
                <c:pt idx="1540">
                  <c:v>1.7385272846370526E-2</c:v>
                </c:pt>
                <c:pt idx="1541">
                  <c:v>1.7374814570701568E-2</c:v>
                </c:pt>
                <c:pt idx="1542">
                  <c:v>1.7364405720802174E-2</c:v>
                </c:pt>
                <c:pt idx="1543">
                  <c:v>1.7354046296280488E-2</c:v>
                </c:pt>
                <c:pt idx="1544">
                  <c:v>1.7343736296744641E-2</c:v>
                </c:pt>
                <c:pt idx="1545">
                  <c:v>1.7333475721806255E-2</c:v>
                </c:pt>
                <c:pt idx="1546">
                  <c:v>1.7323264571080414E-2</c:v>
                </c:pt>
                <c:pt idx="1547">
                  <c:v>1.7313102844179609E-2</c:v>
                </c:pt>
                <c:pt idx="1548">
                  <c:v>1.730299054072066E-2</c:v>
                </c:pt>
                <c:pt idx="1549">
                  <c:v>1.7292927660323882E-2</c:v>
                </c:pt>
                <c:pt idx="1550">
                  <c:v>1.728291420260783E-2</c:v>
                </c:pt>
                <c:pt idx="1551">
                  <c:v>1.727295016719629E-2</c:v>
                </c:pt>
                <c:pt idx="1552">
                  <c:v>1.7263035553712169E-2</c:v>
                </c:pt>
                <c:pt idx="1553">
                  <c:v>1.7253170361783591E-2</c:v>
                </c:pt>
                <c:pt idx="1554">
                  <c:v>1.7243354591036944E-2</c:v>
                </c:pt>
                <c:pt idx="1555">
                  <c:v>1.7233864594598667E-2</c:v>
                </c:pt>
                <c:pt idx="1556">
                  <c:v>1.7224144599291571E-2</c:v>
                </c:pt>
                <c:pt idx="1557">
                  <c:v>1.7214474021468206E-2</c:v>
                </c:pt>
                <c:pt idx="1558">
                  <c:v>1.720485286077018E-2</c:v>
                </c:pt>
                <c:pt idx="1559">
                  <c:v>1.7194226527875126E-2</c:v>
                </c:pt>
                <c:pt idx="1560">
                  <c:v>1.7185497790790566E-2</c:v>
                </c:pt>
                <c:pt idx="1561">
                  <c:v>1.7176027958060412E-2</c:v>
                </c:pt>
                <c:pt idx="1562">
                  <c:v>1.7166607543604079E-2</c:v>
                </c:pt>
                <c:pt idx="1563">
                  <c:v>1.715723654706533E-2</c:v>
                </c:pt>
                <c:pt idx="1564">
                  <c:v>1.7147914968092273E-2</c:v>
                </c:pt>
                <c:pt idx="1565">
                  <c:v>1.7138642806332146E-2</c:v>
                </c:pt>
                <c:pt idx="1566">
                  <c:v>1.7129420061434794E-2</c:v>
                </c:pt>
                <c:pt idx="1567">
                  <c:v>1.7120246733054408E-2</c:v>
                </c:pt>
                <c:pt idx="1568">
                  <c:v>1.7111595702226978E-2</c:v>
                </c:pt>
                <c:pt idx="1569">
                  <c:v>1.7102515007716868E-2</c:v>
                </c:pt>
                <c:pt idx="1570">
                  <c:v>1.7093483723600755E-2</c:v>
                </c:pt>
                <c:pt idx="1571">
                  <c:v>1.708450184954291E-2</c:v>
                </c:pt>
                <c:pt idx="1572">
                  <c:v>1.7075569385216482E-2</c:v>
                </c:pt>
                <c:pt idx="1573">
                  <c:v>1.7066686330287517E-2</c:v>
                </c:pt>
                <c:pt idx="1574">
                  <c:v>1.7057852684431829E-2</c:v>
                </c:pt>
                <c:pt idx="1575">
                  <c:v>1.7049068447320792E-2</c:v>
                </c:pt>
                <c:pt idx="1576">
                  <c:v>1.7040333618632886E-2</c:v>
                </c:pt>
                <c:pt idx="1577">
                  <c:v>1.7031857092441774E-2</c:v>
                </c:pt>
                <c:pt idx="1578">
                  <c:v>1.7023217958303818E-2</c:v>
                </c:pt>
                <c:pt idx="1579">
                  <c:v>1.7014628229113413E-2</c:v>
                </c:pt>
                <c:pt idx="1580">
                  <c:v>1.7006087904554407E-2</c:v>
                </c:pt>
                <c:pt idx="1581">
                  <c:v>1.6997008679543603E-2</c:v>
                </c:pt>
                <c:pt idx="1582">
                  <c:v>1.6988576558430953E-2</c:v>
                </c:pt>
                <c:pt idx="1583">
                  <c:v>1.6980193848522999E-2</c:v>
                </c:pt>
                <c:pt idx="1584">
                  <c:v>1.6971860549504336E-2</c:v>
                </c:pt>
                <c:pt idx="1585">
                  <c:v>1.6963759927053738E-2</c:v>
                </c:pt>
                <c:pt idx="1586">
                  <c:v>1.6955522306846674E-2</c:v>
                </c:pt>
                <c:pt idx="1587">
                  <c:v>1.6947334094105863E-2</c:v>
                </c:pt>
                <c:pt idx="1588">
                  <c:v>1.6939195288522977E-2</c:v>
                </c:pt>
                <c:pt idx="1589">
                  <c:v>1.6931105889797595E-2</c:v>
                </c:pt>
                <c:pt idx="1590">
                  <c:v>1.6922898366580633E-2</c:v>
                </c:pt>
                <c:pt idx="1591">
                  <c:v>1.6914910935087023E-2</c:v>
                </c:pt>
                <c:pt idx="1592">
                  <c:v>1.6906972912019463E-2</c:v>
                </c:pt>
                <c:pt idx="1593">
                  <c:v>1.6899084297079054E-2</c:v>
                </c:pt>
                <c:pt idx="1594">
                  <c:v>1.6891245089969517E-2</c:v>
                </c:pt>
                <c:pt idx="1595">
                  <c:v>1.6883455290393697E-2</c:v>
                </c:pt>
                <c:pt idx="1596">
                  <c:v>1.6875714898058784E-2</c:v>
                </c:pt>
                <c:pt idx="1597">
                  <c:v>1.6868023912671969E-2</c:v>
                </c:pt>
                <c:pt idx="1598">
                  <c:v>1.6860382333945656E-2</c:v>
                </c:pt>
                <c:pt idx="1599">
                  <c:v>1.6852790161588773E-2</c:v>
                </c:pt>
                <c:pt idx="1600">
                  <c:v>1.6845247395316329E-2</c:v>
                </c:pt>
                <c:pt idx="1601">
                  <c:v>1.6837754034844207E-2</c:v>
                </c:pt>
                <c:pt idx="1602">
                  <c:v>1.6830310079888285E-2</c:v>
                </c:pt>
                <c:pt idx="1603">
                  <c:v>1.6822915530169655E-2</c:v>
                </c:pt>
                <c:pt idx="1604">
                  <c:v>1.6815570385408544E-2</c:v>
                </c:pt>
                <c:pt idx="1605">
                  <c:v>1.6808274645328646E-2</c:v>
                </c:pt>
                <c:pt idx="1606">
                  <c:v>1.6801028309653663E-2</c:v>
                </c:pt>
                <c:pt idx="1607">
                  <c:v>1.6793944950015332E-2</c:v>
                </c:pt>
                <c:pt idx="1608">
                  <c:v>1.6786794226321282E-2</c:v>
                </c:pt>
                <c:pt idx="1609">
                  <c:v>1.6779692903797858E-2</c:v>
                </c:pt>
                <c:pt idx="1610">
                  <c:v>1.6772640982182414E-2</c:v>
                </c:pt>
                <c:pt idx="1611">
                  <c:v>1.6765537687868759E-2</c:v>
                </c:pt>
                <c:pt idx="1612">
                  <c:v>1.6758587772955625E-2</c:v>
                </c:pt>
                <c:pt idx="1613">
                  <c:v>1.6751687260574123E-2</c:v>
                </c:pt>
                <c:pt idx="1614">
                  <c:v>1.6744836150466198E-2</c:v>
                </c:pt>
                <c:pt idx="1615">
                  <c:v>1.6738034442370316E-2</c:v>
                </c:pt>
                <c:pt idx="1616">
                  <c:v>1.6731282136031905E-2</c:v>
                </c:pt>
                <c:pt idx="1617">
                  <c:v>1.672457923119551E-2</c:v>
                </c:pt>
                <c:pt idx="1618">
                  <c:v>1.6717925727610036E-2</c:v>
                </c:pt>
                <c:pt idx="1619">
                  <c:v>1.6711321625022632E-2</c:v>
                </c:pt>
                <c:pt idx="1620">
                  <c:v>1.6704910900140035E-2</c:v>
                </c:pt>
                <c:pt idx="1621">
                  <c:v>1.6698399144607912E-2</c:v>
                </c:pt>
                <c:pt idx="1622">
                  <c:v>1.6691936784560824E-2</c:v>
                </c:pt>
                <c:pt idx="1623">
                  <c:v>1.6685523819762516E-2</c:v>
                </c:pt>
                <c:pt idx="1624">
                  <c:v>1.6679160249974956E-2</c:v>
                </c:pt>
                <c:pt idx="1625">
                  <c:v>1.6672846074962777E-2</c:v>
                </c:pt>
                <c:pt idx="1626">
                  <c:v>1.6666581294495941E-2</c:v>
                </c:pt>
                <c:pt idx="1627">
                  <c:v>1.6660365908341745E-2</c:v>
                </c:pt>
                <c:pt idx="1628">
                  <c:v>1.6654199916269263E-2</c:v>
                </c:pt>
                <c:pt idx="1629">
                  <c:v>1.6648126639532974E-2</c:v>
                </c:pt>
                <c:pt idx="1630">
                  <c:v>1.6642056186955509E-2</c:v>
                </c:pt>
                <c:pt idx="1631">
                  <c:v>1.6636035125421209E-2</c:v>
                </c:pt>
                <c:pt idx="1632">
                  <c:v>1.6630063454710922E-2</c:v>
                </c:pt>
                <c:pt idx="1633">
                  <c:v>1.6624051157618686E-2</c:v>
                </c:pt>
                <c:pt idx="1634">
                  <c:v>1.6618188041175899E-2</c:v>
                </c:pt>
                <c:pt idx="1635">
                  <c:v>1.6612374321969849E-2</c:v>
                </c:pt>
                <c:pt idx="1636">
                  <c:v>1.6606609999784187E-2</c:v>
                </c:pt>
                <c:pt idx="1637">
                  <c:v>1.6600911723919923E-2</c:v>
                </c:pt>
                <c:pt idx="1638">
                  <c:v>1.6595242927636547E-2</c:v>
                </c:pt>
                <c:pt idx="1639">
                  <c:v>1.658962352537699E-2</c:v>
                </c:pt>
                <c:pt idx="1640">
                  <c:v>1.6584053516936575E-2</c:v>
                </c:pt>
                <c:pt idx="1641">
                  <c:v>1.6578532902105363E-2</c:v>
                </c:pt>
                <c:pt idx="1642">
                  <c:v>1.6573061392015837E-2</c:v>
                </c:pt>
                <c:pt idx="1643">
                  <c:v>1.6567642842980287E-2</c:v>
                </c:pt>
                <c:pt idx="1644">
                  <c:v>1.6562273689276041E-2</c:v>
                </c:pt>
                <c:pt idx="1645">
                  <c:v>1.6556953930701519E-2</c:v>
                </c:pt>
                <c:pt idx="1646">
                  <c:v>1.6551683567056014E-2</c:v>
                </c:pt>
                <c:pt idx="1647">
                  <c:v>1.6546462598140556E-2</c:v>
                </c:pt>
                <c:pt idx="1648">
                  <c:v>1.6541291023759647E-2</c:v>
                </c:pt>
                <c:pt idx="1649">
                  <c:v>1.6536168843716052E-2</c:v>
                </c:pt>
                <c:pt idx="1650">
                  <c:v>1.6531096057819494E-2</c:v>
                </c:pt>
                <c:pt idx="1651">
                  <c:v>1.652607266587534E-2</c:v>
                </c:pt>
                <c:pt idx="1652">
                  <c:v>1.6521098667696785E-2</c:v>
                </c:pt>
                <c:pt idx="1653">
                  <c:v>1.6516174063095284E-2</c:v>
                </c:pt>
                <c:pt idx="1654">
                  <c:v>1.6511298851885771E-2</c:v>
                </c:pt>
                <c:pt idx="1655">
                  <c:v>1.6506473033883171E-2</c:v>
                </c:pt>
                <c:pt idx="1656">
                  <c:v>1.6501696608905898E-2</c:v>
                </c:pt>
                <c:pt idx="1657">
                  <c:v>1.6496969576774954E-2</c:v>
                </c:pt>
                <c:pt idx="1658">
                  <c:v>1.649229193731136E-2</c:v>
                </c:pt>
                <c:pt idx="1659">
                  <c:v>1.6487607916619948E-2</c:v>
                </c:pt>
                <c:pt idx="1660">
                  <c:v>1.6483025743354952E-2</c:v>
                </c:pt>
                <c:pt idx="1661">
                  <c:v>1.6478492959931621E-2</c:v>
                </c:pt>
                <c:pt idx="1662">
                  <c:v>1.6474009566179542E-2</c:v>
                </c:pt>
                <c:pt idx="1663">
                  <c:v>1.6469575561934457E-2</c:v>
                </c:pt>
                <c:pt idx="1664">
                  <c:v>1.6465263336797105E-2</c:v>
                </c:pt>
                <c:pt idx="1665">
                  <c:v>1.646093144117055E-2</c:v>
                </c:pt>
                <c:pt idx="1666">
                  <c:v>1.6456648936853297E-2</c:v>
                </c:pt>
                <c:pt idx="1667">
                  <c:v>1.6452415823681999E-2</c:v>
                </c:pt>
                <c:pt idx="1668">
                  <c:v>1.6448232101498522E-2</c:v>
                </c:pt>
                <c:pt idx="1669">
                  <c:v>1.6444097770144734E-2</c:v>
                </c:pt>
                <c:pt idx="1670">
                  <c:v>1.6440012829465105E-2</c:v>
                </c:pt>
                <c:pt idx="1671">
                  <c:v>1.6435977279305847E-2</c:v>
                </c:pt>
                <c:pt idx="1672">
                  <c:v>1.6431892024793615E-2</c:v>
                </c:pt>
                <c:pt idx="1673">
                  <c:v>1.6427951906811403E-2</c:v>
                </c:pt>
                <c:pt idx="1674">
                  <c:v>1.6424061176617995E-2</c:v>
                </c:pt>
                <c:pt idx="1675">
                  <c:v>1.6420219834067575E-2</c:v>
                </c:pt>
                <c:pt idx="1676">
                  <c:v>1.6416427879013443E-2</c:v>
                </c:pt>
                <c:pt idx="1677">
                  <c:v>1.6412685311321205E-2</c:v>
                </c:pt>
                <c:pt idx="1678">
                  <c:v>1.6408992130845918E-2</c:v>
                </c:pt>
                <c:pt idx="1679">
                  <c:v>1.6405348337450554E-2</c:v>
                </c:pt>
                <c:pt idx="1680">
                  <c:v>1.6401753931000709E-2</c:v>
                </c:pt>
                <c:pt idx="1681">
                  <c:v>1.6398079924083042E-2</c:v>
                </c:pt>
                <c:pt idx="1682">
                  <c:v>1.6394580922555413E-2</c:v>
                </c:pt>
                <c:pt idx="1683">
                  <c:v>1.6391131305306672E-2</c:v>
                </c:pt>
                <c:pt idx="1684">
                  <c:v>1.638773107220981E-2</c:v>
                </c:pt>
                <c:pt idx="1685">
                  <c:v>1.6384665499819612E-2</c:v>
                </c:pt>
                <c:pt idx="1686">
                  <c:v>1.6381370790238801E-2</c:v>
                </c:pt>
                <c:pt idx="1687">
                  <c:v>1.6378125468966217E-2</c:v>
                </c:pt>
                <c:pt idx="1688">
                  <c:v>1.6374929535881953E-2</c:v>
                </c:pt>
                <c:pt idx="1689">
                  <c:v>1.6371782990862633E-2</c:v>
                </c:pt>
                <c:pt idx="1690">
                  <c:v>1.6368526119883618E-2</c:v>
                </c:pt>
                <c:pt idx="1691">
                  <c:v>1.6365474961384133E-2</c:v>
                </c:pt>
                <c:pt idx="1692">
                  <c:v>1.6362473188342132E-2</c:v>
                </c:pt>
                <c:pt idx="1693">
                  <c:v>1.6359520800646055E-2</c:v>
                </c:pt>
                <c:pt idx="1694">
                  <c:v>1.6356729412394522E-2</c:v>
                </c:pt>
                <c:pt idx="1695">
                  <c:v>1.6353893046833375E-2</c:v>
                </c:pt>
                <c:pt idx="1696">
                  <c:v>1.6351106073036952E-2</c:v>
                </c:pt>
                <c:pt idx="1697">
                  <c:v>1.6348368490898952E-2</c:v>
                </c:pt>
                <c:pt idx="1698">
                  <c:v>1.6345680300315628E-2</c:v>
                </c:pt>
                <c:pt idx="1699">
                  <c:v>1.6343041501180683E-2</c:v>
                </c:pt>
                <c:pt idx="1700">
                  <c:v>1.6340451894630209E-2</c:v>
                </c:pt>
                <c:pt idx="1701">
                  <c:v>1.6337910055172995E-2</c:v>
                </c:pt>
                <c:pt idx="1702">
                  <c:v>1.6334812721499427E-2</c:v>
                </c:pt>
                <c:pt idx="1703">
                  <c:v>1.6332962104841836E-2</c:v>
                </c:pt>
                <c:pt idx="1704">
                  <c:v>1.6330552206253915E-2</c:v>
                </c:pt>
                <c:pt idx="1705">
                  <c:v>1.6328182500252277E-2</c:v>
                </c:pt>
                <c:pt idx="1706">
                  <c:v>1.6325851092996942E-2</c:v>
                </c:pt>
                <c:pt idx="1707">
                  <c:v>1.632355609064963E-2</c:v>
                </c:pt>
                <c:pt idx="1708">
                  <c:v>1.6321295599382269E-2</c:v>
                </c:pt>
                <c:pt idx="1709">
                  <c:v>1.6319067725370187E-2</c:v>
                </c:pt>
                <c:pt idx="1710">
                  <c:v>1.6316870574793814E-2</c:v>
                </c:pt>
                <c:pt idx="1711">
                  <c:v>1.6314045243656521E-2</c:v>
                </c:pt>
                <c:pt idx="1712">
                  <c:v>1.631189897700816E-2</c:v>
                </c:pt>
                <c:pt idx="1713">
                  <c:v>1.6309777810273155E-2</c:v>
                </c:pt>
                <c:pt idx="1714">
                  <c:v>1.6307680660904704E-2</c:v>
                </c:pt>
                <c:pt idx="1715">
                  <c:v>1.6306283911019254E-2</c:v>
                </c:pt>
                <c:pt idx="1716">
                  <c:v>1.6304239530957419E-2</c:v>
                </c:pt>
                <c:pt idx="1717">
                  <c:v>1.6302219110597042E-2</c:v>
                </c:pt>
                <c:pt idx="1718">
                  <c:v>1.6300222649901556E-2</c:v>
                </c:pt>
                <c:pt idx="1719">
                  <c:v>1.6298250148832689E-2</c:v>
                </c:pt>
                <c:pt idx="1720">
                  <c:v>1.6296301607354735E-2</c:v>
                </c:pt>
                <c:pt idx="1721">
                  <c:v>1.6294377025430268E-2</c:v>
                </c:pt>
                <c:pt idx="1722">
                  <c:v>1.6292476403022723E-2</c:v>
                </c:pt>
                <c:pt idx="1723">
                  <c:v>1.629059974009894E-2</c:v>
                </c:pt>
                <c:pt idx="1724">
                  <c:v>1.6287787004466203E-2</c:v>
                </c:pt>
                <c:pt idx="1725">
                  <c:v>1.62859517463394E-2</c:v>
                </c:pt>
                <c:pt idx="1726">
                  <c:v>1.6284140443237227E-2</c:v>
                </c:pt>
                <c:pt idx="1727">
                  <c:v>1.6282353095126822E-2</c:v>
                </c:pt>
                <c:pt idx="1728">
                  <c:v>1.6279347817450957E-2</c:v>
                </c:pt>
                <c:pt idx="1729">
                  <c:v>1.6278360740025834E-2</c:v>
                </c:pt>
                <c:pt idx="1730">
                  <c:v>1.6276657157271411E-2</c:v>
                </c:pt>
                <c:pt idx="1731">
                  <c:v>1.6275229580189825E-2</c:v>
                </c:pt>
                <c:pt idx="1732">
                  <c:v>1.6273321859553401E-2</c:v>
                </c:pt>
                <c:pt idx="1733">
                  <c:v>1.6271690144529203E-2</c:v>
                </c:pt>
                <c:pt idx="1734">
                  <c:v>1.6270082385355059E-2</c:v>
                </c:pt>
                <c:pt idx="1735">
                  <c:v>1.626849858200461E-2</c:v>
                </c:pt>
                <c:pt idx="1736">
                  <c:v>1.6266938734447119E-2</c:v>
                </c:pt>
                <c:pt idx="1737">
                  <c:v>1.626566472777451E-2</c:v>
                </c:pt>
                <c:pt idx="1738">
                  <c:v>1.6264154434746478E-2</c:v>
                </c:pt>
                <c:pt idx="1739">
                  <c:v>1.6262668098514125E-2</c:v>
                </c:pt>
                <c:pt idx="1740">
                  <c:v>1.6261205719048776E-2</c:v>
                </c:pt>
                <c:pt idx="1741">
                  <c:v>1.6259498832579791E-2</c:v>
                </c:pt>
                <c:pt idx="1742">
                  <c:v>1.6258082719202899E-2</c:v>
                </c:pt>
                <c:pt idx="1743">
                  <c:v>1.6256690561430982E-2</c:v>
                </c:pt>
                <c:pt idx="1744">
                  <c:v>1.6254935844326177E-2</c:v>
                </c:pt>
                <c:pt idx="1745">
                  <c:v>1.6253978112599283E-2</c:v>
                </c:pt>
                <c:pt idx="1746">
                  <c:v>1.6252934532889316E-2</c:v>
                </c:pt>
                <c:pt idx="1747">
                  <c:v>1.6251639850067497E-2</c:v>
                </c:pt>
                <c:pt idx="1748">
                  <c:v>1.6250369123810234E-2</c:v>
                </c:pt>
                <c:pt idx="1749">
                  <c:v>1.6249122354094071E-2</c:v>
                </c:pt>
                <c:pt idx="1750">
                  <c:v>1.6247899540899891E-2</c:v>
                </c:pt>
                <c:pt idx="1751">
                  <c:v>1.6246700684199023E-2</c:v>
                </c:pt>
                <c:pt idx="1752">
                  <c:v>1.6245525783975825E-2</c:v>
                </c:pt>
                <c:pt idx="1753">
                  <c:v>1.6244374840205102E-2</c:v>
                </c:pt>
                <c:pt idx="1754">
                  <c:v>1.6243247852865999E-2</c:v>
                </c:pt>
                <c:pt idx="1755">
                  <c:v>1.6242144821939402E-2</c:v>
                </c:pt>
                <c:pt idx="1756">
                  <c:v>1.6241065747402719E-2</c:v>
                </c:pt>
                <c:pt idx="1757">
                  <c:v>1.6240010629241183E-2</c:v>
                </c:pt>
                <c:pt idx="1758">
                  <c:v>1.6238979467428725E-2</c:v>
                </c:pt>
                <c:pt idx="1759">
                  <c:v>1.623797226195231E-2</c:v>
                </c:pt>
                <c:pt idx="1760">
                  <c:v>1.6236989012788482E-2</c:v>
                </c:pt>
                <c:pt idx="1761">
                  <c:v>1.6236029719923339E-2</c:v>
                </c:pt>
                <c:pt idx="1762">
                  <c:v>1.6235094383338634E-2</c:v>
                </c:pt>
                <c:pt idx="1763">
                  <c:v>1.6233878047344871E-2</c:v>
                </c:pt>
                <c:pt idx="1764">
                  <c:v>1.6232988952118419E-2</c:v>
                </c:pt>
                <c:pt idx="1765">
                  <c:v>1.6232123812044554E-2</c:v>
                </c:pt>
                <c:pt idx="1766">
                  <c:v>1.6231282627103948E-2</c:v>
                </c:pt>
                <c:pt idx="1767">
                  <c:v>1.6230777044023016E-2</c:v>
                </c:pt>
                <c:pt idx="1768">
                  <c:v>1.6229985444771649E-2</c:v>
                </c:pt>
                <c:pt idx="1769">
                  <c:v>1.6229217801689507E-2</c:v>
                </c:pt>
                <c:pt idx="1770">
                  <c:v>1.6228474114762685E-2</c:v>
                </c:pt>
                <c:pt idx="1771">
                  <c:v>1.622775438397641E-2</c:v>
                </c:pt>
                <c:pt idx="1772">
                  <c:v>1.6227058609319389E-2</c:v>
                </c:pt>
                <c:pt idx="1773">
                  <c:v>1.6226386790778591E-2</c:v>
                </c:pt>
                <c:pt idx="1774">
                  <c:v>1.6225738928339246E-2</c:v>
                </c:pt>
                <c:pt idx="1775">
                  <c:v>1.6225115021992659E-2</c:v>
                </c:pt>
                <c:pt idx="1776">
                  <c:v>1.6224188307001147E-2</c:v>
                </c:pt>
                <c:pt idx="1777">
                  <c:v>1.6223610627637462E-2</c:v>
                </c:pt>
                <c:pt idx="1778">
                  <c:v>1.6223056903255071E-2</c:v>
                </c:pt>
                <c:pt idx="1779">
                  <c:v>1.6222527133843437E-2</c:v>
                </c:pt>
                <c:pt idx="1780">
                  <c:v>1.6221617433640034E-2</c:v>
                </c:pt>
                <c:pt idx="1781">
                  <c:v>1.6221472578330631E-2</c:v>
                </c:pt>
                <c:pt idx="1782">
                  <c:v>1.622068113382813E-2</c:v>
                </c:pt>
                <c:pt idx="1783">
                  <c:v>1.6220248914711632E-2</c:v>
                </c:pt>
                <c:pt idx="1784">
                  <c:v>1.6219840649444706E-2</c:v>
                </c:pt>
                <c:pt idx="1785">
                  <c:v>1.6219456338018468E-2</c:v>
                </c:pt>
                <c:pt idx="1786">
                  <c:v>1.6219095980427589E-2</c:v>
                </c:pt>
                <c:pt idx="1787">
                  <c:v>1.6218759576666741E-2</c:v>
                </c:pt>
                <c:pt idx="1788">
                  <c:v>1.6218447126726154E-2</c:v>
                </c:pt>
                <c:pt idx="1789">
                  <c:v>1.6218856455294722E-2</c:v>
                </c:pt>
                <c:pt idx="1790">
                  <c:v>1.6218595311475979E-2</c:v>
                </c:pt>
                <c:pt idx="1791">
                  <c:v>1.6218358123619665E-2</c:v>
                </c:pt>
                <c:pt idx="1792">
                  <c:v>1.6218144891717967E-2</c:v>
                </c:pt>
                <c:pt idx="1793">
                  <c:v>1.6217599813438559E-2</c:v>
                </c:pt>
                <c:pt idx="1794">
                  <c:v>1.6217389468645545E-2</c:v>
                </c:pt>
                <c:pt idx="1795">
                  <c:v>1.6217253244132559E-2</c:v>
                </c:pt>
                <c:pt idx="1796">
                  <c:v>1.621714097448667E-2</c:v>
                </c:pt>
                <c:pt idx="1797">
                  <c:v>1.621813258562772E-2</c:v>
                </c:pt>
                <c:pt idx="1798">
                  <c:v>1.6217353119210409E-2</c:v>
                </c:pt>
                <c:pt idx="1799">
                  <c:v>1.6217314423473357E-2</c:v>
                </c:pt>
                <c:pt idx="1800">
                  <c:v>1.6217299683672675E-2</c:v>
                </c:pt>
                <c:pt idx="1801">
                  <c:v>1.6217308899810962E-2</c:v>
                </c:pt>
                <c:pt idx="1802">
                  <c:v>1.6217342071883876E-2</c:v>
                </c:pt>
                <c:pt idx="1803">
                  <c:v>1.6217399199896631E-2</c:v>
                </c:pt>
                <c:pt idx="1804">
                  <c:v>1.621748028384749E-2</c:v>
                </c:pt>
                <c:pt idx="1805">
                  <c:v>1.6217585323739056E-2</c:v>
                </c:pt>
                <c:pt idx="1806">
                  <c:v>1.6217714319573071E-2</c:v>
                </c:pt>
                <c:pt idx="1807">
                  <c:v>1.6217867271351272E-2</c:v>
                </c:pt>
                <c:pt idx="1808">
                  <c:v>1.6218044179078E-2</c:v>
                </c:pt>
                <c:pt idx="1809">
                  <c:v>1.6218245042754126E-2</c:v>
                </c:pt>
                <c:pt idx="1810">
                  <c:v>1.6218469862384864E-2</c:v>
                </c:pt>
                <c:pt idx="1811">
                  <c:v>1.6218718637975426E-2</c:v>
                </c:pt>
                <c:pt idx="1812">
                  <c:v>1.6218991369527553E-2</c:v>
                </c:pt>
                <c:pt idx="1813">
                  <c:v>1.6219288057046453E-2</c:v>
                </c:pt>
                <c:pt idx="1814">
                  <c:v>1.6219608700541684E-2</c:v>
                </c:pt>
                <c:pt idx="1815">
                  <c:v>1.6219559275626669E-2</c:v>
                </c:pt>
                <c:pt idx="1816">
                  <c:v>1.6219926103448412E-2</c:v>
                </c:pt>
                <c:pt idx="1817">
                  <c:v>1.6220316886184694E-2</c:v>
                </c:pt>
                <c:pt idx="1818">
                  <c:v>1.6222329528061637E-2</c:v>
                </c:pt>
                <c:pt idx="1819">
                  <c:v>1.6221571257834886E-2</c:v>
                </c:pt>
                <c:pt idx="1820">
                  <c:v>1.6222035637308022E-2</c:v>
                </c:pt>
                <c:pt idx="1821">
                  <c:v>1.6222523972805276E-2</c:v>
                </c:pt>
                <c:pt idx="1822">
                  <c:v>1.6223036264335345E-2</c:v>
                </c:pt>
                <c:pt idx="1823">
                  <c:v>1.6223572511906908E-2</c:v>
                </c:pt>
                <c:pt idx="1824">
                  <c:v>1.6224132715530398E-2</c:v>
                </c:pt>
                <c:pt idx="1825">
                  <c:v>1.6224716875215373E-2</c:v>
                </c:pt>
                <c:pt idx="1826">
                  <c:v>1.6225324990974861E-2</c:v>
                </c:pt>
                <c:pt idx="1827">
                  <c:v>1.6225957062816682E-2</c:v>
                </c:pt>
                <c:pt idx="1828">
                  <c:v>1.622578013371534E-2</c:v>
                </c:pt>
                <c:pt idx="1829">
                  <c:v>1.6226456634595543E-2</c:v>
                </c:pt>
                <c:pt idx="1830">
                  <c:v>1.6227157089434563E-2</c:v>
                </c:pt>
                <c:pt idx="1831">
                  <c:v>1.6229151607822598E-2</c:v>
                </c:pt>
                <c:pt idx="1832">
                  <c:v>1.6228738725445169E-2</c:v>
                </c:pt>
                <c:pt idx="1833">
                  <c:v>1.6229402177843077E-2</c:v>
                </c:pt>
                <c:pt idx="1834">
                  <c:v>1.6230198448654143E-2</c:v>
                </c:pt>
                <c:pt idx="1835">
                  <c:v>1.6231018673491526E-2</c:v>
                </c:pt>
                <c:pt idx="1836">
                  <c:v>1.6231862852370327E-2</c:v>
                </c:pt>
                <c:pt idx="1837">
                  <c:v>1.6232299063529066E-2</c:v>
                </c:pt>
                <c:pt idx="1838">
                  <c:v>1.6233189399465279E-2</c:v>
                </c:pt>
                <c:pt idx="1839">
                  <c:v>1.6234103688408261E-2</c:v>
                </c:pt>
                <c:pt idx="1840">
                  <c:v>1.6235041930375074E-2</c:v>
                </c:pt>
                <c:pt idx="1841">
                  <c:v>1.6237321464686667E-2</c:v>
                </c:pt>
                <c:pt idx="1842">
                  <c:v>1.6238312879418716E-2</c:v>
                </c:pt>
                <c:pt idx="1843">
                  <c:v>1.6239328250473778E-2</c:v>
                </c:pt>
                <c:pt idx="1844">
                  <c:v>1.6240367577868359E-2</c:v>
                </c:pt>
                <c:pt idx="1845">
                  <c:v>1.6240984538623389E-2</c:v>
                </c:pt>
                <c:pt idx="1846">
                  <c:v>1.6242070018710746E-2</c:v>
                </c:pt>
                <c:pt idx="1847">
                  <c:v>1.6243179454114947E-2</c:v>
                </c:pt>
                <c:pt idx="1848">
                  <c:v>1.6244312844850936E-2</c:v>
                </c:pt>
                <c:pt idx="1849">
                  <c:v>1.6245923560621361E-2</c:v>
                </c:pt>
                <c:pt idx="1850">
                  <c:v>1.6247106626470994E-2</c:v>
                </c:pt>
                <c:pt idx="1851">
                  <c:v>1.6248313648801773E-2</c:v>
                </c:pt>
                <c:pt idx="1852">
                  <c:v>1.624954462763803E-2</c:v>
                </c:pt>
                <c:pt idx="1853">
                  <c:v>1.6250799563001482E-2</c:v>
                </c:pt>
                <c:pt idx="1854">
                  <c:v>1.6252078454912982E-2</c:v>
                </c:pt>
                <c:pt idx="1855">
                  <c:v>1.6253381303398602E-2</c:v>
                </c:pt>
                <c:pt idx="1856">
                  <c:v>1.6254708108480925E-2</c:v>
                </c:pt>
                <c:pt idx="1857">
                  <c:v>1.6256058870185153E-2</c:v>
                </c:pt>
                <c:pt idx="1858">
                  <c:v>1.6257433588535614E-2</c:v>
                </c:pt>
                <c:pt idx="1859">
                  <c:v>1.6258832263556632E-2</c:v>
                </c:pt>
                <c:pt idx="1860">
                  <c:v>1.626025489527428E-2</c:v>
                </c:pt>
                <c:pt idx="1861">
                  <c:v>1.6261701483715488E-2</c:v>
                </c:pt>
                <c:pt idx="1862">
                  <c:v>1.6263172028904586E-2</c:v>
                </c:pt>
                <c:pt idx="1863">
                  <c:v>1.6264666530870244E-2</c:v>
                </c:pt>
                <c:pt idx="1864">
                  <c:v>1.6266184989641139E-2</c:v>
                </c:pt>
                <c:pt idx="1865">
                  <c:v>1.6267727405239862E-2</c:v>
                </c:pt>
                <c:pt idx="1866">
                  <c:v>1.6269293777700294E-2</c:v>
                </c:pt>
                <c:pt idx="1867">
                  <c:v>1.6270398812389963E-2</c:v>
                </c:pt>
                <c:pt idx="1868">
                  <c:v>1.6272011314710642E-2</c:v>
                </c:pt>
                <c:pt idx="1869">
                  <c:v>1.6273647772888401E-2</c:v>
                </c:pt>
                <c:pt idx="1870">
                  <c:v>1.6275308186952227E-2</c:v>
                </c:pt>
                <c:pt idx="1871">
                  <c:v>1.6278963416830175E-2</c:v>
                </c:pt>
                <c:pt idx="1872">
                  <c:v>1.6279195108145399E-2</c:v>
                </c:pt>
                <c:pt idx="1873">
                  <c:v>1.6280929179447602E-2</c:v>
                </c:pt>
                <c:pt idx="1874">
                  <c:v>1.6282687207852194E-2</c:v>
                </c:pt>
                <c:pt idx="1875">
                  <c:v>1.6284469193388718E-2</c:v>
                </c:pt>
                <c:pt idx="1876">
                  <c:v>1.6286275136091054E-2</c:v>
                </c:pt>
                <c:pt idx="1877">
                  <c:v>1.6288105035991356E-2</c:v>
                </c:pt>
                <c:pt idx="1878">
                  <c:v>1.6289958893125251E-2</c:v>
                </c:pt>
                <c:pt idx="1879">
                  <c:v>1.6291836707524876E-2</c:v>
                </c:pt>
                <c:pt idx="1880">
                  <c:v>1.6293229908154683E-2</c:v>
                </c:pt>
                <c:pt idx="1881">
                  <c:v>1.6295153839046207E-2</c:v>
                </c:pt>
                <c:pt idx="1882">
                  <c:v>1.6297101726212057E-2</c:v>
                </c:pt>
                <c:pt idx="1883">
                  <c:v>1.6299073569688252E-2</c:v>
                </c:pt>
                <c:pt idx="1884">
                  <c:v>1.6301069369509924E-2</c:v>
                </c:pt>
                <c:pt idx="1885">
                  <c:v>1.6303089125715726E-2</c:v>
                </c:pt>
                <c:pt idx="1886">
                  <c:v>1.6305132838339911E-2</c:v>
                </c:pt>
                <c:pt idx="1887">
                  <c:v>1.6307200507419382E-2</c:v>
                </c:pt>
                <c:pt idx="1888">
                  <c:v>1.6309292132993661E-2</c:v>
                </c:pt>
                <c:pt idx="1889">
                  <c:v>1.6310883109441399E-2</c:v>
                </c:pt>
                <c:pt idx="1890">
                  <c:v>1.631302084025954E-2</c:v>
                </c:pt>
                <c:pt idx="1891">
                  <c:v>1.6315182526588146E-2</c:v>
                </c:pt>
                <c:pt idx="1892">
                  <c:v>1.6317368168463631E-2</c:v>
                </c:pt>
                <c:pt idx="1893">
                  <c:v>1.6320641642085944E-2</c:v>
                </c:pt>
                <c:pt idx="1894">
                  <c:v>1.6322878819843772E-2</c:v>
                </c:pt>
                <c:pt idx="1895">
                  <c:v>1.6325139955468599E-2</c:v>
                </c:pt>
                <c:pt idx="1896">
                  <c:v>1.632742504900386E-2</c:v>
                </c:pt>
                <c:pt idx="1897">
                  <c:v>1.6329194811734785E-2</c:v>
                </c:pt>
                <c:pt idx="1898">
                  <c:v>1.6331526004393478E-2</c:v>
                </c:pt>
                <c:pt idx="1899">
                  <c:v>1.6333881153985309E-2</c:v>
                </c:pt>
                <c:pt idx="1900">
                  <c:v>1.6336260260553324E-2</c:v>
                </c:pt>
                <c:pt idx="1901">
                  <c:v>1.6338663324139684E-2</c:v>
                </c:pt>
                <c:pt idx="1902">
                  <c:v>1.6341638728687533E-2</c:v>
                </c:pt>
                <c:pt idx="1903">
                  <c:v>1.6344091528783609E-2</c:v>
                </c:pt>
                <c:pt idx="1904">
                  <c:v>1.6346568287136799E-2</c:v>
                </c:pt>
                <c:pt idx="1905">
                  <c:v>1.634906900379229E-2</c:v>
                </c:pt>
                <c:pt idx="1906">
                  <c:v>1.635159367879439E-2</c:v>
                </c:pt>
                <c:pt idx="1907">
                  <c:v>1.6354142312188284E-2</c:v>
                </c:pt>
                <c:pt idx="1908">
                  <c:v>1.6356714904024367E-2</c:v>
                </c:pt>
                <c:pt idx="1909">
                  <c:v>1.6359311454346076E-2</c:v>
                </c:pt>
                <c:pt idx="1910">
                  <c:v>1.6361931963203812E-2</c:v>
                </c:pt>
                <c:pt idx="1911">
                  <c:v>1.6364576430642753E-2</c:v>
                </c:pt>
                <c:pt idx="1912">
                  <c:v>1.6367244856713294E-2</c:v>
                </c:pt>
                <c:pt idx="1913">
                  <c:v>1.6369937241463222E-2</c:v>
                </c:pt>
                <c:pt idx="1914">
                  <c:v>1.6372653584942068E-2</c:v>
                </c:pt>
                <c:pt idx="1915">
                  <c:v>1.6375393887199351E-2</c:v>
                </c:pt>
                <c:pt idx="1916">
                  <c:v>1.6378158148285468E-2</c:v>
                </c:pt>
                <c:pt idx="1917">
                  <c:v>1.6380946368251683E-2</c:v>
                </c:pt>
                <c:pt idx="1918">
                  <c:v>1.6383758547146649E-2</c:v>
                </c:pt>
                <c:pt idx="1919">
                  <c:v>1.6386015170624858E-2</c:v>
                </c:pt>
                <c:pt idx="1920">
                  <c:v>1.6388873426328186E-2</c:v>
                </c:pt>
                <c:pt idx="1921">
                  <c:v>1.639175564000207E-2</c:v>
                </c:pt>
                <c:pt idx="1922">
                  <c:v>1.6394661811699206E-2</c:v>
                </c:pt>
                <c:pt idx="1923">
                  <c:v>1.6397591941473187E-2</c:v>
                </c:pt>
                <c:pt idx="1924">
                  <c:v>1.640113476096924E-2</c:v>
                </c:pt>
                <c:pt idx="1925">
                  <c:v>1.6404114653841697E-2</c:v>
                </c:pt>
                <c:pt idx="1926">
                  <c:v>1.6407118506068654E-2</c:v>
                </c:pt>
                <c:pt idx="1927">
                  <c:v>1.6410146317703982E-2</c:v>
                </c:pt>
                <c:pt idx="1928">
                  <c:v>1.6413198088804155E-2</c:v>
                </c:pt>
                <c:pt idx="1929">
                  <c:v>1.6416273819424784E-2</c:v>
                </c:pt>
                <c:pt idx="1930">
                  <c:v>1.6419373509622342E-2</c:v>
                </c:pt>
                <c:pt idx="1931">
                  <c:v>1.6422497159452442E-2</c:v>
                </c:pt>
                <c:pt idx="1932">
                  <c:v>1.6424437889689614E-2</c:v>
                </c:pt>
                <c:pt idx="1933">
                  <c:v>1.6427605747621143E-2</c:v>
                </c:pt>
                <c:pt idx="1934">
                  <c:v>1.6430797563112165E-2</c:v>
                </c:pt>
                <c:pt idx="1935">
                  <c:v>1.6434013336219522E-2</c:v>
                </c:pt>
                <c:pt idx="1936">
                  <c:v>1.6437253067000057E-2</c:v>
                </c:pt>
                <c:pt idx="1937">
                  <c:v>1.6440516755514167E-2</c:v>
                </c:pt>
                <c:pt idx="1938">
                  <c:v>1.6443804401819584E-2</c:v>
                </c:pt>
                <c:pt idx="1939">
                  <c:v>1.6447116005972262E-2</c:v>
                </c:pt>
                <c:pt idx="1940">
                  <c:v>1.6450451568035263E-2</c:v>
                </c:pt>
                <c:pt idx="1941">
                  <c:v>1.6453191201978388E-2</c:v>
                </c:pt>
                <c:pt idx="1942">
                  <c:v>1.6456572814487501E-2</c:v>
                </c:pt>
                <c:pt idx="1943">
                  <c:v>1.6459978383955277E-2</c:v>
                </c:pt>
                <c:pt idx="1944">
                  <c:v>1.6463407910445489E-2</c:v>
                </c:pt>
                <c:pt idx="1945">
                  <c:v>1.6468744051349342E-2</c:v>
                </c:pt>
                <c:pt idx="1946">
                  <c:v>1.6472227102778354E-2</c:v>
                </c:pt>
                <c:pt idx="1947">
                  <c:v>1.6475734114807832E-2</c:v>
                </c:pt>
                <c:pt idx="1948">
                  <c:v>1.6479265087500326E-2</c:v>
                </c:pt>
                <c:pt idx="1949">
                  <c:v>1.6482820020922741E-2</c:v>
                </c:pt>
                <c:pt idx="1950">
                  <c:v>1.6485761801932893E-2</c:v>
                </c:pt>
                <c:pt idx="1951">
                  <c:v>1.6489362780930078E-2</c:v>
                </c:pt>
                <c:pt idx="1952">
                  <c:v>1.6492987719717019E-2</c:v>
                </c:pt>
                <c:pt idx="1953">
                  <c:v>1.649663661835872E-2</c:v>
                </c:pt>
                <c:pt idx="1954">
                  <c:v>1.6500954101253143E-2</c:v>
                </c:pt>
                <c:pt idx="1955">
                  <c:v>1.6504652800427906E-2</c:v>
                </c:pt>
                <c:pt idx="1956">
                  <c:v>1.6508375460794828E-2</c:v>
                </c:pt>
                <c:pt idx="1957">
                  <c:v>1.651212208242429E-2</c:v>
                </c:pt>
                <c:pt idx="1958">
                  <c:v>1.6515892665383197E-2</c:v>
                </c:pt>
                <c:pt idx="1959">
                  <c:v>1.6519687209739318E-2</c:v>
                </c:pt>
                <c:pt idx="1960">
                  <c:v>1.6523505590129453E-2</c:v>
                </c:pt>
                <c:pt idx="1961">
                  <c:v>1.6527345574265336E-2</c:v>
                </c:pt>
                <c:pt idx="1962">
                  <c:v>1.6531203181596298E-2</c:v>
                </c:pt>
                <c:pt idx="1963">
                  <c:v>1.6535074378634881E-2</c:v>
                </c:pt>
                <c:pt idx="1964">
                  <c:v>1.65389551318832E-2</c:v>
                </c:pt>
                <c:pt idx="1965">
                  <c:v>1.6542841407824256E-2</c:v>
                </c:pt>
                <c:pt idx="1966">
                  <c:v>1.654672917292541E-2</c:v>
                </c:pt>
                <c:pt idx="1967">
                  <c:v>1.655061439363752E-2</c:v>
                </c:pt>
                <c:pt idx="1968">
                  <c:v>1.6554493036394925E-2</c:v>
                </c:pt>
                <c:pt idx="1969">
                  <c:v>1.6558361067621548E-2</c:v>
                </c:pt>
                <c:pt idx="1970">
                  <c:v>1.6562214453717843E-2</c:v>
                </c:pt>
                <c:pt idx="1971">
                  <c:v>1.6565399533230295E-2</c:v>
                </c:pt>
                <c:pt idx="1972">
                  <c:v>1.6569213400840593E-2</c:v>
                </c:pt>
                <c:pt idx="1973">
                  <c:v>1.6573000602461911E-2</c:v>
                </c:pt>
                <c:pt idx="1974">
                  <c:v>1.6576758881200679E-2</c:v>
                </c:pt>
                <c:pt idx="1975">
                  <c:v>1.6580488110169385E-2</c:v>
                </c:pt>
                <c:pt idx="1976">
                  <c:v>1.6584828433671681E-2</c:v>
                </c:pt>
                <c:pt idx="1977">
                  <c:v>1.6588497656541572E-2</c:v>
                </c:pt>
                <c:pt idx="1978">
                  <c:v>1.6592137828092716E-2</c:v>
                </c:pt>
                <c:pt idx="1979">
                  <c:v>1.659574894824084E-2</c:v>
                </c:pt>
                <c:pt idx="1980">
                  <c:v>1.6599331016909479E-2</c:v>
                </c:pt>
                <c:pt idx="1981">
                  <c:v>1.6602884034017832E-2</c:v>
                </c:pt>
                <c:pt idx="1982">
                  <c:v>1.6606407999485092E-2</c:v>
                </c:pt>
                <c:pt idx="1983">
                  <c:v>1.6609902913236538E-2</c:v>
                </c:pt>
                <c:pt idx="1984">
                  <c:v>1.6612118896916606E-2</c:v>
                </c:pt>
                <c:pt idx="1985">
                  <c:v>1.6615559540355207E-2</c:v>
                </c:pt>
                <c:pt idx="1986">
                  <c:v>1.6618971134468197E-2</c:v>
                </c:pt>
                <c:pt idx="1987">
                  <c:v>1.6622353679180968E-2</c:v>
                </c:pt>
                <c:pt idx="1988">
                  <c:v>1.6626800946013518E-2</c:v>
                </c:pt>
                <c:pt idx="1989">
                  <c:v>1.6629504169526577E-2</c:v>
                </c:pt>
                <c:pt idx="1990">
                  <c:v>1.6632795415649326E-2</c:v>
                </c:pt>
                <c:pt idx="1991">
                  <c:v>1.6636057612069877E-2</c:v>
                </c:pt>
                <c:pt idx="1992">
                  <c:v>1.6639290758720726E-2</c:v>
                </c:pt>
                <c:pt idx="1993">
                  <c:v>1.6641887241365404E-2</c:v>
                </c:pt>
                <c:pt idx="1994">
                  <c:v>1.6645064216683731E-2</c:v>
                </c:pt>
                <c:pt idx="1995">
                  <c:v>1.6648212143340155E-2</c:v>
                </c:pt>
                <c:pt idx="1996">
                  <c:v>1.6651331021266414E-2</c:v>
                </c:pt>
                <c:pt idx="1997">
                  <c:v>1.6657418653838279E-2</c:v>
                </c:pt>
                <c:pt idx="1998">
                  <c:v>1.6660469763814863E-2</c:v>
                </c:pt>
                <c:pt idx="1999">
                  <c:v>1.6663491818259851E-2</c:v>
                </c:pt>
                <c:pt idx="2000">
                  <c:v>1.6666997262053965E-2</c:v>
                </c:pt>
                <c:pt idx="2001">
                  <c:v>1.6667673810739685E-2</c:v>
                </c:pt>
                <c:pt idx="2002">
                  <c:v>1.667061451676299E-2</c:v>
                </c:pt>
                <c:pt idx="2003">
                  <c:v>1.6673526170954588E-2</c:v>
                </c:pt>
                <c:pt idx="2004">
                  <c:v>1.6676408773252108E-2</c:v>
                </c:pt>
                <c:pt idx="2005">
                  <c:v>1.6679262323590547E-2</c:v>
                </c:pt>
                <c:pt idx="2006">
                  <c:v>1.6683832638804366E-2</c:v>
                </c:pt>
                <c:pt idx="2007">
                  <c:v>1.6686622246582333E-2</c:v>
                </c:pt>
                <c:pt idx="2008">
                  <c:v>1.6689382798235133E-2</c:v>
                </c:pt>
                <c:pt idx="2009">
                  <c:v>1.6692114293701543E-2</c:v>
                </c:pt>
                <c:pt idx="2010">
                  <c:v>1.669481673291863E-2</c:v>
                </c:pt>
                <c:pt idx="2011">
                  <c:v>1.6697490115824318E-2</c:v>
                </c:pt>
                <c:pt idx="2012">
                  <c:v>1.6700134442359078E-2</c:v>
                </c:pt>
                <c:pt idx="2013">
                  <c:v>1.6702749712461686E-2</c:v>
                </c:pt>
                <c:pt idx="2014">
                  <c:v>1.6703636928383992E-2</c:v>
                </c:pt>
                <c:pt idx="2015">
                  <c:v>1.6707893083139982E-2</c:v>
                </c:pt>
                <c:pt idx="2016">
                  <c:v>1.671042118359832E-2</c:v>
                </c:pt>
                <c:pt idx="2017">
                  <c:v>1.6712920227393201E-2</c:v>
                </c:pt>
                <c:pt idx="2018">
                  <c:v>1.6715390214465095E-2</c:v>
                </c:pt>
                <c:pt idx="2019">
                  <c:v>1.6717831144762132E-2</c:v>
                </c:pt>
                <c:pt idx="2020">
                  <c:v>1.6720243018225635E-2</c:v>
                </c:pt>
                <c:pt idx="2021">
                  <c:v>1.6722625834803728E-2</c:v>
                </c:pt>
                <c:pt idx="2022">
                  <c:v>1.6724979594439436E-2</c:v>
                </c:pt>
                <c:pt idx="2023">
                  <c:v>1.6725658276498682E-2</c:v>
                </c:pt>
                <c:pt idx="2024">
                  <c:v>1.6727959828458688E-2</c:v>
                </c:pt>
                <c:pt idx="2025">
                  <c:v>1.6730232327328207E-2</c:v>
                </c:pt>
                <c:pt idx="2026">
                  <c:v>1.6732475773058933E-2</c:v>
                </c:pt>
                <c:pt idx="2027">
                  <c:v>1.6736312536668348E-2</c:v>
                </c:pt>
                <c:pt idx="2028">
                  <c:v>1.6738491953564666E-2</c:v>
                </c:pt>
                <c:pt idx="2029">
                  <c:v>1.6740642313158884E-2</c:v>
                </c:pt>
                <c:pt idx="2030">
                  <c:v>1.6742763615404232E-2</c:v>
                </c:pt>
                <c:pt idx="2031">
                  <c:v>1.6744855860253944E-2</c:v>
                </c:pt>
                <c:pt idx="2032">
                  <c:v>1.6746919047657845E-2</c:v>
                </c:pt>
                <c:pt idx="2033">
                  <c:v>1.6748953177570865E-2</c:v>
                </c:pt>
                <c:pt idx="2034">
                  <c:v>1.6750958249946234E-2</c:v>
                </c:pt>
                <c:pt idx="2035">
                  <c:v>1.6752934264738027E-2</c:v>
                </c:pt>
                <c:pt idx="2036">
                  <c:v>1.6752788975948896E-2</c:v>
                </c:pt>
                <c:pt idx="2037">
                  <c:v>1.6754714819860794E-2</c:v>
                </c:pt>
                <c:pt idx="2038">
                  <c:v>1.6756611611429051E-2</c:v>
                </c:pt>
                <c:pt idx="2039">
                  <c:v>1.6758479350609257E-2</c:v>
                </c:pt>
                <c:pt idx="2040">
                  <c:v>1.6760067597163027E-2</c:v>
                </c:pt>
                <c:pt idx="2041">
                  <c:v>1.6763406860488311E-2</c:v>
                </c:pt>
                <c:pt idx="2042">
                  <c:v>1.6765683355508449E-2</c:v>
                </c:pt>
                <c:pt idx="2043">
                  <c:v>1.6766910081739861E-2</c:v>
                </c:pt>
                <c:pt idx="2044">
                  <c:v>1.6768618111468063E-2</c:v>
                </c:pt>
                <c:pt idx="2045">
                  <c:v>1.6770297087214187E-2</c:v>
                </c:pt>
                <c:pt idx="2046">
                  <c:v>1.6771947008942221E-2</c:v>
                </c:pt>
                <c:pt idx="2047">
                  <c:v>1.6773567876616147E-2</c:v>
                </c:pt>
                <c:pt idx="2048">
                  <c:v>1.6775159690200828E-2</c:v>
                </c:pt>
                <c:pt idx="2049">
                  <c:v>1.677721881631675E-2</c:v>
                </c:pt>
                <c:pt idx="2050">
                  <c:v>1.6778750517546081E-2</c:v>
                </c:pt>
                <c:pt idx="2051">
                  <c:v>1.6780253163237436E-2</c:v>
                </c:pt>
                <c:pt idx="2052">
                  <c:v>1.6781726753355191E-2</c:v>
                </c:pt>
                <c:pt idx="2053">
                  <c:v>1.6782682945568079E-2</c:v>
                </c:pt>
                <c:pt idx="2054">
                  <c:v>1.6784100433900506E-2</c:v>
                </c:pt>
                <c:pt idx="2055">
                  <c:v>1.6785880226830682E-2</c:v>
                </c:pt>
                <c:pt idx="2056">
                  <c:v>1.6786848247571172E-2</c:v>
                </c:pt>
                <c:pt idx="2057">
                  <c:v>1.6788178572848804E-2</c:v>
                </c:pt>
                <c:pt idx="2058">
                  <c:v>1.6789958125227131E-2</c:v>
                </c:pt>
                <c:pt idx="2059">
                  <c:v>1.6791228325449523E-2</c:v>
                </c:pt>
                <c:pt idx="2060">
                  <c:v>1.6792469469855905E-2</c:v>
                </c:pt>
                <c:pt idx="2061">
                  <c:v>1.6793681558416731E-2</c:v>
                </c:pt>
                <c:pt idx="2062">
                  <c:v>1.6794864591106802E-2</c:v>
                </c:pt>
                <c:pt idx="2063">
                  <c:v>1.6796018567899185E-2</c:v>
                </c:pt>
                <c:pt idx="2064">
                  <c:v>1.6797143488769553E-2</c:v>
                </c:pt>
                <c:pt idx="2065">
                  <c:v>1.6798239353690101E-2</c:v>
                </c:pt>
                <c:pt idx="2066">
                  <c:v>1.6799306162638236E-2</c:v>
                </c:pt>
                <c:pt idx="2067">
                  <c:v>1.6800343915590505E-2</c:v>
                </c:pt>
                <c:pt idx="2068">
                  <c:v>1.6801352612524308E-2</c:v>
                </c:pt>
                <c:pt idx="2069">
                  <c:v>1.6802332253414456E-2</c:v>
                </c:pt>
                <c:pt idx="2070">
                  <c:v>1.68032828382427E-2</c:v>
                </c:pt>
                <c:pt idx="2071">
                  <c:v>1.680420436698558E-2</c:v>
                </c:pt>
                <c:pt idx="2072">
                  <c:v>1.6805096839626586E-2</c:v>
                </c:pt>
                <c:pt idx="2073">
                  <c:v>1.6805960256139656E-2</c:v>
                </c:pt>
                <c:pt idx="2074">
                  <c:v>1.6806794616510884E-2</c:v>
                </c:pt>
                <c:pt idx="2075">
                  <c:v>1.6807156098430569E-2</c:v>
                </c:pt>
                <c:pt idx="2076">
                  <c:v>1.6807934385641071E-2</c:v>
                </c:pt>
                <c:pt idx="2077">
                  <c:v>1.6808683618007771E-2</c:v>
                </c:pt>
                <c:pt idx="2078">
                  <c:v>1.6809403795514849E-2</c:v>
                </c:pt>
                <c:pt idx="2079">
                  <c:v>1.6810530575581684E-2</c:v>
                </c:pt>
                <c:pt idx="2080">
                  <c:v>1.6811190598723044E-2</c:v>
                </c:pt>
                <c:pt idx="2081">
                  <c:v>1.6811821565606132E-2</c:v>
                </c:pt>
                <c:pt idx="2082">
                  <c:v>1.6812423476214446E-2</c:v>
                </c:pt>
                <c:pt idx="2083">
                  <c:v>1.6812996330535814E-2</c:v>
                </c:pt>
                <c:pt idx="2084">
                  <c:v>1.6813540128556341E-2</c:v>
                </c:pt>
                <c:pt idx="2085">
                  <c:v>1.6814054870265598E-2</c:v>
                </c:pt>
                <c:pt idx="2086">
                  <c:v>1.6814540555652291E-2</c:v>
                </c:pt>
                <c:pt idx="2087">
                  <c:v>1.6814997184705121E-2</c:v>
                </c:pt>
                <c:pt idx="2088">
                  <c:v>1.681500755008555E-2</c:v>
                </c:pt>
                <c:pt idx="2089">
                  <c:v>1.681540812322329E-2</c:v>
                </c:pt>
                <c:pt idx="2090">
                  <c:v>1.6815779641352075E-2</c:v>
                </c:pt>
                <c:pt idx="2091">
                  <c:v>1.6816122104465769E-2</c:v>
                </c:pt>
                <c:pt idx="2092">
                  <c:v>1.6816477913299592E-2</c:v>
                </c:pt>
                <c:pt idx="2093">
                  <c:v>1.6816758115640044E-2</c:v>
                </c:pt>
                <c:pt idx="2094">
                  <c:v>1.681700926294168E-2</c:v>
                </c:pt>
                <c:pt idx="2095">
                  <c:v>1.6817231355200111E-2</c:v>
                </c:pt>
                <c:pt idx="2096">
                  <c:v>1.6817424392410942E-2</c:v>
                </c:pt>
                <c:pt idx="2097">
                  <c:v>1.6817189837659896E-2</c:v>
                </c:pt>
                <c:pt idx="2098">
                  <c:v>1.6817326833738377E-2</c:v>
                </c:pt>
                <c:pt idx="2099">
                  <c:v>1.6817434776110751E-2</c:v>
                </c:pt>
                <c:pt idx="2100">
                  <c:v>1.6817513664777017E-2</c:v>
                </c:pt>
                <c:pt idx="2101">
                  <c:v>1.6818343819843699E-2</c:v>
                </c:pt>
                <c:pt idx="2102">
                  <c:v>1.6818360452113174E-2</c:v>
                </c:pt>
                <c:pt idx="2103">
                  <c:v>1.6818348027962768E-2</c:v>
                </c:pt>
                <c:pt idx="2104">
                  <c:v>1.6818306547395093E-2</c:v>
                </c:pt>
                <c:pt idx="2105">
                  <c:v>1.6817854249655248E-2</c:v>
                </c:pt>
                <c:pt idx="2106">
                  <c:v>1.6817723538642245E-2</c:v>
                </c:pt>
                <c:pt idx="2107">
                  <c:v>1.6817588668739746E-2</c:v>
                </c:pt>
                <c:pt idx="2108">
                  <c:v>1.6817424743780864E-2</c:v>
                </c:pt>
                <c:pt idx="2109">
                  <c:v>1.6817604600686507E-2</c:v>
                </c:pt>
                <c:pt idx="2110">
                  <c:v>1.6817380479820294E-2</c:v>
                </c:pt>
                <c:pt idx="2111">
                  <c:v>1.6817127302556793E-2</c:v>
                </c:pt>
                <c:pt idx="2112">
                  <c:v>1.6816845068902082E-2</c:v>
                </c:pt>
                <c:pt idx="2113">
                  <c:v>1.6816533778862251E-2</c:v>
                </c:pt>
                <c:pt idx="2114">
                  <c:v>1.681619343244338E-2</c:v>
                </c:pt>
                <c:pt idx="2115">
                  <c:v>1.6815824029655022E-2</c:v>
                </c:pt>
                <c:pt idx="2116">
                  <c:v>1.6815425570501523E-2</c:v>
                </c:pt>
                <c:pt idx="2117">
                  <c:v>1.6814998054995915E-2</c:v>
                </c:pt>
                <c:pt idx="2118">
                  <c:v>1.6814541483146893E-2</c:v>
                </c:pt>
                <c:pt idx="2119">
                  <c:v>1.681405585496314E-2</c:v>
                </c:pt>
                <c:pt idx="2120">
                  <c:v>1.6813541170455953E-2</c:v>
                </c:pt>
                <c:pt idx="2121">
                  <c:v>1.6812997429635757E-2</c:v>
                </c:pt>
                <c:pt idx="2122">
                  <c:v>1.6812424632517326E-2</c:v>
                </c:pt>
                <c:pt idx="2123">
                  <c:v>1.6811822779111949E-2</c:v>
                </c:pt>
                <c:pt idx="2124">
                  <c:v>1.681119186943093E-2</c:v>
                </c:pt>
                <c:pt idx="2125">
                  <c:v>1.6810531903491639E-2</c:v>
                </c:pt>
                <c:pt idx="2126">
                  <c:v>1.6809842881306245E-2</c:v>
                </c:pt>
                <c:pt idx="2127">
                  <c:v>1.6808789717539567E-2</c:v>
                </c:pt>
                <c:pt idx="2128">
                  <c:v>1.6808044693066685E-2</c:v>
                </c:pt>
                <c:pt idx="2129">
                  <c:v>1.6807270613744724E-2</c:v>
                </c:pt>
                <c:pt idx="2130">
                  <c:v>1.680646747959565E-2</c:v>
                </c:pt>
                <c:pt idx="2131">
                  <c:v>1.6806940687653916E-2</c:v>
                </c:pt>
                <c:pt idx="2132">
                  <c:v>1.6805098567949289E-2</c:v>
                </c:pt>
                <c:pt idx="2133">
                  <c:v>1.6804206152511221E-2</c:v>
                </c:pt>
                <c:pt idx="2134">
                  <c:v>1.680328468097041E-2</c:v>
                </c:pt>
                <c:pt idx="2135">
                  <c:v>1.6802334153342497E-2</c:v>
                </c:pt>
                <c:pt idx="2136">
                  <c:v>1.6801354569654418E-2</c:v>
                </c:pt>
                <c:pt idx="2137">
                  <c:v>1.6800345929922682E-2</c:v>
                </c:pt>
                <c:pt idx="2138">
                  <c:v>1.6799308234171615E-2</c:v>
                </c:pt>
                <c:pt idx="2139">
                  <c:v>1.6798241482424679E-2</c:v>
                </c:pt>
                <c:pt idx="2140">
                  <c:v>1.6796530385327024E-2</c:v>
                </c:pt>
                <c:pt idx="2141">
                  <c:v>1.6795409776854342E-2</c:v>
                </c:pt>
                <c:pt idx="2142">
                  <c:v>1.6794260115156057E-2</c:v>
                </c:pt>
                <c:pt idx="2143">
                  <c:v>1.6793081400251708E-2</c:v>
                </c:pt>
                <c:pt idx="2144">
                  <c:v>1.6791873632170606E-2</c:v>
                </c:pt>
                <c:pt idx="2145">
                  <c:v>1.6790636810935844E-2</c:v>
                </c:pt>
                <c:pt idx="2146">
                  <c:v>1.6789370936577619E-2</c:v>
                </c:pt>
                <c:pt idx="2147">
                  <c:v>1.67880760091208E-2</c:v>
                </c:pt>
                <c:pt idx="2148">
                  <c:v>1.6786752028594698E-2</c:v>
                </c:pt>
                <c:pt idx="2149">
                  <c:v>1.6785110254654578E-2</c:v>
                </c:pt>
                <c:pt idx="2150">
                  <c:v>1.6783730307494891E-2</c:v>
                </c:pt>
                <c:pt idx="2151">
                  <c:v>1.6782321308696807E-2</c:v>
                </c:pt>
                <c:pt idx="2152">
                  <c:v>1.6780883258290861E-2</c:v>
                </c:pt>
                <c:pt idx="2153">
                  <c:v>1.6780256092787951E-2</c:v>
                </c:pt>
                <c:pt idx="2154">
                  <c:v>1.6778753504297798E-2</c:v>
                </c:pt>
                <c:pt idx="2155">
                  <c:v>1.6777221860268799E-2</c:v>
                </c:pt>
                <c:pt idx="2156">
                  <c:v>1.6775661160732234E-2</c:v>
                </c:pt>
                <c:pt idx="2157">
                  <c:v>1.6773800211500666E-2</c:v>
                </c:pt>
                <c:pt idx="2158">
                  <c:v>1.6772183551606357E-2</c:v>
                </c:pt>
                <c:pt idx="2159">
                  <c:v>1.6770537837652675E-2</c:v>
                </c:pt>
                <c:pt idx="2160">
                  <c:v>1.6768863069675628E-2</c:v>
                </c:pt>
                <c:pt idx="2161">
                  <c:v>1.676715924771123E-2</c:v>
                </c:pt>
                <c:pt idx="2162">
                  <c:v>1.6765686799865422E-2</c:v>
                </c:pt>
                <c:pt idx="2163">
                  <c:v>1.6763922712788135E-2</c:v>
                </c:pt>
                <c:pt idx="2164">
                  <c:v>1.6762129570501307E-2</c:v>
                </c:pt>
                <c:pt idx="2165">
                  <c:v>1.6760307373044035E-2</c:v>
                </c:pt>
                <c:pt idx="2166">
                  <c:v>1.6758456120454551E-2</c:v>
                </c:pt>
                <c:pt idx="2167">
                  <c:v>1.6756575812773688E-2</c:v>
                </c:pt>
                <c:pt idx="2168">
                  <c:v>1.6754666450045762E-2</c:v>
                </c:pt>
                <c:pt idx="2169">
                  <c:v>1.675272803231161E-2</c:v>
                </c:pt>
                <c:pt idx="2170">
                  <c:v>1.6750760559615545E-2</c:v>
                </c:pt>
                <c:pt idx="2171">
                  <c:v>1.6748764031999267E-2</c:v>
                </c:pt>
                <c:pt idx="2172">
                  <c:v>1.6746738449507963E-2</c:v>
                </c:pt>
                <c:pt idx="2173">
                  <c:v>1.6744683812185943E-2</c:v>
                </c:pt>
                <c:pt idx="2174">
                  <c:v>1.6742600120080997E-2</c:v>
                </c:pt>
                <c:pt idx="2175">
                  <c:v>1.674048737323483E-2</c:v>
                </c:pt>
                <c:pt idx="2176">
                  <c:v>1.6738345571699571E-2</c:v>
                </c:pt>
                <c:pt idx="2177">
                  <c:v>1.6736174715519539E-2</c:v>
                </c:pt>
                <c:pt idx="2178">
                  <c:v>1.6733974804743385E-2</c:v>
                </c:pt>
                <c:pt idx="2179">
                  <c:v>1.673152226630055E-2</c:v>
                </c:pt>
                <c:pt idx="2180">
                  <c:v>1.6729266426414671E-2</c:v>
                </c:pt>
                <c:pt idx="2181">
                  <c:v>1.67269815334102E-2</c:v>
                </c:pt>
                <c:pt idx="2182">
                  <c:v>1.6724667587338964E-2</c:v>
                </c:pt>
                <c:pt idx="2183">
                  <c:v>1.6722539433655939E-2</c:v>
                </c:pt>
                <c:pt idx="2184">
                  <c:v>1.6720165196353526E-2</c:v>
                </c:pt>
                <c:pt idx="2185">
                  <c:v>1.6717761904808622E-2</c:v>
                </c:pt>
                <c:pt idx="2186">
                  <c:v>1.6715329559076838E-2</c:v>
                </c:pt>
                <c:pt idx="2187">
                  <c:v>1.6712868159210303E-2</c:v>
                </c:pt>
                <c:pt idx="2188">
                  <c:v>1.6710377705267232E-2</c:v>
                </c:pt>
                <c:pt idx="2189">
                  <c:v>1.6707858197298017E-2</c:v>
                </c:pt>
                <c:pt idx="2190">
                  <c:v>1.6705309635362615E-2</c:v>
                </c:pt>
                <c:pt idx="2191">
                  <c:v>1.6702732019515762E-2</c:v>
                </c:pt>
                <c:pt idx="2192">
                  <c:v>1.6699734885478712E-2</c:v>
                </c:pt>
                <c:pt idx="2193">
                  <c:v>1.6697103556124304E-2</c:v>
                </c:pt>
                <c:pt idx="2194">
                  <c:v>1.6694443175672369E-2</c:v>
                </c:pt>
                <c:pt idx="2195">
                  <c:v>1.6691753744182414E-2</c:v>
                </c:pt>
                <c:pt idx="2196">
                  <c:v>1.6689035261714835E-2</c:v>
                </c:pt>
                <c:pt idx="2197">
                  <c:v>1.6686287728325588E-2</c:v>
                </c:pt>
                <c:pt idx="2198">
                  <c:v>1.6683511144075958E-2</c:v>
                </c:pt>
                <c:pt idx="2199">
                  <c:v>1.6680705509025451E-2</c:v>
                </c:pt>
                <c:pt idx="2200">
                  <c:v>1.6677870823232688E-2</c:v>
                </c:pt>
                <c:pt idx="2201">
                  <c:v>1.6674831367986705E-2</c:v>
                </c:pt>
                <c:pt idx="2202">
                  <c:v>1.6671940789545828E-2</c:v>
                </c:pt>
                <c:pt idx="2203">
                  <c:v>1.6669021161864635E-2</c:v>
                </c:pt>
                <c:pt idx="2204">
                  <c:v>1.6666072485008693E-2</c:v>
                </c:pt>
                <c:pt idx="2205">
                  <c:v>1.6663594770167465E-2</c:v>
                </c:pt>
                <c:pt idx="2206">
                  <c:v>1.6660581352874376E-2</c:v>
                </c:pt>
                <c:pt idx="2207">
                  <c:v>1.6657538882661218E-2</c:v>
                </c:pt>
                <c:pt idx="2208">
                  <c:v>1.6654467359595766E-2</c:v>
                </c:pt>
                <c:pt idx="2209">
                  <c:v>1.6651209184333694E-2</c:v>
                </c:pt>
                <c:pt idx="2210">
                  <c:v>1.664808177529602E-2</c:v>
                </c:pt>
                <c:pt idx="2211">
                  <c:v>1.6644925314924702E-2</c:v>
                </c:pt>
                <c:pt idx="2212">
                  <c:v>1.6641739803284736E-2</c:v>
                </c:pt>
                <c:pt idx="2213">
                  <c:v>1.6638525240447281E-2</c:v>
                </c:pt>
                <c:pt idx="2214">
                  <c:v>1.6635428115183416E-2</c:v>
                </c:pt>
                <c:pt idx="2215">
                  <c:v>1.6632153224100752E-2</c:v>
                </c:pt>
                <c:pt idx="2216">
                  <c:v>1.6628849280729687E-2</c:v>
                </c:pt>
                <c:pt idx="2217">
                  <c:v>1.6625516285143204E-2</c:v>
                </c:pt>
                <c:pt idx="2218">
                  <c:v>1.6622154237415161E-2</c:v>
                </c:pt>
                <c:pt idx="2219">
                  <c:v>1.6618763137620278E-2</c:v>
                </c:pt>
                <c:pt idx="2220">
                  <c:v>1.6615342985835019E-2</c:v>
                </c:pt>
                <c:pt idx="2221">
                  <c:v>1.6611893782132365E-2</c:v>
                </c:pt>
                <c:pt idx="2222">
                  <c:v>1.6608415526591383E-2</c:v>
                </c:pt>
                <c:pt idx="2223">
                  <c:v>1.6604908219288537E-2</c:v>
                </c:pt>
                <c:pt idx="2224">
                  <c:v>1.6601371860302021E-2</c:v>
                </c:pt>
                <c:pt idx="2225">
                  <c:v>1.6597806449708302E-2</c:v>
                </c:pt>
                <c:pt idx="2226">
                  <c:v>1.6594211987587308E-2</c:v>
                </c:pt>
                <c:pt idx="2227">
                  <c:v>1.6590588474019851E-2</c:v>
                </c:pt>
                <c:pt idx="2228">
                  <c:v>1.6586935909087601E-2</c:v>
                </c:pt>
                <c:pt idx="2229">
                  <c:v>1.6583254292867888E-2</c:v>
                </c:pt>
                <c:pt idx="2230">
                  <c:v>1.6579543625444997E-2</c:v>
                </c:pt>
                <c:pt idx="2231">
                  <c:v>1.6575695438019251E-2</c:v>
                </c:pt>
                <c:pt idx="2232">
                  <c:v>1.6571928916548271E-2</c:v>
                </c:pt>
                <c:pt idx="2233">
                  <c:v>1.6568133345411764E-2</c:v>
                </c:pt>
                <c:pt idx="2234">
                  <c:v>1.6564308724692292E-2</c:v>
                </c:pt>
                <c:pt idx="2235">
                  <c:v>1.6560455054475072E-2</c:v>
                </c:pt>
                <c:pt idx="2236">
                  <c:v>1.6556669550275356E-2</c:v>
                </c:pt>
                <c:pt idx="2237">
                  <c:v>1.6552755526763101E-2</c:v>
                </c:pt>
                <c:pt idx="2238">
                  <c:v>1.6548812452726252E-2</c:v>
                </c:pt>
                <c:pt idx="2239">
                  <c:v>1.6544840328248222E-2</c:v>
                </c:pt>
                <c:pt idx="2240">
                  <c:v>1.6540839153416764E-2</c:v>
                </c:pt>
                <c:pt idx="2241">
                  <c:v>1.653680892832398E-2</c:v>
                </c:pt>
                <c:pt idx="2242">
                  <c:v>1.6532749653058492E-2</c:v>
                </c:pt>
                <c:pt idx="2243">
                  <c:v>1.6528661327707188E-2</c:v>
                </c:pt>
                <c:pt idx="2244">
                  <c:v>1.6524385452575174E-2</c:v>
                </c:pt>
                <c:pt idx="2245">
                  <c:v>1.6520243556722214E-2</c:v>
                </c:pt>
                <c:pt idx="2246">
                  <c:v>1.6516072613610433E-2</c:v>
                </c:pt>
                <c:pt idx="2247">
                  <c:v>1.6511872623331314E-2</c:v>
                </c:pt>
                <c:pt idx="2248">
                  <c:v>1.6507643585975451E-2</c:v>
                </c:pt>
                <c:pt idx="2249">
                  <c:v>1.6503385501636103E-2</c:v>
                </c:pt>
                <c:pt idx="2250">
                  <c:v>1.6499098370403864E-2</c:v>
                </c:pt>
                <c:pt idx="2251">
                  <c:v>1.6494782192371993E-2</c:v>
                </c:pt>
                <c:pt idx="2252">
                  <c:v>1.6490436967634636E-2</c:v>
                </c:pt>
                <c:pt idx="2253">
                  <c:v>1.6486003551727128E-2</c:v>
                </c:pt>
                <c:pt idx="2254">
                  <c:v>1.6481602509716302E-2</c:v>
                </c:pt>
                <c:pt idx="2255">
                  <c:v>1.6477172422551777E-2</c:v>
                </c:pt>
                <c:pt idx="2256">
                  <c:v>1.6472713290326964E-2</c:v>
                </c:pt>
                <c:pt idx="2257">
                  <c:v>1.6468374565951412E-2</c:v>
                </c:pt>
                <c:pt idx="2258">
                  <c:v>1.6463850500585603E-2</c:v>
                </c:pt>
                <c:pt idx="2259">
                  <c:v>1.6459297386665798E-2</c:v>
                </c:pt>
                <c:pt idx="2260">
                  <c:v>1.6454715224290178E-2</c:v>
                </c:pt>
                <c:pt idx="2261">
                  <c:v>1.6450104013562141E-2</c:v>
                </c:pt>
                <c:pt idx="2262">
                  <c:v>1.6445425572000471E-2</c:v>
                </c:pt>
                <c:pt idx="2263">
                  <c:v>1.6440758552463047E-2</c:v>
                </c:pt>
                <c:pt idx="2264">
                  <c:v>1.6436062486137794E-2</c:v>
                </c:pt>
                <c:pt idx="2265">
                  <c:v>1.6431337373125725E-2</c:v>
                </c:pt>
                <c:pt idx="2266">
                  <c:v>1.6426612238228437E-2</c:v>
                </c:pt>
                <c:pt idx="2267">
                  <c:v>1.6421826739552847E-2</c:v>
                </c:pt>
                <c:pt idx="2268">
                  <c:v>1.641701219325295E-2</c:v>
                </c:pt>
                <c:pt idx="2269">
                  <c:v>1.6412168599437355E-2</c:v>
                </c:pt>
                <c:pt idx="2270">
                  <c:v>1.6407295958212068E-2</c:v>
                </c:pt>
                <c:pt idx="2271">
                  <c:v>1.6402394269685691E-2</c:v>
                </c:pt>
                <c:pt idx="2272">
                  <c:v>1.639746353396597E-2</c:v>
                </c:pt>
                <c:pt idx="2273">
                  <c:v>1.6392503751163249E-2</c:v>
                </c:pt>
                <c:pt idx="2274">
                  <c:v>1.6387514921388742E-2</c:v>
                </c:pt>
                <c:pt idx="2275">
                  <c:v>1.6382497044751931E-2</c:v>
                </c:pt>
                <c:pt idx="2276">
                  <c:v>1.637745012136229E-2</c:v>
                </c:pt>
                <c:pt idx="2277">
                  <c:v>1.6372374151333642E-2</c:v>
                </c:pt>
                <c:pt idx="2278">
                  <c:v>1.6367269134778938E-2</c:v>
                </c:pt>
                <c:pt idx="2279">
                  <c:v>1.6362135071810266E-2</c:v>
                </c:pt>
                <c:pt idx="2280">
                  <c:v>1.6356971962543185E-2</c:v>
                </c:pt>
                <c:pt idx="2281">
                  <c:v>1.6351779807089777E-2</c:v>
                </c:pt>
                <c:pt idx="2282">
                  <c:v>1.634655860556734E-2</c:v>
                </c:pt>
                <c:pt idx="2283">
                  <c:v>1.634131847697223E-2</c:v>
                </c:pt>
                <c:pt idx="2284">
                  <c:v>1.6336041497359389E-2</c:v>
                </c:pt>
                <c:pt idx="2285">
                  <c:v>1.6330735473255781E-2</c:v>
                </c:pt>
                <c:pt idx="2286">
                  <c:v>1.632540040477648E-2</c:v>
                </c:pt>
                <c:pt idx="2287">
                  <c:v>1.6320036292040947E-2</c:v>
                </c:pt>
                <c:pt idx="2288">
                  <c:v>1.6314621435494444E-2</c:v>
                </c:pt>
                <c:pt idx="2289">
                  <c:v>1.6309196914760977E-2</c:v>
                </c:pt>
                <c:pt idx="2290">
                  <c:v>1.6303743348901202E-2</c:v>
                </c:pt>
                <c:pt idx="2291">
                  <c:v>1.6298260738037636E-2</c:v>
                </c:pt>
                <c:pt idx="2292">
                  <c:v>1.6292749082291919E-2</c:v>
                </c:pt>
                <c:pt idx="2293">
                  <c:v>1.6287208381784823E-2</c:v>
                </c:pt>
                <c:pt idx="2294">
                  <c:v>1.6281638636639728E-2</c:v>
                </c:pt>
                <c:pt idx="2295">
                  <c:v>1.627603984698088E-2</c:v>
                </c:pt>
                <c:pt idx="2296">
                  <c:v>1.62704523054461E-2</c:v>
                </c:pt>
                <c:pt idx="2297">
                  <c:v>1.6264797756710921E-2</c:v>
                </c:pt>
                <c:pt idx="2298">
                  <c:v>1.6259114165046801E-2</c:v>
                </c:pt>
                <c:pt idx="2299">
                  <c:v>1.6253401530579352E-2</c:v>
                </c:pt>
                <c:pt idx="2300">
                  <c:v>1.6246837243018362E-2</c:v>
                </c:pt>
                <c:pt idx="2301">
                  <c:v>1.6241062374394627E-2</c:v>
                </c:pt>
                <c:pt idx="2302">
                  <c:v>1.6235258463363728E-2</c:v>
                </c:pt>
                <c:pt idx="2303">
                  <c:v>1.6229196326606157E-2</c:v>
                </c:pt>
                <c:pt idx="2304">
                  <c:v>1.6223563514590811E-2</c:v>
                </c:pt>
                <c:pt idx="2305">
                  <c:v>1.6217733888619357E-2</c:v>
                </c:pt>
                <c:pt idx="2306">
                  <c:v>1.6211816149656499E-2</c:v>
                </c:pt>
                <c:pt idx="2307">
                  <c:v>1.6205869370129022E-2</c:v>
                </c:pt>
                <c:pt idx="2308">
                  <c:v>1.6199893550163047E-2</c:v>
                </c:pt>
                <c:pt idx="2309">
                  <c:v>1.6193604214041112E-2</c:v>
                </c:pt>
                <c:pt idx="2310">
                  <c:v>1.6187560931680618E-2</c:v>
                </c:pt>
                <c:pt idx="2311">
                  <c:v>1.6181488604503361E-2</c:v>
                </c:pt>
                <c:pt idx="2312">
                  <c:v>1.6175387232650506E-2</c:v>
                </c:pt>
                <c:pt idx="2313">
                  <c:v>1.6169498680004415E-2</c:v>
                </c:pt>
                <c:pt idx="2314">
                  <c:v>1.6163346270198185E-2</c:v>
                </c:pt>
                <c:pt idx="2315">
                  <c:v>1.6157164819688045E-2</c:v>
                </c:pt>
                <c:pt idx="2316">
                  <c:v>1.6147392437999127E-2</c:v>
                </c:pt>
                <c:pt idx="2317">
                  <c:v>1.6144714797105938E-2</c:v>
                </c:pt>
                <c:pt idx="2318">
                  <c:v>1.6135657637729801E-2</c:v>
                </c:pt>
                <c:pt idx="2319">
                  <c:v>1.6129345223465461E-2</c:v>
                </c:pt>
                <c:pt idx="2320">
                  <c:v>1.6123003768066406E-2</c:v>
                </c:pt>
                <c:pt idx="2321">
                  <c:v>1.6116633271670785E-2</c:v>
                </c:pt>
                <c:pt idx="2322">
                  <c:v>1.6110233734420228E-2</c:v>
                </c:pt>
                <c:pt idx="2323">
                  <c:v>1.6103805156456357E-2</c:v>
                </c:pt>
                <c:pt idx="2324">
                  <c:v>1.6097347537925143E-2</c:v>
                </c:pt>
                <c:pt idx="2325">
                  <c:v>1.609086087896474E-2</c:v>
                </c:pt>
                <c:pt idx="2326">
                  <c:v>1.6084345179721984E-2</c:v>
                </c:pt>
                <c:pt idx="2327">
                  <c:v>1.6077800440341104E-2</c:v>
                </c:pt>
                <c:pt idx="2328">
                  <c:v>1.6071226660965471E-2</c:v>
                </c:pt>
                <c:pt idx="2329">
                  <c:v>1.6064623841743658E-2</c:v>
                </c:pt>
                <c:pt idx="2330">
                  <c:v>1.6057991982821634E-2</c:v>
                </c:pt>
                <c:pt idx="2331">
                  <c:v>1.6051331084342764E-2</c:v>
                </c:pt>
                <c:pt idx="2332">
                  <c:v>1.6044641146460838E-2</c:v>
                </c:pt>
                <c:pt idx="2333">
                  <c:v>1.6037922169320089E-2</c:v>
                </c:pt>
                <c:pt idx="2334">
                  <c:v>1.6031174153068223E-2</c:v>
                </c:pt>
                <c:pt idx="2335">
                  <c:v>1.602453048554292E-2</c:v>
                </c:pt>
                <c:pt idx="2336">
                  <c:v>1.6017726767893866E-2</c:v>
                </c:pt>
                <c:pt idx="2337">
                  <c:v>1.6010894012738346E-2</c:v>
                </c:pt>
                <c:pt idx="2338">
                  <c:v>1.600403222022306E-2</c:v>
                </c:pt>
                <c:pt idx="2339">
                  <c:v>1.5996998490445741E-2</c:v>
                </c:pt>
                <c:pt idx="2340">
                  <c:v>1.5990076242708116E-2</c:v>
                </c:pt>
                <c:pt idx="2341">
                  <c:v>1.5983124956922872E-2</c:v>
                </c:pt>
                <c:pt idx="2342">
                  <c:v>1.5976144633242928E-2</c:v>
                </c:pt>
                <c:pt idx="2343">
                  <c:v>1.5969135271824687E-2</c:v>
                </c:pt>
                <c:pt idx="2344">
                  <c:v>1.5962096872822802E-2</c:v>
                </c:pt>
                <c:pt idx="2345">
                  <c:v>1.5955029436395408E-2</c:v>
                </c:pt>
                <c:pt idx="2346">
                  <c:v>1.5947932962695428E-2</c:v>
                </c:pt>
                <c:pt idx="2347">
                  <c:v>1.5940807451883605E-2</c:v>
                </c:pt>
                <c:pt idx="2348">
                  <c:v>1.5933817273812961E-2</c:v>
                </c:pt>
                <c:pt idx="2349">
                  <c:v>1.5926636080433237E-2</c:v>
                </c:pt>
                <c:pt idx="2350">
                  <c:v>1.5919425851544568E-2</c:v>
                </c:pt>
                <c:pt idx="2351">
                  <c:v>1.5912186587305071E-2</c:v>
                </c:pt>
                <c:pt idx="2352">
                  <c:v>1.5904051639015648E-2</c:v>
                </c:pt>
                <c:pt idx="2353">
                  <c:v>1.5896576106853924E-2</c:v>
                </c:pt>
                <c:pt idx="2354">
                  <c:v>1.5889424431992261E-2</c:v>
                </c:pt>
                <c:pt idx="2355">
                  <c:v>1.5882067278043976E-2</c:v>
                </c:pt>
                <c:pt idx="2356">
                  <c:v>1.5874681090683573E-2</c:v>
                </c:pt>
                <c:pt idx="2357">
                  <c:v>1.5867265870073588E-2</c:v>
                </c:pt>
                <c:pt idx="2358">
                  <c:v>1.5859821616367675E-2</c:v>
                </c:pt>
                <c:pt idx="2359">
                  <c:v>1.585234832973903E-2</c:v>
                </c:pt>
                <c:pt idx="2360">
                  <c:v>1.5844846010341307E-2</c:v>
                </c:pt>
                <c:pt idx="2361">
                  <c:v>1.5836923121197156E-2</c:v>
                </c:pt>
                <c:pt idx="2362">
                  <c:v>1.582935792521532E-2</c:v>
                </c:pt>
                <c:pt idx="2363">
                  <c:v>1.5821763694750839E-2</c:v>
                </c:pt>
                <c:pt idx="2364">
                  <c:v>1.5814140429971407E-2</c:v>
                </c:pt>
                <c:pt idx="2365">
                  <c:v>1.5806693647192425E-2</c:v>
                </c:pt>
                <c:pt idx="2366">
                  <c:v>1.579681541410289E-2</c:v>
                </c:pt>
                <c:pt idx="2367">
                  <c:v>1.5789099163718748E-2</c:v>
                </c:pt>
                <c:pt idx="2368">
                  <c:v>1.5781353880842151E-2</c:v>
                </c:pt>
                <c:pt idx="2369">
                  <c:v>1.5771817274168414E-2</c:v>
                </c:pt>
                <c:pt idx="2370">
                  <c:v>1.5765557949830832E-2</c:v>
                </c:pt>
                <c:pt idx="2371">
                  <c:v>1.5757723154471388E-2</c:v>
                </c:pt>
                <c:pt idx="2372">
                  <c:v>1.57498593262176E-2</c:v>
                </c:pt>
                <c:pt idx="2373">
                  <c:v>1.5741966465243232E-2</c:v>
                </c:pt>
                <c:pt idx="2374">
                  <c:v>1.573404457172467E-2</c:v>
                </c:pt>
                <c:pt idx="2375">
                  <c:v>1.572609364583569E-2</c:v>
                </c:pt>
                <c:pt idx="2376">
                  <c:v>1.5718113687753537E-2</c:v>
                </c:pt>
                <c:pt idx="2377">
                  <c:v>1.5710104697656331E-2</c:v>
                </c:pt>
                <c:pt idx="2378">
                  <c:v>1.5702066675718714E-2</c:v>
                </c:pt>
                <c:pt idx="2379">
                  <c:v>1.5693999622122281E-2</c:v>
                </c:pt>
                <c:pt idx="2380">
                  <c:v>1.5685903537043414E-2</c:v>
                </c:pt>
                <c:pt idx="2381">
                  <c:v>1.5677778420662838E-2</c:v>
                </c:pt>
                <c:pt idx="2382">
                  <c:v>1.5669624273160404E-2</c:v>
                </c:pt>
                <c:pt idx="2383">
                  <c:v>1.5661441094715973E-2</c:v>
                </c:pt>
                <c:pt idx="2384">
                  <c:v>1.5653228885513744E-2</c:v>
                </c:pt>
                <c:pt idx="2385">
                  <c:v>1.5644987645734444E-2</c:v>
                </c:pt>
                <c:pt idx="2386">
                  <c:v>1.5636717375559665E-2</c:v>
                </c:pt>
                <c:pt idx="2387">
                  <c:v>1.5628677562369055E-2</c:v>
                </c:pt>
                <c:pt idx="2388">
                  <c:v>1.5620351666167126E-2</c:v>
                </c:pt>
                <c:pt idx="2389">
                  <c:v>1.5611996741171764E-2</c:v>
                </c:pt>
                <c:pt idx="2390">
                  <c:v>1.5602544175126116E-2</c:v>
                </c:pt>
                <c:pt idx="2391">
                  <c:v>1.5594930575211895E-2</c:v>
                </c:pt>
                <c:pt idx="2392">
                  <c:v>1.5586486126544617E-2</c:v>
                </c:pt>
                <c:pt idx="2393">
                  <c:v>1.5578012648779083E-2</c:v>
                </c:pt>
                <c:pt idx="2394">
                  <c:v>1.5569510142105576E-2</c:v>
                </c:pt>
                <c:pt idx="2395">
                  <c:v>1.5560978606710034E-2</c:v>
                </c:pt>
                <c:pt idx="2396">
                  <c:v>1.5552418042785347E-2</c:v>
                </c:pt>
                <c:pt idx="2397">
                  <c:v>1.5543828450515714E-2</c:v>
                </c:pt>
                <c:pt idx="2398">
                  <c:v>1.5535209830097501E-2</c:v>
                </c:pt>
                <c:pt idx="2399">
                  <c:v>1.5526562181717513E-2</c:v>
                </c:pt>
                <c:pt idx="2400">
                  <c:v>1.5518467690535331E-2</c:v>
                </c:pt>
                <c:pt idx="2401">
                  <c:v>1.5509766882076725E-2</c:v>
                </c:pt>
                <c:pt idx="2402">
                  <c:v>1.550103704828576E-2</c:v>
                </c:pt>
                <c:pt idx="2403">
                  <c:v>1.5486660418022604E-2</c:v>
                </c:pt>
                <c:pt idx="2404">
                  <c:v>1.5482232524097306E-2</c:v>
                </c:pt>
                <c:pt idx="2405">
                  <c:v>1.5474673396796312E-2</c:v>
                </c:pt>
                <c:pt idx="2406">
                  <c:v>1.5465827463565951E-2</c:v>
                </c:pt>
                <c:pt idx="2407">
                  <c:v>1.5456952505953581E-2</c:v>
                </c:pt>
                <c:pt idx="2408">
                  <c:v>1.5448048524152824E-2</c:v>
                </c:pt>
                <c:pt idx="2409">
                  <c:v>1.543942831151039E-2</c:v>
                </c:pt>
                <c:pt idx="2410">
                  <c:v>1.5430468738442215E-2</c:v>
                </c:pt>
                <c:pt idx="2411">
                  <c:v>1.5421480142771291E-2</c:v>
                </c:pt>
                <c:pt idx="2412">
                  <c:v>1.5412462524689825E-2</c:v>
                </c:pt>
                <c:pt idx="2413">
                  <c:v>1.5402447277172318E-2</c:v>
                </c:pt>
                <c:pt idx="2414">
                  <c:v>1.5393364232765274E-2</c:v>
                </c:pt>
                <c:pt idx="2415">
                  <c:v>1.5384252163544372E-2</c:v>
                </c:pt>
                <c:pt idx="2416">
                  <c:v>1.5375111069712061E-2</c:v>
                </c:pt>
                <c:pt idx="2417">
                  <c:v>1.5366273913712205E-2</c:v>
                </c:pt>
                <c:pt idx="2418">
                  <c:v>1.5357077236086166E-2</c:v>
                </c:pt>
                <c:pt idx="2419">
                  <c:v>1.5347851535443172E-2</c:v>
                </c:pt>
                <c:pt idx="2420">
                  <c:v>1.5338596811989649E-2</c:v>
                </c:pt>
                <c:pt idx="2421">
                  <c:v>1.5328970238476286E-2</c:v>
                </c:pt>
                <c:pt idx="2422">
                  <c:v>1.5319655001249486E-2</c:v>
                </c:pt>
                <c:pt idx="2423">
                  <c:v>1.531031074084057E-2</c:v>
                </c:pt>
                <c:pt idx="2424">
                  <c:v>1.5300937457460669E-2</c:v>
                </c:pt>
                <c:pt idx="2425">
                  <c:v>1.5291535151315708E-2</c:v>
                </c:pt>
                <c:pt idx="2426">
                  <c:v>1.5282103822612478E-2</c:v>
                </c:pt>
                <c:pt idx="2427">
                  <c:v>1.5272643471563851E-2</c:v>
                </c:pt>
                <c:pt idx="2428">
                  <c:v>1.5263154098378357E-2</c:v>
                </c:pt>
                <c:pt idx="2429">
                  <c:v>1.5253635703264523E-2</c:v>
                </c:pt>
                <c:pt idx="2430">
                  <c:v>1.5244088286435224E-2</c:v>
                </c:pt>
                <c:pt idx="2431">
                  <c:v>1.5234511848102462E-2</c:v>
                </c:pt>
                <c:pt idx="2432">
                  <c:v>1.5224906388477377E-2</c:v>
                </c:pt>
                <c:pt idx="2433">
                  <c:v>1.5215271907771969E-2</c:v>
                </c:pt>
                <c:pt idx="2434">
                  <c:v>1.5205608406205195E-2</c:v>
                </c:pt>
                <c:pt idx="2435">
                  <c:v>1.5195915883983845E-2</c:v>
                </c:pt>
                <c:pt idx="2436">
                  <c:v>1.5186194341329484E-2</c:v>
                </c:pt>
                <c:pt idx="2437">
                  <c:v>1.5176443778454113E-2</c:v>
                </c:pt>
                <c:pt idx="2438">
                  <c:v>1.5166664195573212E-2</c:v>
                </c:pt>
                <c:pt idx="2439">
                  <c:v>1.5157243005530499E-2</c:v>
                </c:pt>
                <c:pt idx="2440">
                  <c:v>1.5147407869277834E-2</c:v>
                </c:pt>
                <c:pt idx="2441">
                  <c:v>1.5137543714607611E-2</c:v>
                </c:pt>
                <c:pt idx="2442">
                  <c:v>1.5127650541737677E-2</c:v>
                </c:pt>
                <c:pt idx="2443">
                  <c:v>1.5116137411271742E-2</c:v>
                </c:pt>
                <c:pt idx="2444">
                  <c:v>1.5107377290394098E-2</c:v>
                </c:pt>
                <c:pt idx="2445">
                  <c:v>1.5097394573592209E-2</c:v>
                </c:pt>
                <c:pt idx="2446">
                  <c:v>1.5087382838540778E-2</c:v>
                </c:pt>
                <c:pt idx="2447">
                  <c:v>1.5077342085457891E-2</c:v>
                </c:pt>
                <c:pt idx="2448">
                  <c:v>1.5067272314570324E-2</c:v>
                </c:pt>
                <c:pt idx="2449">
                  <c:v>1.5057173526099636E-2</c:v>
                </c:pt>
                <c:pt idx="2450">
                  <c:v>1.5047045720268262E-2</c:v>
                </c:pt>
                <c:pt idx="2451">
                  <c:v>1.5036888897303842E-2</c:v>
                </c:pt>
                <c:pt idx="2452">
                  <c:v>1.5027542412876294E-2</c:v>
                </c:pt>
                <c:pt idx="2453">
                  <c:v>1.5017332552055507E-2</c:v>
                </c:pt>
                <c:pt idx="2454">
                  <c:v>1.5007093676582706E-2</c:v>
                </c:pt>
                <c:pt idx="2455">
                  <c:v>1.4996825786678158E-2</c:v>
                </c:pt>
                <c:pt idx="2456">
                  <c:v>1.4986528882568351E-2</c:v>
                </c:pt>
                <c:pt idx="2457">
                  <c:v>1.4976202964473551E-2</c:v>
                </c:pt>
                <c:pt idx="2458">
                  <c:v>1.4965848032619355E-2</c:v>
                </c:pt>
                <c:pt idx="2459">
                  <c:v>1.4955464087229586E-2</c:v>
                </c:pt>
                <c:pt idx="2460">
                  <c:v>1.4945051128530729E-2</c:v>
                </c:pt>
                <c:pt idx="2461">
                  <c:v>1.4935050970922278E-2</c:v>
                </c:pt>
                <c:pt idx="2462">
                  <c:v>1.492458249196398E-2</c:v>
                </c:pt>
                <c:pt idx="2463">
                  <c:v>1.4914085001256275E-2</c:v>
                </c:pt>
                <c:pt idx="2464">
                  <c:v>1.4903558499024598E-2</c:v>
                </c:pt>
                <c:pt idx="2465">
                  <c:v>1.4891646703935011E-2</c:v>
                </c:pt>
                <c:pt idx="2466">
                  <c:v>1.488105465133565E-2</c:v>
                </c:pt>
                <c:pt idx="2467">
                  <c:v>1.4870433585281175E-2</c:v>
                </c:pt>
                <c:pt idx="2468">
                  <c:v>1.4859783506007914E-2</c:v>
                </c:pt>
                <c:pt idx="2469">
                  <c:v>1.4849566802391228E-2</c:v>
                </c:pt>
                <c:pt idx="2470">
                  <c:v>1.4838861210326518E-2</c:v>
                </c:pt>
                <c:pt idx="2471">
                  <c:v>1.4828126606612462E-2</c:v>
                </c:pt>
                <c:pt idx="2472">
                  <c:v>1.4817362991483597E-2</c:v>
                </c:pt>
                <c:pt idx="2473">
                  <c:v>1.4806570365177095E-2</c:v>
                </c:pt>
                <c:pt idx="2474">
                  <c:v>1.4795273766056306E-2</c:v>
                </c:pt>
                <c:pt idx="2475">
                  <c:v>1.4784420600902759E-2</c:v>
                </c:pt>
                <c:pt idx="2476">
                  <c:v>1.4773538424438468E-2</c:v>
                </c:pt>
                <c:pt idx="2477">
                  <c:v>1.476262723690237E-2</c:v>
                </c:pt>
                <c:pt idx="2478">
                  <c:v>1.4751687038540356E-2</c:v>
                </c:pt>
                <c:pt idx="2479">
                  <c:v>1.4740717829591368E-2</c:v>
                </c:pt>
                <c:pt idx="2480">
                  <c:v>1.4729719753854289E-2</c:v>
                </c:pt>
                <c:pt idx="2481">
                  <c:v>1.4718695366364432E-2</c:v>
                </c:pt>
                <c:pt idx="2482">
                  <c:v>1.4707649222887998E-2</c:v>
                </c:pt>
                <c:pt idx="2483">
                  <c:v>1.4696585939709732E-2</c:v>
                </c:pt>
                <c:pt idx="2484">
                  <c:v>1.4685510133054429E-2</c:v>
                </c:pt>
                <c:pt idx="2485">
                  <c:v>1.4674426419100831E-2</c:v>
                </c:pt>
                <c:pt idx="2486">
                  <c:v>1.4663339413969469E-2</c:v>
                </c:pt>
                <c:pt idx="2487">
                  <c:v>1.4652253733736558E-2</c:v>
                </c:pt>
                <c:pt idx="2488">
                  <c:v>1.4641173994419231E-2</c:v>
                </c:pt>
                <c:pt idx="2489">
                  <c:v>1.4630104811987706E-2</c:v>
                </c:pt>
                <c:pt idx="2490">
                  <c:v>1.4619050802353982E-2</c:v>
                </c:pt>
                <c:pt idx="2491">
                  <c:v>1.4608503416502706E-2</c:v>
                </c:pt>
                <c:pt idx="2492">
                  <c:v>1.4597491815822625E-2</c:v>
                </c:pt>
                <c:pt idx="2493">
                  <c:v>1.4586509143683866E-2</c:v>
                </c:pt>
                <c:pt idx="2494">
                  <c:v>1.4575557982514765E-2</c:v>
                </c:pt>
                <c:pt idx="2495">
                  <c:v>1.456415888015155E-2</c:v>
                </c:pt>
                <c:pt idx="2496">
                  <c:v>1.4553272852049989E-2</c:v>
                </c:pt>
                <c:pt idx="2497">
                  <c:v>1.4542418480842055E-2</c:v>
                </c:pt>
                <c:pt idx="2498">
                  <c:v>1.4531595766262744E-2</c:v>
                </c:pt>
                <c:pt idx="2499">
                  <c:v>1.4520804708053132E-2</c:v>
                </c:pt>
                <c:pt idx="2500">
                  <c:v>1.4510045305949952E-2</c:v>
                </c:pt>
                <c:pt idx="2501">
                  <c:v>1.4499317559696889E-2</c:v>
                </c:pt>
                <c:pt idx="2502">
                  <c:v>1.4488621469029803E-2</c:v>
                </c:pt>
                <c:pt idx="2503">
                  <c:v>1.4477957033694117E-2</c:v>
                </c:pt>
                <c:pt idx="2504">
                  <c:v>1.4467787398533443E-2</c:v>
                </c:pt>
                <c:pt idx="2505">
                  <c:v>1.4457184437238551E-2</c:v>
                </c:pt>
                <c:pt idx="2506">
                  <c:v>1.4446613128942999E-2</c:v>
                </c:pt>
                <c:pt idx="2507">
                  <c:v>1.443607347339293E-2</c:v>
                </c:pt>
                <c:pt idx="2508">
                  <c:v>1.4425565470337111E-2</c:v>
                </c:pt>
                <c:pt idx="2509">
                  <c:v>1.4415089119523437E-2</c:v>
                </c:pt>
                <c:pt idx="2510">
                  <c:v>1.4404644420702439E-2</c:v>
                </c:pt>
                <c:pt idx="2511">
                  <c:v>1.4394231373624647E-2</c:v>
                </c:pt>
                <c:pt idx="2512">
                  <c:v>1.4383849978040587E-2</c:v>
                </c:pt>
                <c:pt idx="2513">
                  <c:v>1.4373946964666651E-2</c:v>
                </c:pt>
                <c:pt idx="2514">
                  <c:v>1.4363627021733549E-2</c:v>
                </c:pt>
                <c:pt idx="2515">
                  <c:v>1.4353338728015252E-2</c:v>
                </c:pt>
                <c:pt idx="2516">
                  <c:v>1.4343082083268399E-2</c:v>
                </c:pt>
                <c:pt idx="2517">
                  <c:v>1.4331978605727649E-2</c:v>
                </c:pt>
                <c:pt idx="2518">
                  <c:v>1.4321788969848237E-2</c:v>
                </c:pt>
                <c:pt idx="2519">
                  <c:v>1.4311630985266928E-2</c:v>
                </c:pt>
                <c:pt idx="2520">
                  <c:v>1.4301504651737833E-2</c:v>
                </c:pt>
                <c:pt idx="2521">
                  <c:v>1.4291409969017668E-2</c:v>
                </c:pt>
                <c:pt idx="2522">
                  <c:v>1.4281776800133221E-2</c:v>
                </c:pt>
                <c:pt idx="2523">
                  <c:v>1.4271743554769904E-2</c:v>
                </c:pt>
                <c:pt idx="2524">
                  <c:v>1.4261741957971672E-2</c:v>
                </c:pt>
                <c:pt idx="2525">
                  <c:v>1.4251772009500476E-2</c:v>
                </c:pt>
                <c:pt idx="2526">
                  <c:v>1.4241411309035872E-2</c:v>
                </c:pt>
                <c:pt idx="2527">
                  <c:v>1.4231506526069889E-2</c:v>
                </c:pt>
                <c:pt idx="2528">
                  <c:v>1.4221633392222016E-2</c:v>
                </c:pt>
                <c:pt idx="2529">
                  <c:v>1.4211791907252443E-2</c:v>
                </c:pt>
                <c:pt idx="2530">
                  <c:v>1.4201982070925708E-2</c:v>
                </c:pt>
                <c:pt idx="2531">
                  <c:v>1.4192203883000264E-2</c:v>
                </c:pt>
                <c:pt idx="2532">
                  <c:v>1.4182457343244121E-2</c:v>
                </c:pt>
                <c:pt idx="2533">
                  <c:v>1.4172742451419211E-2</c:v>
                </c:pt>
                <c:pt idx="2534">
                  <c:v>1.4163059207290069E-2</c:v>
                </c:pt>
                <c:pt idx="2535">
                  <c:v>1.4153407610625578E-2</c:v>
                </c:pt>
                <c:pt idx="2536">
                  <c:v>1.4143787661190269E-2</c:v>
                </c:pt>
                <c:pt idx="2537">
                  <c:v>1.4134199358753027E-2</c:v>
                </c:pt>
                <c:pt idx="2538">
                  <c:v>1.4124642703081863E-2</c:v>
                </c:pt>
                <c:pt idx="2539">
                  <c:v>1.4115117693943918E-2</c:v>
                </c:pt>
                <c:pt idx="2540">
                  <c:v>1.4105624331112419E-2</c:v>
                </c:pt>
                <c:pt idx="2541">
                  <c:v>1.4096162614356245E-2</c:v>
                </c:pt>
                <c:pt idx="2542">
                  <c:v>1.4086732543446882E-2</c:v>
                </c:pt>
                <c:pt idx="2543">
                  <c:v>1.4077724532965696E-2</c:v>
                </c:pt>
                <c:pt idx="2544">
                  <c:v>1.4068355858295358E-2</c:v>
                </c:pt>
                <c:pt idx="2545">
                  <c:v>1.4059018827330698E-2</c:v>
                </c:pt>
                <c:pt idx="2546">
                  <c:v>1.4049713439847721E-2</c:v>
                </c:pt>
                <c:pt idx="2547">
                  <c:v>1.4040439695624183E-2</c:v>
                </c:pt>
                <c:pt idx="2548">
                  <c:v>1.4030816668062208E-2</c:v>
                </c:pt>
                <c:pt idx="2549">
                  <c:v>1.4021608111741257E-2</c:v>
                </c:pt>
                <c:pt idx="2550">
                  <c:v>1.4012431199465951E-2</c:v>
                </c:pt>
                <c:pt idx="2551">
                  <c:v>1.4003285931015597E-2</c:v>
                </c:pt>
                <c:pt idx="2552">
                  <c:v>1.3994172306166026E-2</c:v>
                </c:pt>
                <c:pt idx="2553">
                  <c:v>1.3985090324700021E-2</c:v>
                </c:pt>
                <c:pt idx="2554">
                  <c:v>1.397603998639515E-2</c:v>
                </c:pt>
                <c:pt idx="2555">
                  <c:v>1.3967021291037673E-2</c:v>
                </c:pt>
                <c:pt idx="2556">
                  <c:v>1.395876575047339E-2</c:v>
                </c:pt>
                <c:pt idx="2557">
                  <c:v>1.3949806513400276E-2</c:v>
                </c:pt>
                <c:pt idx="2558">
                  <c:v>1.3940878915757793E-2</c:v>
                </c:pt>
                <c:pt idx="2559">
                  <c:v>1.3931982957338995E-2</c:v>
                </c:pt>
                <c:pt idx="2560">
                  <c:v>1.3921496982998235E-2</c:v>
                </c:pt>
                <c:pt idx="2561">
                  <c:v>1.3913026728556765E-2</c:v>
                </c:pt>
                <c:pt idx="2562">
                  <c:v>1.390423020632614E-2</c:v>
                </c:pt>
                <c:pt idx="2563">
                  <c:v>1.3895465322450562E-2</c:v>
                </c:pt>
                <c:pt idx="2564">
                  <c:v>1.3886732076724861E-2</c:v>
                </c:pt>
                <c:pt idx="2565">
                  <c:v>1.3878378939330428E-2</c:v>
                </c:pt>
                <c:pt idx="2566">
                  <c:v>1.3869707043101007E-2</c:v>
                </c:pt>
                <c:pt idx="2567">
                  <c:v>1.386106678299452E-2</c:v>
                </c:pt>
                <c:pt idx="2568">
                  <c:v>1.3852458158806188E-2</c:v>
                </c:pt>
                <c:pt idx="2569">
                  <c:v>1.384217913871817E-2</c:v>
                </c:pt>
                <c:pt idx="2570">
                  <c:v>1.3833643446678182E-2</c:v>
                </c:pt>
                <c:pt idx="2571">
                  <c:v>1.3825139396958447E-2</c:v>
                </c:pt>
                <c:pt idx="2572">
                  <c:v>1.3816666989348072E-2</c:v>
                </c:pt>
                <c:pt idx="2573">
                  <c:v>1.3809223702617444E-2</c:v>
                </c:pt>
                <c:pt idx="2574">
                  <c:v>1.3800808764727206E-2</c:v>
                </c:pt>
                <c:pt idx="2575">
                  <c:v>1.3792425464147764E-2</c:v>
                </c:pt>
                <c:pt idx="2576">
                  <c:v>1.3779315625893665E-2</c:v>
                </c:pt>
                <c:pt idx="2577">
                  <c:v>1.3775753774119262E-2</c:v>
                </c:pt>
                <c:pt idx="2578">
                  <c:v>1.3766497016330381E-2</c:v>
                </c:pt>
                <c:pt idx="2579">
                  <c:v>1.3758246097676542E-2</c:v>
                </c:pt>
                <c:pt idx="2580">
                  <c:v>1.3750026819478916E-2</c:v>
                </c:pt>
                <c:pt idx="2581">
                  <c:v>1.3741839181538512E-2</c:v>
                </c:pt>
                <c:pt idx="2582">
                  <c:v>1.3733683183650388E-2</c:v>
                </c:pt>
                <c:pt idx="2583">
                  <c:v>1.3725558825614706E-2</c:v>
                </c:pt>
                <c:pt idx="2584">
                  <c:v>1.371746610722992E-2</c:v>
                </c:pt>
                <c:pt idx="2585">
                  <c:v>1.3709405028297046E-2</c:v>
                </c:pt>
                <c:pt idx="2586">
                  <c:v>1.3702297163514947E-2</c:v>
                </c:pt>
                <c:pt idx="2587">
                  <c:v>1.3693377787992768E-2</c:v>
                </c:pt>
                <c:pt idx="2588">
                  <c:v>1.3685411626222534E-2</c:v>
                </c:pt>
                <c:pt idx="2589">
                  <c:v>1.3677477103115053E-2</c:v>
                </c:pt>
                <c:pt idx="2590">
                  <c:v>1.3669574218470485E-2</c:v>
                </c:pt>
                <c:pt idx="2591">
                  <c:v>1.3661702972094944E-2</c:v>
                </c:pt>
                <c:pt idx="2592">
                  <c:v>1.3653863363796242E-2</c:v>
                </c:pt>
                <c:pt idx="2593">
                  <c:v>1.364605539337879E-2</c:v>
                </c:pt>
                <c:pt idx="2594">
                  <c:v>1.3638279060647853E-2</c:v>
                </c:pt>
                <c:pt idx="2595">
                  <c:v>1.3631402984780838E-2</c:v>
                </c:pt>
                <c:pt idx="2596">
                  <c:v>1.362368402260722E-2</c:v>
                </c:pt>
                <c:pt idx="2597">
                  <c:v>1.3615996693511299E-2</c:v>
                </c:pt>
                <c:pt idx="2598">
                  <c:v>1.3608340997310361E-2</c:v>
                </c:pt>
                <c:pt idx="2599">
                  <c:v>1.3599871955640859E-2</c:v>
                </c:pt>
                <c:pt idx="2600">
                  <c:v>1.3592285445039851E-2</c:v>
                </c:pt>
                <c:pt idx="2601">
                  <c:v>1.3584730570800459E-2</c:v>
                </c:pt>
                <c:pt idx="2602">
                  <c:v>1.3577207332734745E-2</c:v>
                </c:pt>
                <c:pt idx="2603">
                  <c:v>1.3569715730659881E-2</c:v>
                </c:pt>
                <c:pt idx="2604">
                  <c:v>1.356225576438793E-2</c:v>
                </c:pt>
                <c:pt idx="2605">
                  <c:v>1.3554827433736061E-2</c:v>
                </c:pt>
                <c:pt idx="2606">
                  <c:v>1.3547430738521441E-2</c:v>
                </c:pt>
                <c:pt idx="2607">
                  <c:v>1.3540065678560385E-2</c:v>
                </c:pt>
                <c:pt idx="2608">
                  <c:v>1.3533788020142268E-2</c:v>
                </c:pt>
                <c:pt idx="2609">
                  <c:v>1.3526478288795829E-2</c:v>
                </c:pt>
                <c:pt idx="2610">
                  <c:v>1.3519200186877356E-2</c:v>
                </c:pt>
                <c:pt idx="2611">
                  <c:v>1.3511953714211877E-2</c:v>
                </c:pt>
                <c:pt idx="2612">
                  <c:v>1.3502167856316609E-2</c:v>
                </c:pt>
                <c:pt idx="2613">
                  <c:v>1.3494233394046972E-2</c:v>
                </c:pt>
                <c:pt idx="2614">
                  <c:v>1.3486846107826937E-2</c:v>
                </c:pt>
                <c:pt idx="2615">
                  <c:v>1.3479992946698174E-2</c:v>
                </c:pt>
                <c:pt idx="2616">
                  <c:v>1.3472920167572726E-2</c:v>
                </c:pt>
                <c:pt idx="2617">
                  <c:v>1.346587901792258E-2</c:v>
                </c:pt>
                <c:pt idx="2618">
                  <c:v>1.3458869497579079E-2</c:v>
                </c:pt>
                <c:pt idx="2619">
                  <c:v>1.345189160637269E-2</c:v>
                </c:pt>
                <c:pt idx="2620">
                  <c:v>1.3444945344139149E-2</c:v>
                </c:pt>
                <c:pt idx="2621">
                  <c:v>1.3437793446464579E-2</c:v>
                </c:pt>
                <c:pt idx="2622">
                  <c:v>1.3430912444514607E-2</c:v>
                </c:pt>
                <c:pt idx="2623">
                  <c:v>1.3424063072335613E-2</c:v>
                </c:pt>
                <c:pt idx="2624">
                  <c:v>1.3417245329765985E-2</c:v>
                </c:pt>
                <c:pt idx="2625">
                  <c:v>1.3410688461771866E-2</c:v>
                </c:pt>
                <c:pt idx="2626">
                  <c:v>1.3403931969911806E-2</c:v>
                </c:pt>
                <c:pt idx="2627">
                  <c:v>1.3395291525322541E-2</c:v>
                </c:pt>
                <c:pt idx="2628">
                  <c:v>1.3390513869506957E-2</c:v>
                </c:pt>
                <c:pt idx="2629">
                  <c:v>1.3383852260643302E-2</c:v>
                </c:pt>
                <c:pt idx="2630">
                  <c:v>1.3377003086934016E-2</c:v>
                </c:pt>
                <c:pt idx="2631">
                  <c:v>1.3370406747047529E-2</c:v>
                </c:pt>
                <c:pt idx="2632">
                  <c:v>1.3363842035474057E-2</c:v>
                </c:pt>
                <c:pt idx="2633">
                  <c:v>1.3357308952051986E-2</c:v>
                </c:pt>
                <c:pt idx="2634">
                  <c:v>1.3350807496623185E-2</c:v>
                </c:pt>
                <c:pt idx="2635">
                  <c:v>1.3344337669033859E-2</c:v>
                </c:pt>
                <c:pt idx="2636">
                  <c:v>1.3337899469125008E-2</c:v>
                </c:pt>
                <c:pt idx="2637">
                  <c:v>1.3331492896743713E-2</c:v>
                </c:pt>
                <c:pt idx="2638">
                  <c:v>1.3325117951730966E-2</c:v>
                </c:pt>
                <c:pt idx="2639">
                  <c:v>1.3318774633936454E-2</c:v>
                </c:pt>
                <c:pt idx="2640">
                  <c:v>1.3312462943206389E-2</c:v>
                </c:pt>
                <c:pt idx="2641">
                  <c:v>1.3306182879387849E-2</c:v>
                </c:pt>
                <c:pt idx="2642">
                  <c:v>1.3299934442327912E-2</c:v>
                </c:pt>
                <c:pt idx="2643">
                  <c:v>1.3293717631876261E-2</c:v>
                </c:pt>
                <c:pt idx="2644">
                  <c:v>1.3287532447884325E-2</c:v>
                </c:pt>
                <c:pt idx="2645">
                  <c:v>1.3281378890201785E-2</c:v>
                </c:pt>
                <c:pt idx="2646">
                  <c:v>1.3275256958679198E-2</c:v>
                </c:pt>
                <c:pt idx="2647">
                  <c:v>1.3269351426663353E-2</c:v>
                </c:pt>
                <c:pt idx="2648">
                  <c:v>1.3263290711013566E-2</c:v>
                </c:pt>
                <c:pt idx="2649">
                  <c:v>1.3257261619826826E-2</c:v>
                </c:pt>
                <c:pt idx="2650">
                  <c:v>1.3251264152963469E-2</c:v>
                </c:pt>
                <c:pt idx="2651">
                  <c:v>1.3245121688317481E-2</c:v>
                </c:pt>
                <c:pt idx="2652">
                  <c:v>1.3239189510677067E-2</c:v>
                </c:pt>
                <c:pt idx="2653">
                  <c:v>1.3233288958177417E-2</c:v>
                </c:pt>
                <c:pt idx="2654">
                  <c:v>1.3227420030676911E-2</c:v>
                </c:pt>
                <c:pt idx="2655">
                  <c:v>1.3221582728033919E-2</c:v>
                </c:pt>
                <c:pt idx="2656">
                  <c:v>1.321577705010421E-2</c:v>
                </c:pt>
                <c:pt idx="2657">
                  <c:v>1.3210002996751373E-2</c:v>
                </c:pt>
                <c:pt idx="2658">
                  <c:v>1.3204260567834646E-2</c:v>
                </c:pt>
                <c:pt idx="2659">
                  <c:v>1.3198549763215016E-2</c:v>
                </c:pt>
                <c:pt idx="2660">
                  <c:v>1.319302879081158E-2</c:v>
                </c:pt>
                <c:pt idx="2661">
                  <c:v>1.3187379182183625E-2</c:v>
                </c:pt>
                <c:pt idx="2662">
                  <c:v>1.3181761196207419E-2</c:v>
                </c:pt>
                <c:pt idx="2663">
                  <c:v>1.317617483274681E-2</c:v>
                </c:pt>
                <c:pt idx="2664">
                  <c:v>1.3170580515357203E-2</c:v>
                </c:pt>
                <c:pt idx="2665">
                  <c:v>1.3164458370687804E-2</c:v>
                </c:pt>
                <c:pt idx="2666">
                  <c:v>1.3158969333059822E-2</c:v>
                </c:pt>
                <c:pt idx="2667">
                  <c:v>1.3153511916171645E-2</c:v>
                </c:pt>
                <c:pt idx="2668">
                  <c:v>1.3148086119896263E-2</c:v>
                </c:pt>
                <c:pt idx="2669">
                  <c:v>1.3142691944104001E-2</c:v>
                </c:pt>
                <c:pt idx="2670">
                  <c:v>1.3137329388667851E-2</c:v>
                </c:pt>
                <c:pt idx="2671">
                  <c:v>1.3131998453461691E-2</c:v>
                </c:pt>
                <c:pt idx="2672">
                  <c:v>1.3126699138358511E-2</c:v>
                </c:pt>
                <c:pt idx="2673">
                  <c:v>1.3121168972626806E-2</c:v>
                </c:pt>
                <c:pt idx="2674">
                  <c:v>1.3115937033799411E-2</c:v>
                </c:pt>
                <c:pt idx="2675">
                  <c:v>1.3110736717133429E-2</c:v>
                </c:pt>
                <c:pt idx="2676">
                  <c:v>1.3105568022506345E-2</c:v>
                </c:pt>
                <c:pt idx="2677">
                  <c:v>1.3099091288422102E-2</c:v>
                </c:pt>
                <c:pt idx="2678">
                  <c:v>1.3093992798759996E-2</c:v>
                </c:pt>
                <c:pt idx="2679">
                  <c:v>1.3088925929517579E-2</c:v>
                </c:pt>
                <c:pt idx="2680">
                  <c:v>1.3083890680573628E-2</c:v>
                </c:pt>
                <c:pt idx="2681">
                  <c:v>1.3077834412716004E-2</c:v>
                </c:pt>
                <c:pt idx="2682">
                  <c:v>1.3073803157145686E-2</c:v>
                </c:pt>
                <c:pt idx="2683">
                  <c:v>1.3068864847928484E-2</c:v>
                </c:pt>
                <c:pt idx="2684">
                  <c:v>1.3063958159739686E-2</c:v>
                </c:pt>
                <c:pt idx="2685">
                  <c:v>1.3059083092456781E-2</c:v>
                </c:pt>
                <c:pt idx="2686">
                  <c:v>1.3054239645965079E-2</c:v>
                </c:pt>
                <c:pt idx="2687">
                  <c:v>1.3049427820145544E-2</c:v>
                </c:pt>
                <c:pt idx="2688">
                  <c:v>1.3044647614881749E-2</c:v>
                </c:pt>
                <c:pt idx="2689">
                  <c:v>1.303989903005987E-2</c:v>
                </c:pt>
                <c:pt idx="2690">
                  <c:v>1.303518206556435E-2</c:v>
                </c:pt>
                <c:pt idx="2691">
                  <c:v>1.3030496721279627E-2</c:v>
                </c:pt>
                <c:pt idx="2692">
                  <c:v>1.3025842997096223E-2</c:v>
                </c:pt>
                <c:pt idx="2693">
                  <c:v>1.3021220892899449E-2</c:v>
                </c:pt>
                <c:pt idx="2694">
                  <c:v>1.3016630408577218E-2</c:v>
                </c:pt>
                <c:pt idx="2695">
                  <c:v>1.3012071544019187E-2</c:v>
                </c:pt>
                <c:pt idx="2696">
                  <c:v>1.3007544299114139E-2</c:v>
                </c:pt>
                <c:pt idx="2697">
                  <c:v>1.3003048673755202E-2</c:v>
                </c:pt>
                <c:pt idx="2698">
                  <c:v>1.2998584667832032E-2</c:v>
                </c:pt>
                <c:pt idx="2699">
                  <c:v>1.2994228651788316E-2</c:v>
                </c:pt>
                <c:pt idx="2700">
                  <c:v>1.2989825784543899E-2</c:v>
                </c:pt>
                <c:pt idx="2701">
                  <c:v>1.298545453523149E-2</c:v>
                </c:pt>
                <c:pt idx="2702">
                  <c:v>1.2980835827249567E-2</c:v>
                </c:pt>
                <c:pt idx="2703">
                  <c:v>1.2976738926009562E-2</c:v>
                </c:pt>
                <c:pt idx="2704">
                  <c:v>1.2972464634464512E-2</c:v>
                </c:pt>
                <c:pt idx="2705">
                  <c:v>1.2968221961617555E-2</c:v>
                </c:pt>
                <c:pt idx="2706">
                  <c:v>1.2964010907365297E-2</c:v>
                </c:pt>
                <c:pt idx="2707">
                  <c:v>1.2959831471605211E-2</c:v>
                </c:pt>
                <c:pt idx="2708">
                  <c:v>1.2955683654237379E-2</c:v>
                </c:pt>
                <c:pt idx="2709">
                  <c:v>1.2951567455161878E-2</c:v>
                </c:pt>
                <c:pt idx="2710">
                  <c:v>1.2947482874277919E-2</c:v>
                </c:pt>
                <c:pt idx="2711">
                  <c:v>1.2943429911488192E-2</c:v>
                </c:pt>
                <c:pt idx="2712">
                  <c:v>1.2939457546839285E-2</c:v>
                </c:pt>
                <c:pt idx="2713">
                  <c:v>1.2935465704756028E-2</c:v>
                </c:pt>
                <c:pt idx="2714">
                  <c:v>1.2931505479302963E-2</c:v>
                </c:pt>
                <c:pt idx="2715">
                  <c:v>1.2925346146150441E-2</c:v>
                </c:pt>
                <c:pt idx="2716">
                  <c:v>1.2923125745631169E-2</c:v>
                </c:pt>
                <c:pt idx="2717">
                  <c:v>1.2919814501789412E-2</c:v>
                </c:pt>
                <c:pt idx="2718">
                  <c:v>1.2915980741922482E-2</c:v>
                </c:pt>
                <c:pt idx="2719">
                  <c:v>1.2912178598221063E-2</c:v>
                </c:pt>
                <c:pt idx="2720">
                  <c:v>1.2908408070594676E-2</c:v>
                </c:pt>
                <c:pt idx="2721">
                  <c:v>1.2904699262219488E-2</c:v>
                </c:pt>
                <c:pt idx="2722">
                  <c:v>1.2900989840940902E-2</c:v>
                </c:pt>
                <c:pt idx="2723">
                  <c:v>1.2897312034305664E-2</c:v>
                </c:pt>
                <c:pt idx="2724">
                  <c:v>1.289366584222762E-2</c:v>
                </c:pt>
                <c:pt idx="2725">
                  <c:v>1.2890008278828049E-2</c:v>
                </c:pt>
                <c:pt idx="2726">
                  <c:v>1.2886429576122569E-2</c:v>
                </c:pt>
                <c:pt idx="2727">
                  <c:v>1.288288249003511E-2</c:v>
                </c:pt>
                <c:pt idx="2728">
                  <c:v>1.2879367020481387E-2</c:v>
                </c:pt>
                <c:pt idx="2729">
                  <c:v>1.2875896030693947E-2</c:v>
                </c:pt>
                <c:pt idx="2730">
                  <c:v>1.2872441658983073E-2</c:v>
                </c:pt>
                <c:pt idx="2731">
                  <c:v>1.2869018902396783E-2</c:v>
                </c:pt>
                <c:pt idx="2732">
                  <c:v>1.2865627760853385E-2</c:v>
                </c:pt>
                <c:pt idx="2733">
                  <c:v>1.2862268234272943E-2</c:v>
                </c:pt>
                <c:pt idx="2734">
                  <c:v>1.2858938145647002E-2</c:v>
                </c:pt>
                <c:pt idx="2735">
                  <c:v>1.2855643989489584E-2</c:v>
                </c:pt>
                <c:pt idx="2736">
                  <c:v>1.2852381449206434E-2</c:v>
                </c:pt>
                <c:pt idx="2737">
                  <c:v>1.2849150524720221E-2</c:v>
                </c:pt>
                <c:pt idx="2738">
                  <c:v>1.2845951215951007E-2</c:v>
                </c:pt>
                <c:pt idx="2739">
                  <c:v>1.2842783522823203E-2</c:v>
                </c:pt>
                <c:pt idx="2740">
                  <c:v>1.2839647445259479E-2</c:v>
                </c:pt>
                <c:pt idx="2741">
                  <c:v>1.2836542983185113E-2</c:v>
                </c:pt>
                <c:pt idx="2742">
                  <c:v>1.2833470136523643E-2</c:v>
                </c:pt>
                <c:pt idx="2743">
                  <c:v>1.2830428905202083E-2</c:v>
                </c:pt>
                <c:pt idx="2744">
                  <c:v>1.2827419289145712E-2</c:v>
                </c:pt>
                <c:pt idx="2745">
                  <c:v>1.2824441288283283E-2</c:v>
                </c:pt>
                <c:pt idx="2746">
                  <c:v>1.282149490254181E-2</c:v>
                </c:pt>
                <c:pt idx="2747">
                  <c:v>1.2818580131850044E-2</c:v>
                </c:pt>
                <c:pt idx="2748">
                  <c:v>1.2815696976138477E-2</c:v>
                </c:pt>
                <c:pt idx="2749">
                  <c:v>1.2812845435337601E-2</c:v>
                </c:pt>
                <c:pt idx="2750">
                  <c:v>1.2810025509376165E-2</c:v>
                </c:pt>
                <c:pt idx="2751">
                  <c:v>1.2807202826511464E-2</c:v>
                </c:pt>
                <c:pt idx="2752">
                  <c:v>1.2804443969822868E-2</c:v>
                </c:pt>
                <c:pt idx="2753">
                  <c:v>1.2801716726634662E-2</c:v>
                </c:pt>
                <c:pt idx="2754">
                  <c:v>1.2799021096880085E-2</c:v>
                </c:pt>
                <c:pt idx="2755">
                  <c:v>1.2796400099831181E-2</c:v>
                </c:pt>
                <c:pt idx="2756">
                  <c:v>1.2793769861514467E-2</c:v>
                </c:pt>
                <c:pt idx="2757">
                  <c:v>1.2791171237576695E-2</c:v>
                </c:pt>
                <c:pt idx="2758">
                  <c:v>1.2788604227956175E-2</c:v>
                </c:pt>
                <c:pt idx="2759">
                  <c:v>1.2786068832591216E-2</c:v>
                </c:pt>
                <c:pt idx="2760">
                  <c:v>1.2783565051420996E-2</c:v>
                </c:pt>
                <c:pt idx="2761">
                  <c:v>1.2781092884383827E-2</c:v>
                </c:pt>
                <c:pt idx="2762">
                  <c:v>1.2778652331422363E-2</c:v>
                </c:pt>
                <c:pt idx="2763">
                  <c:v>1.2776243392474915E-2</c:v>
                </c:pt>
                <c:pt idx="2764">
                  <c:v>1.2773741190249766E-2</c:v>
                </c:pt>
                <c:pt idx="2765">
                  <c:v>1.2771391129393628E-2</c:v>
                </c:pt>
                <c:pt idx="2766">
                  <c:v>1.2769072680119287E-2</c:v>
                </c:pt>
                <c:pt idx="2767">
                  <c:v>1.2766785842370787E-2</c:v>
                </c:pt>
                <c:pt idx="2768">
                  <c:v>1.2764530616094838E-2</c:v>
                </c:pt>
                <c:pt idx="2769">
                  <c:v>1.2762307001238149E-2</c:v>
                </c:pt>
                <c:pt idx="2770">
                  <c:v>1.2760114997748317E-2</c:v>
                </c:pt>
                <c:pt idx="2771">
                  <c:v>1.2757954605572941E-2</c:v>
                </c:pt>
                <c:pt idx="2772">
                  <c:v>1.2755825824660505E-2</c:v>
                </c:pt>
                <c:pt idx="2773">
                  <c:v>1.2753646917033753E-2</c:v>
                </c:pt>
                <c:pt idx="2774">
                  <c:v>1.2751579173696301E-2</c:v>
                </c:pt>
                <c:pt idx="2775">
                  <c:v>1.2749543040347184E-2</c:v>
                </c:pt>
                <c:pt idx="2776">
                  <c:v>1.2747538516939699E-2</c:v>
                </c:pt>
                <c:pt idx="2777">
                  <c:v>1.2745837687592333E-2</c:v>
                </c:pt>
                <c:pt idx="2778">
                  <c:v>1.2743902952315998E-2</c:v>
                </c:pt>
                <c:pt idx="2779">
                  <c:v>1.2741999830214349E-2</c:v>
                </c:pt>
                <c:pt idx="2780">
                  <c:v>1.2740128321242206E-2</c:v>
                </c:pt>
                <c:pt idx="2781">
                  <c:v>1.2738188754569363E-2</c:v>
                </c:pt>
                <c:pt idx="2782">
                  <c:v>1.273637827760629E-2</c:v>
                </c:pt>
                <c:pt idx="2783">
                  <c:v>1.2734599412517653E-2</c:v>
                </c:pt>
                <c:pt idx="2784">
                  <c:v>1.273285215925953E-2</c:v>
                </c:pt>
                <c:pt idx="2785">
                  <c:v>1.2731136517793274E-2</c:v>
                </c:pt>
                <c:pt idx="2786">
                  <c:v>1.2729563140655287E-2</c:v>
                </c:pt>
                <c:pt idx="2787">
                  <c:v>1.2727912922368051E-2</c:v>
                </c:pt>
                <c:pt idx="2788">
                  <c:v>1.2726294316870591E-2</c:v>
                </c:pt>
                <c:pt idx="2789">
                  <c:v>1.2724707324122942E-2</c:v>
                </c:pt>
                <c:pt idx="2790">
                  <c:v>1.272315194408687E-2</c:v>
                </c:pt>
                <c:pt idx="2791">
                  <c:v>1.2721628176724148E-2</c:v>
                </c:pt>
                <c:pt idx="2792">
                  <c:v>1.272013602200002E-2</c:v>
                </c:pt>
                <c:pt idx="2793">
                  <c:v>1.2718675479877992E-2</c:v>
                </c:pt>
                <c:pt idx="2794">
                  <c:v>1.2717246550320704E-2</c:v>
                </c:pt>
                <c:pt idx="2795">
                  <c:v>1.2715849233296009E-2</c:v>
                </c:pt>
                <c:pt idx="2796">
                  <c:v>1.2714483528769149E-2</c:v>
                </c:pt>
                <c:pt idx="2797">
                  <c:v>1.2713149436707979E-2</c:v>
                </c:pt>
                <c:pt idx="2798">
                  <c:v>1.2711846957077742E-2</c:v>
                </c:pt>
                <c:pt idx="2799">
                  <c:v>1.2710576089849766E-2</c:v>
                </c:pt>
                <c:pt idx="2800">
                  <c:v>1.2709336834992773E-2</c:v>
                </c:pt>
                <c:pt idx="2801">
                  <c:v>1.2708129192475482E-2</c:v>
                </c:pt>
                <c:pt idx="2802">
                  <c:v>1.2706953162269221E-2</c:v>
                </c:pt>
                <c:pt idx="2803">
                  <c:v>1.2705660544309516E-2</c:v>
                </c:pt>
                <c:pt idx="2804">
                  <c:v>1.2704545519915822E-2</c:v>
                </c:pt>
                <c:pt idx="2805">
                  <c:v>1.2703462106634096E-2</c:v>
                </c:pt>
                <c:pt idx="2806">
                  <c:v>1.2702410304440623E-2</c:v>
                </c:pt>
                <c:pt idx="2807">
                  <c:v>1.270139011330905E-2</c:v>
                </c:pt>
                <c:pt idx="2808">
                  <c:v>1.2700560838036671E-2</c:v>
                </c:pt>
                <c:pt idx="2809">
                  <c:v>1.2699606093258651E-2</c:v>
                </c:pt>
                <c:pt idx="2810">
                  <c:v>1.269868296058574E-2</c:v>
                </c:pt>
                <c:pt idx="2811">
                  <c:v>1.2697791439996213E-2</c:v>
                </c:pt>
                <c:pt idx="2812">
                  <c:v>1.2696931531467483E-2</c:v>
                </c:pt>
                <c:pt idx="2813">
                  <c:v>1.2696103234980431E-2</c:v>
                </c:pt>
                <c:pt idx="2814">
                  <c:v>1.2695306550514209E-2</c:v>
                </c:pt>
                <c:pt idx="2815">
                  <c:v>1.2694541478049695E-2</c:v>
                </c:pt>
                <c:pt idx="2816">
                  <c:v>1.2693453973739999E-2</c:v>
                </c:pt>
                <c:pt idx="2817">
                  <c:v>1.2692747658961778E-2</c:v>
                </c:pt>
                <c:pt idx="2818">
                  <c:v>1.2692072953906397E-2</c:v>
                </c:pt>
                <c:pt idx="2819">
                  <c:v>1.2691429858557868E-2</c:v>
                </c:pt>
                <c:pt idx="2820">
                  <c:v>1.2690818372899315E-2</c:v>
                </c:pt>
                <c:pt idx="2821">
                  <c:v>1.2690238496919193E-2</c:v>
                </c:pt>
                <c:pt idx="2822">
                  <c:v>1.268969023060329E-2</c:v>
                </c:pt>
                <c:pt idx="2823">
                  <c:v>1.2689173573936507E-2</c:v>
                </c:pt>
                <c:pt idx="2824">
                  <c:v>1.2688688526908187E-2</c:v>
                </c:pt>
                <c:pt idx="2825">
                  <c:v>1.268803825698739E-2</c:v>
                </c:pt>
                <c:pt idx="2826">
                  <c:v>1.2687614186296018E-2</c:v>
                </c:pt>
                <c:pt idx="2827">
                  <c:v>1.2687221724098446E-2</c:v>
                </c:pt>
                <c:pt idx="2828">
                  <c:v>1.2686860870384795E-2</c:v>
                </c:pt>
                <c:pt idx="2829">
                  <c:v>1.268714971475607E-2</c:v>
                </c:pt>
                <c:pt idx="2830">
                  <c:v>1.2686858820525629E-2</c:v>
                </c:pt>
                <c:pt idx="2831">
                  <c:v>1.2686599538091843E-2</c:v>
                </c:pt>
                <c:pt idx="2832">
                  <c:v>1.2686371867450374E-2</c:v>
                </c:pt>
                <c:pt idx="2833">
                  <c:v>1.2686175808595136E-2</c:v>
                </c:pt>
                <c:pt idx="2834">
                  <c:v>1.2685793863113559E-2</c:v>
                </c:pt>
                <c:pt idx="2835">
                  <c:v>1.2685658774585063E-2</c:v>
                </c:pt>
                <c:pt idx="2836">
                  <c:v>1.2685555296718788E-2</c:v>
                </c:pt>
                <c:pt idx="2837">
                  <c:v>1.2685483429511217E-2</c:v>
                </c:pt>
                <c:pt idx="2838">
                  <c:v>1.2685669690964721E-2</c:v>
                </c:pt>
                <c:pt idx="2839">
                  <c:v>1.2685663302751286E-2</c:v>
                </c:pt>
                <c:pt idx="2840">
                  <c:v>1.2685688526306704E-2</c:v>
                </c:pt>
                <c:pt idx="2841">
                  <c:v>1.2685745361630977E-2</c:v>
                </c:pt>
                <c:pt idx="2842">
                  <c:v>1.2685833808726711E-2</c:v>
                </c:pt>
                <c:pt idx="2843">
                  <c:v>1.2685953867593906E-2</c:v>
                </c:pt>
                <c:pt idx="2844">
                  <c:v>1.2686105538237777E-2</c:v>
                </c:pt>
                <c:pt idx="2845">
                  <c:v>1.2686288820660929E-2</c:v>
                </c:pt>
                <c:pt idx="2846">
                  <c:v>1.2686503714867705E-2</c:v>
                </c:pt>
                <c:pt idx="2847">
                  <c:v>1.268675022086419E-2</c:v>
                </c:pt>
                <c:pt idx="2848">
                  <c:v>1.2687028338653858E-2</c:v>
                </c:pt>
                <c:pt idx="2849">
                  <c:v>1.2687338068247137E-2</c:v>
                </c:pt>
                <c:pt idx="2850">
                  <c:v>1.2687679409648368E-2</c:v>
                </c:pt>
                <c:pt idx="2851">
                  <c:v>1.268805236286711E-2</c:v>
                </c:pt>
                <c:pt idx="2852">
                  <c:v>1.2688456927912053E-2</c:v>
                </c:pt>
                <c:pt idx="2853">
                  <c:v>1.268889310479449E-2</c:v>
                </c:pt>
                <c:pt idx="2854">
                  <c:v>1.2689360893522244E-2</c:v>
                </c:pt>
                <c:pt idx="2855">
                  <c:v>1.2689595244241677E-2</c:v>
                </c:pt>
                <c:pt idx="2856">
                  <c:v>1.2690123980097653E-2</c:v>
                </c:pt>
                <c:pt idx="2857">
                  <c:v>1.2690684326723895E-2</c:v>
                </c:pt>
                <c:pt idx="2858">
                  <c:v>1.2691276284130066E-2</c:v>
                </c:pt>
                <c:pt idx="2859">
                  <c:v>1.2691899852331975E-2</c:v>
                </c:pt>
                <c:pt idx="2860">
                  <c:v>1.2692831475358945E-2</c:v>
                </c:pt>
                <c:pt idx="2861">
                  <c:v>1.2693520547373176E-2</c:v>
                </c:pt>
                <c:pt idx="2862">
                  <c:v>1.2694241231345675E-2</c:v>
                </c:pt>
                <c:pt idx="2863">
                  <c:v>1.2694993527295558E-2</c:v>
                </c:pt>
                <c:pt idx="2864">
                  <c:v>1.2695777435237596E-2</c:v>
                </c:pt>
                <c:pt idx="2865">
                  <c:v>1.2696592955194378E-2</c:v>
                </c:pt>
                <c:pt idx="2866">
                  <c:v>1.2697440087182413E-2</c:v>
                </c:pt>
                <c:pt idx="2867">
                  <c:v>1.2698318831224294E-2</c:v>
                </c:pt>
                <c:pt idx="2868">
                  <c:v>1.2698639947331003E-2</c:v>
                </c:pt>
                <c:pt idx="2869">
                  <c:v>1.2699577333496137E-2</c:v>
                </c:pt>
                <c:pt idx="2870">
                  <c:v>1.2700546329544871E-2</c:v>
                </c:pt>
                <c:pt idx="2871">
                  <c:v>1.2701546935499408E-2</c:v>
                </c:pt>
                <c:pt idx="2872">
                  <c:v>1.2703033196892087E-2</c:v>
                </c:pt>
                <c:pt idx="2873">
                  <c:v>1.270379753275197E-2</c:v>
                </c:pt>
                <c:pt idx="2874">
                  <c:v>1.2704897484288047E-2</c:v>
                </c:pt>
                <c:pt idx="2875">
                  <c:v>1.2706029045832068E-2</c:v>
                </c:pt>
                <c:pt idx="2876">
                  <c:v>1.2707192217412455E-2</c:v>
                </c:pt>
                <c:pt idx="2877">
                  <c:v>1.2708071731034696E-2</c:v>
                </c:pt>
                <c:pt idx="2878">
                  <c:v>1.270929582175921E-2</c:v>
                </c:pt>
                <c:pt idx="2879">
                  <c:v>1.2710551521484982E-2</c:v>
                </c:pt>
                <c:pt idx="2880">
                  <c:v>1.2711838830240754E-2</c:v>
                </c:pt>
                <c:pt idx="2881">
                  <c:v>1.2714782416102976E-2</c:v>
                </c:pt>
                <c:pt idx="2882">
                  <c:v>1.2716144472110532E-2</c:v>
                </c:pt>
                <c:pt idx="2883">
                  <c:v>1.2717538142852746E-2</c:v>
                </c:pt>
                <c:pt idx="2884">
                  <c:v>1.2718963428363638E-2</c:v>
                </c:pt>
                <c:pt idx="2885">
                  <c:v>1.2719417153611762E-2</c:v>
                </c:pt>
                <c:pt idx="2886">
                  <c:v>1.2720898737342189E-2</c:v>
                </c:pt>
                <c:pt idx="2887">
                  <c:v>1.2723290808502241E-2</c:v>
                </c:pt>
                <c:pt idx="2888">
                  <c:v>1.2723956739352922E-2</c:v>
                </c:pt>
                <c:pt idx="2889">
                  <c:v>1.2725533157703505E-2</c:v>
                </c:pt>
                <c:pt idx="2890">
                  <c:v>1.2728179053593375E-2</c:v>
                </c:pt>
                <c:pt idx="2891">
                  <c:v>1.2729825643513958E-2</c:v>
                </c:pt>
                <c:pt idx="2892">
                  <c:v>1.2731503848505103E-2</c:v>
                </c:pt>
                <c:pt idx="2893">
                  <c:v>1.2733213668610176E-2</c:v>
                </c:pt>
                <c:pt idx="2894">
                  <c:v>1.273495510387E-2</c:v>
                </c:pt>
                <c:pt idx="2895">
                  <c:v>1.2736728154329646E-2</c:v>
                </c:pt>
                <c:pt idx="2896">
                  <c:v>1.2738532820029928E-2</c:v>
                </c:pt>
                <c:pt idx="2897">
                  <c:v>1.2740369101018469E-2</c:v>
                </c:pt>
                <c:pt idx="2898">
                  <c:v>1.2741143450300524E-2</c:v>
                </c:pt>
                <c:pt idx="2899">
                  <c:v>1.2744136509037211E-2</c:v>
                </c:pt>
                <c:pt idx="2900">
                  <c:v>1.2746067636160955E-2</c:v>
                </c:pt>
                <c:pt idx="2901">
                  <c:v>1.2748030378756639E-2</c:v>
                </c:pt>
                <c:pt idx="2902">
                  <c:v>1.275002473687444E-2</c:v>
                </c:pt>
                <c:pt idx="2903">
                  <c:v>1.2752050710562828E-2</c:v>
                </c:pt>
                <c:pt idx="2904">
                  <c:v>1.2754108299871125E-2</c:v>
                </c:pt>
                <c:pt idx="2905">
                  <c:v>1.2756197504850355E-2</c:v>
                </c:pt>
                <c:pt idx="2906">
                  <c:v>1.275831832555324E-2</c:v>
                </c:pt>
                <c:pt idx="2907">
                  <c:v>1.2759314314306953E-2</c:v>
                </c:pt>
                <c:pt idx="2908">
                  <c:v>1.2761491360639171E-2</c:v>
                </c:pt>
                <c:pt idx="2909">
                  <c:v>1.2763700019446666E-2</c:v>
                </c:pt>
                <c:pt idx="2910">
                  <c:v>1.2765940290780382E-2</c:v>
                </c:pt>
                <c:pt idx="2911">
                  <c:v>1.2769396666767839E-2</c:v>
                </c:pt>
                <c:pt idx="2912">
                  <c:v>1.2771707182933467E-2</c:v>
                </c:pt>
                <c:pt idx="2913">
                  <c:v>1.2774049315205423E-2</c:v>
                </c:pt>
                <c:pt idx="2914">
                  <c:v>1.2776423063640685E-2</c:v>
                </c:pt>
                <c:pt idx="2915">
                  <c:v>1.2778828428297076E-2</c:v>
                </c:pt>
                <c:pt idx="2916">
                  <c:v>1.2781265409236674E-2</c:v>
                </c:pt>
                <c:pt idx="2917">
                  <c:v>1.2783734006516459E-2</c:v>
                </c:pt>
                <c:pt idx="2918">
                  <c:v>1.2786234220198504E-2</c:v>
                </c:pt>
                <c:pt idx="2919">
                  <c:v>1.2788766050345741E-2</c:v>
                </c:pt>
                <c:pt idx="2920">
                  <c:v>1.2790081705233821E-2</c:v>
                </c:pt>
                <c:pt idx="2921">
                  <c:v>1.279266971806116E-2</c:v>
                </c:pt>
                <c:pt idx="2922">
                  <c:v>1.2795289344105159E-2</c:v>
                </c:pt>
                <c:pt idx="2923">
                  <c:v>1.2797940583432577E-2</c:v>
                </c:pt>
                <c:pt idx="2924">
                  <c:v>1.2801782907675969E-2</c:v>
                </c:pt>
                <c:pt idx="2925">
                  <c:v>1.2804939389943591E-2</c:v>
                </c:pt>
                <c:pt idx="2926">
                  <c:v>1.2807270550586601E-2</c:v>
                </c:pt>
                <c:pt idx="2927">
                  <c:v>1.2810061792359701E-2</c:v>
                </c:pt>
                <c:pt idx="2928">
                  <c:v>1.2812884647768466E-2</c:v>
                </c:pt>
                <c:pt idx="2929">
                  <c:v>1.2815739116878777E-2</c:v>
                </c:pt>
                <c:pt idx="2930">
                  <c:v>1.2818625199758273E-2</c:v>
                </c:pt>
                <c:pt idx="2931">
                  <c:v>1.2821542896478985E-2</c:v>
                </c:pt>
                <c:pt idx="2932">
                  <c:v>1.2824492207106792E-2</c:v>
                </c:pt>
                <c:pt idx="2933">
                  <c:v>1.2827920481123198E-2</c:v>
                </c:pt>
                <c:pt idx="2934">
                  <c:v>1.2830935385199155E-2</c:v>
                </c:pt>
                <c:pt idx="2935">
                  <c:v>1.2833981904553336E-2</c:v>
                </c:pt>
                <c:pt idx="2936">
                  <c:v>1.2837060039261329E-2</c:v>
                </c:pt>
                <c:pt idx="2937">
                  <c:v>1.2839712971374219E-2</c:v>
                </c:pt>
                <c:pt idx="2938">
                  <c:v>1.2843754629570908E-2</c:v>
                </c:pt>
                <c:pt idx="2939">
                  <c:v>1.2846022576967386E-2</c:v>
                </c:pt>
                <c:pt idx="2940">
                  <c:v>1.2849224801467897E-2</c:v>
                </c:pt>
                <c:pt idx="2941">
                  <c:v>1.285245864053783E-2</c:v>
                </c:pt>
                <c:pt idx="2942">
                  <c:v>1.2856662187618873E-2</c:v>
                </c:pt>
                <c:pt idx="2943">
                  <c:v>1.2859966148475082E-2</c:v>
                </c:pt>
                <c:pt idx="2944">
                  <c:v>1.2863301725308952E-2</c:v>
                </c:pt>
                <c:pt idx="2945">
                  <c:v>1.2866668918203029E-2</c:v>
                </c:pt>
                <c:pt idx="2946">
                  <c:v>1.2870067727239851E-2</c:v>
                </c:pt>
                <c:pt idx="2947">
                  <c:v>1.2873498152499357E-2</c:v>
                </c:pt>
                <c:pt idx="2948">
                  <c:v>1.2876960194065827E-2</c:v>
                </c:pt>
                <c:pt idx="2949">
                  <c:v>1.2880453852020935E-2</c:v>
                </c:pt>
                <c:pt idx="2950">
                  <c:v>1.2883979126451566E-2</c:v>
                </c:pt>
                <c:pt idx="2951">
                  <c:v>1.2887536017441135E-2</c:v>
                </c:pt>
                <c:pt idx="2952">
                  <c:v>1.2891124525077395E-2</c:v>
                </c:pt>
                <c:pt idx="2953">
                  <c:v>1.2894744649444628E-2</c:v>
                </c:pt>
                <c:pt idx="2954">
                  <c:v>1.2898396390631459E-2</c:v>
                </c:pt>
                <c:pt idx="2955">
                  <c:v>1.2902079748728248E-2</c:v>
                </c:pt>
                <c:pt idx="2956">
                  <c:v>1.2905794723819277E-2</c:v>
                </c:pt>
                <c:pt idx="2957">
                  <c:v>1.2909541315997516E-2</c:v>
                </c:pt>
                <c:pt idx="2958">
                  <c:v>1.2913319525353328E-2</c:v>
                </c:pt>
                <c:pt idx="2959">
                  <c:v>1.2916619781593773E-2</c:v>
                </c:pt>
                <c:pt idx="2960">
                  <c:v>1.2920458829644658E-2</c:v>
                </c:pt>
                <c:pt idx="2961">
                  <c:v>1.2924329493969978E-2</c:v>
                </c:pt>
                <c:pt idx="2962">
                  <c:v>1.292823177465933E-2</c:v>
                </c:pt>
                <c:pt idx="2963">
                  <c:v>1.2932684833009907E-2</c:v>
                </c:pt>
                <c:pt idx="2964">
                  <c:v>1.2936652747370466E-2</c:v>
                </c:pt>
                <c:pt idx="2965">
                  <c:v>1.2940652279563725E-2</c:v>
                </c:pt>
                <c:pt idx="2966">
                  <c:v>1.2944683429686998E-2</c:v>
                </c:pt>
                <c:pt idx="2967">
                  <c:v>1.2948746197834121E-2</c:v>
                </c:pt>
                <c:pt idx="2968">
                  <c:v>1.2952840584108491E-2</c:v>
                </c:pt>
                <c:pt idx="2969">
                  <c:v>1.2956966588603947E-2</c:v>
                </c:pt>
                <c:pt idx="2970">
                  <c:v>1.2961124211423014E-2</c:v>
                </c:pt>
                <c:pt idx="2971">
                  <c:v>1.2965313452664742E-2</c:v>
                </c:pt>
                <c:pt idx="2972">
                  <c:v>1.296845293538329E-2</c:v>
                </c:pt>
                <c:pt idx="2973">
                  <c:v>1.2972700591215691E-2</c:v>
                </c:pt>
                <c:pt idx="2974">
                  <c:v>1.2976979863387861E-2</c:v>
                </c:pt>
                <c:pt idx="2975">
                  <c:v>1.2981290751998387E-2</c:v>
                </c:pt>
                <c:pt idx="2976">
                  <c:v>1.2986256195978818E-2</c:v>
                </c:pt>
                <c:pt idx="2977">
                  <c:v>1.29906348344484E-2</c:v>
                </c:pt>
                <c:pt idx="2978">
                  <c:v>1.2995045089679635E-2</c:v>
                </c:pt>
                <c:pt idx="2979">
                  <c:v>1.2999486961778217E-2</c:v>
                </c:pt>
                <c:pt idx="2980">
                  <c:v>1.300396045084895E-2</c:v>
                </c:pt>
                <c:pt idx="2981">
                  <c:v>1.3007903144456011E-2</c:v>
                </c:pt>
                <c:pt idx="2982">
                  <c:v>1.301243744580209E-2</c:v>
                </c:pt>
                <c:pt idx="2983">
                  <c:v>1.3017003363232301E-2</c:v>
                </c:pt>
                <c:pt idx="2984">
                  <c:v>1.3021600896855322E-2</c:v>
                </c:pt>
                <c:pt idx="2985">
                  <c:v>1.3027947105230905E-2</c:v>
                </c:pt>
                <c:pt idx="2986">
                  <c:v>1.3032615152550031E-2</c:v>
                </c:pt>
                <c:pt idx="2987">
                  <c:v>1.3037314820018263E-2</c:v>
                </c:pt>
                <c:pt idx="2988">
                  <c:v>1.3042046107751162E-2</c:v>
                </c:pt>
                <c:pt idx="2989">
                  <c:v>1.3046909351316714E-2</c:v>
                </c:pt>
                <c:pt idx="2990">
                  <c:v>1.3051705964940808E-2</c:v>
                </c:pt>
                <c:pt idx="2991">
                  <c:v>1.3056534197973533E-2</c:v>
                </c:pt>
                <c:pt idx="2992">
                  <c:v>1.3061394050529959E-2</c:v>
                </c:pt>
                <c:pt idx="2993">
                  <c:v>1.3066877920098391E-2</c:v>
                </c:pt>
                <c:pt idx="2994">
                  <c:v>1.3071803449131726E-2</c:v>
                </c:pt>
                <c:pt idx="2995">
                  <c:v>1.3076760599262107E-2</c:v>
                </c:pt>
                <c:pt idx="2996">
                  <c:v>1.3081749370608567E-2</c:v>
                </c:pt>
                <c:pt idx="2997">
                  <c:v>1.308676976329275E-2</c:v>
                </c:pt>
                <c:pt idx="2998">
                  <c:v>1.3091821777437165E-2</c:v>
                </c:pt>
                <c:pt idx="2999">
                  <c:v>1.3096905413159979E-2</c:v>
                </c:pt>
                <c:pt idx="3000">
                  <c:v>1.31020201406702E-2</c:v>
                </c:pt>
                <c:pt idx="3001">
                  <c:v>1.3107163310500224E-2</c:v>
                </c:pt>
                <c:pt idx="3002">
                  <c:v>1.3112331743246355E-2</c:v>
                </c:pt>
                <c:pt idx="3003">
                  <c:v>1.3117522259496209E-2</c:v>
                </c:pt>
                <c:pt idx="3004">
                  <c:v>1.3122731679815675E-2</c:v>
                </c:pt>
                <c:pt idx="3005">
                  <c:v>1.3127956824755876E-2</c:v>
                </c:pt>
                <c:pt idx="3006">
                  <c:v>1.3133194514849691E-2</c:v>
                </c:pt>
                <c:pt idx="3007">
                  <c:v>1.3138441570616959E-2</c:v>
                </c:pt>
                <c:pt idx="3008">
                  <c:v>1.314369481255667E-2</c:v>
                </c:pt>
                <c:pt idx="3009">
                  <c:v>1.3148951061152176E-2</c:v>
                </c:pt>
                <c:pt idx="3010">
                  <c:v>1.3154207136872056E-2</c:v>
                </c:pt>
                <c:pt idx="3011">
                  <c:v>1.3158846048436902E-2</c:v>
                </c:pt>
                <c:pt idx="3012">
                  <c:v>1.3164092765682183E-2</c:v>
                </c:pt>
                <c:pt idx="3013">
                  <c:v>1.3169330113991948E-2</c:v>
                </c:pt>
                <c:pt idx="3014">
                  <c:v>1.3174557298319529E-2</c:v>
                </c:pt>
                <c:pt idx="3015">
                  <c:v>1.3182220820708062E-2</c:v>
                </c:pt>
                <c:pt idx="3016">
                  <c:v>1.3185592314608766E-2</c:v>
                </c:pt>
                <c:pt idx="3017">
                  <c:v>1.3190788465977946E-2</c:v>
                </c:pt>
                <c:pt idx="3018">
                  <c:v>1.3195974451342565E-2</c:v>
                </c:pt>
                <c:pt idx="3019">
                  <c:v>1.3201150270665265E-2</c:v>
                </c:pt>
                <c:pt idx="3020">
                  <c:v>1.3206315923903467E-2</c:v>
                </c:pt>
                <c:pt idx="3021">
                  <c:v>1.3211471411018074E-2</c:v>
                </c:pt>
                <c:pt idx="3022">
                  <c:v>1.3216616731969989E-2</c:v>
                </c:pt>
                <c:pt idx="3023">
                  <c:v>1.3221751886718371E-2</c:v>
                </c:pt>
                <c:pt idx="3024">
                  <c:v>1.3225663144167399E-2</c:v>
                </c:pt>
                <c:pt idx="3025">
                  <c:v>1.3230779043359675E-2</c:v>
                </c:pt>
                <c:pt idx="3026">
                  <c:v>1.3235884776834794E-2</c:v>
                </c:pt>
                <c:pt idx="3027">
                  <c:v>1.3240980344555453E-2</c:v>
                </c:pt>
                <c:pt idx="3028">
                  <c:v>1.3246065746482572E-2</c:v>
                </c:pt>
                <c:pt idx="3029">
                  <c:v>1.3251140982577958E-2</c:v>
                </c:pt>
                <c:pt idx="3030">
                  <c:v>1.3256206052801645E-2</c:v>
                </c:pt>
                <c:pt idx="3031">
                  <c:v>1.3261260957115439E-2</c:v>
                </c:pt>
                <c:pt idx="3032">
                  <c:v>1.3266305695481151E-2</c:v>
                </c:pt>
                <c:pt idx="3033">
                  <c:v>1.3270738204402633E-2</c:v>
                </c:pt>
                <c:pt idx="3034">
                  <c:v>1.3275763151936659E-2</c:v>
                </c:pt>
                <c:pt idx="3035">
                  <c:v>1.328077793371301E-2</c:v>
                </c:pt>
                <c:pt idx="3036">
                  <c:v>1.3285782549696661E-2</c:v>
                </c:pt>
                <c:pt idx="3037">
                  <c:v>1.3292576579591429E-2</c:v>
                </c:pt>
                <c:pt idx="3038">
                  <c:v>1.3297559236539337E-2</c:v>
                </c:pt>
                <c:pt idx="3039">
                  <c:v>1.3302531726653783E-2</c:v>
                </c:pt>
                <c:pt idx="3040">
                  <c:v>1.3307494049898274E-2</c:v>
                </c:pt>
                <c:pt idx="3041">
                  <c:v>1.3311848555098546E-2</c:v>
                </c:pt>
                <c:pt idx="3042">
                  <c:v>1.3316791088205731E-2</c:v>
                </c:pt>
                <c:pt idx="3043">
                  <c:v>1.3321723454636622E-2</c:v>
                </c:pt>
                <c:pt idx="3044">
                  <c:v>1.332664565435345E-2</c:v>
                </c:pt>
                <c:pt idx="3045">
                  <c:v>1.3331557687317563E-2</c:v>
                </c:pt>
                <c:pt idx="3046">
                  <c:v>1.3337054482905753E-2</c:v>
                </c:pt>
                <c:pt idx="3047">
                  <c:v>1.3341945636974474E-2</c:v>
                </c:pt>
                <c:pt idx="3048">
                  <c:v>1.3346826623864792E-2</c:v>
                </c:pt>
                <c:pt idx="3049">
                  <c:v>1.3351697443539345E-2</c:v>
                </c:pt>
                <c:pt idx="3050">
                  <c:v>1.3356558095961639E-2</c:v>
                </c:pt>
                <c:pt idx="3051">
                  <c:v>1.3361408581091709E-2</c:v>
                </c:pt>
                <c:pt idx="3052">
                  <c:v>1.336624889889393E-2</c:v>
                </c:pt>
                <c:pt idx="3053">
                  <c:v>1.3371079049329201E-2</c:v>
                </c:pt>
                <c:pt idx="3054">
                  <c:v>1.3375899032360165E-2</c:v>
                </c:pt>
                <c:pt idx="3055">
                  <c:v>1.3380708847949455E-2</c:v>
                </c:pt>
                <c:pt idx="3056">
                  <c:v>1.3385508496059713E-2</c:v>
                </c:pt>
                <c:pt idx="3057">
                  <c:v>1.3390297976654447E-2</c:v>
                </c:pt>
                <c:pt idx="3058">
                  <c:v>1.3395077289695426E-2</c:v>
                </c:pt>
                <c:pt idx="3059">
                  <c:v>1.3399846435145286E-2</c:v>
                </c:pt>
                <c:pt idx="3060">
                  <c:v>1.3404605412967537E-2</c:v>
                </c:pt>
                <c:pt idx="3061">
                  <c:v>1.3409354223125686E-2</c:v>
                </c:pt>
                <c:pt idx="3062">
                  <c:v>1.3414092865581505E-2</c:v>
                </c:pt>
                <c:pt idx="3063">
                  <c:v>1.3418235723443755E-2</c:v>
                </c:pt>
                <c:pt idx="3064">
                  <c:v>1.3422954581036784E-2</c:v>
                </c:pt>
                <c:pt idx="3065">
                  <c:v>1.3427663271140106E-2</c:v>
                </c:pt>
                <c:pt idx="3066">
                  <c:v>1.3432361793712436E-2</c:v>
                </c:pt>
                <c:pt idx="3067">
                  <c:v>1.343763356105445E-2</c:v>
                </c:pt>
                <c:pt idx="3068">
                  <c:v>1.3442311196531668E-2</c:v>
                </c:pt>
                <c:pt idx="3069">
                  <c:v>1.3446978664049368E-2</c:v>
                </c:pt>
                <c:pt idx="3070">
                  <c:v>1.3451635963576271E-2</c:v>
                </c:pt>
                <c:pt idx="3071">
                  <c:v>1.3456283095070671E-2</c:v>
                </c:pt>
                <c:pt idx="3072">
                  <c:v>1.3460920058498683E-2</c:v>
                </c:pt>
                <c:pt idx="3073">
                  <c:v>1.346554685382555E-2</c:v>
                </c:pt>
                <c:pt idx="3074">
                  <c:v>1.3470163481013911E-2</c:v>
                </c:pt>
                <c:pt idx="3075">
                  <c:v>1.3474769940027278E-2</c:v>
                </c:pt>
                <c:pt idx="3076">
                  <c:v>1.3478209325622714E-2</c:v>
                </c:pt>
                <c:pt idx="3077">
                  <c:v>1.3482796557812371E-2</c:v>
                </c:pt>
                <c:pt idx="3078">
                  <c:v>1.3487373622369958E-2</c:v>
                </c:pt>
                <c:pt idx="3079">
                  <c:v>1.3491940519261725E-2</c:v>
                </c:pt>
                <c:pt idx="3080">
                  <c:v>1.3496497248450368E-2</c:v>
                </c:pt>
                <c:pt idx="3081">
                  <c:v>1.3501043809903912E-2</c:v>
                </c:pt>
                <c:pt idx="3082">
                  <c:v>1.3505580203585943E-2</c:v>
                </c:pt>
                <c:pt idx="3083">
                  <c:v>1.3510106429462709E-2</c:v>
                </c:pt>
                <c:pt idx="3084">
                  <c:v>1.3514622487499572E-2</c:v>
                </c:pt>
                <c:pt idx="3085">
                  <c:v>1.3518554871838517E-2</c:v>
                </c:pt>
                <c:pt idx="3086">
                  <c:v>1.3523051151783736E-2</c:v>
                </c:pt>
                <c:pt idx="3087">
                  <c:v>1.3527537264112993E-2</c:v>
                </c:pt>
                <c:pt idx="3088">
                  <c:v>1.3532013208794852E-2</c:v>
                </c:pt>
                <c:pt idx="3089">
                  <c:v>1.3538192688035472E-2</c:v>
                </c:pt>
                <c:pt idx="3090">
                  <c:v>1.3542646620185523E-2</c:v>
                </c:pt>
                <c:pt idx="3091">
                  <c:v>1.3547090383598418E-2</c:v>
                </c:pt>
                <c:pt idx="3092">
                  <c:v>1.3551523978240269E-2</c:v>
                </c:pt>
                <c:pt idx="3093">
                  <c:v>1.3555378447329534E-2</c:v>
                </c:pt>
                <c:pt idx="3094">
                  <c:v>1.3559792264729899E-2</c:v>
                </c:pt>
                <c:pt idx="3095">
                  <c:v>1.3564195913584697E-2</c:v>
                </c:pt>
                <c:pt idx="3096">
                  <c:v>1.3568589393862305E-2</c:v>
                </c:pt>
                <c:pt idx="3097">
                  <c:v>1.3572972705527589E-2</c:v>
                </c:pt>
                <c:pt idx="3098">
                  <c:v>1.3577911999950612E-2</c:v>
                </c:pt>
                <c:pt idx="3099">
                  <c:v>1.3582274412228113E-2</c:v>
                </c:pt>
                <c:pt idx="3100">
                  <c:v>1.358662665545827E-2</c:v>
                </c:pt>
                <c:pt idx="3101">
                  <c:v>1.3590968729610676E-2</c:v>
                </c:pt>
                <c:pt idx="3102">
                  <c:v>1.3595300634650571E-2</c:v>
                </c:pt>
                <c:pt idx="3103">
                  <c:v>1.3599622370541466E-2</c:v>
                </c:pt>
                <c:pt idx="3104">
                  <c:v>1.3603933937254686E-2</c:v>
                </c:pt>
                <c:pt idx="3105">
                  <c:v>1.3608235334752002E-2</c:v>
                </c:pt>
                <c:pt idx="3106">
                  <c:v>1.3612526563005611E-2</c:v>
                </c:pt>
                <c:pt idx="3107">
                  <c:v>1.3616807621974675E-2</c:v>
                </c:pt>
                <c:pt idx="3108">
                  <c:v>1.3621078511632259E-2</c:v>
                </c:pt>
                <c:pt idx="3109">
                  <c:v>1.3625339231942738E-2</c:v>
                </c:pt>
                <c:pt idx="3110">
                  <c:v>1.362958978287223E-2</c:v>
                </c:pt>
                <c:pt idx="3111">
                  <c:v>1.3633830164388582E-2</c:v>
                </c:pt>
                <c:pt idx="3112">
                  <c:v>1.363806037645965E-2</c:v>
                </c:pt>
                <c:pt idx="3113">
                  <c:v>1.3642280419052414E-2</c:v>
                </c:pt>
                <c:pt idx="3114">
                  <c:v>1.3646490292132121E-2</c:v>
                </c:pt>
                <c:pt idx="3115">
                  <c:v>1.3650133444865752E-2</c:v>
                </c:pt>
                <c:pt idx="3116">
                  <c:v>1.3654323546594195E-2</c:v>
                </c:pt>
                <c:pt idx="3117">
                  <c:v>1.3658503479053254E-2</c:v>
                </c:pt>
                <c:pt idx="3118">
                  <c:v>1.3662673242209551E-2</c:v>
                </c:pt>
                <c:pt idx="3119">
                  <c:v>1.3666832836029706E-2</c:v>
                </c:pt>
                <c:pt idx="3120">
                  <c:v>1.3671535969037587E-2</c:v>
                </c:pt>
                <c:pt idx="3121">
                  <c:v>1.3675674654624001E-2</c:v>
                </c:pt>
                <c:pt idx="3122">
                  <c:v>1.3679803170437566E-2</c:v>
                </c:pt>
                <c:pt idx="3123">
                  <c:v>1.3683921516449609E-2</c:v>
                </c:pt>
                <c:pt idx="3124">
                  <c:v>1.3688029692625373E-2</c:v>
                </c:pt>
                <c:pt idx="3125">
                  <c:v>1.3692127698933581E-2</c:v>
                </c:pt>
                <c:pt idx="3126">
                  <c:v>1.3696215535342086E-2</c:v>
                </c:pt>
                <c:pt idx="3127">
                  <c:v>1.3700293201820472E-2</c:v>
                </c:pt>
                <c:pt idx="3128">
                  <c:v>1.3703811555091483E-2</c:v>
                </c:pt>
                <c:pt idx="3129">
                  <c:v>1.3707869453815337E-2</c:v>
                </c:pt>
                <c:pt idx="3130">
                  <c:v>1.371191718285871E-2</c:v>
                </c:pt>
                <c:pt idx="3131">
                  <c:v>1.3715954742187342E-2</c:v>
                </c:pt>
                <c:pt idx="3132">
                  <c:v>1.3719982131772245E-2</c:v>
                </c:pt>
                <c:pt idx="3133">
                  <c:v>1.3723999351580918E-2</c:v>
                </c:pt>
                <c:pt idx="3134">
                  <c:v>1.3728006401583495E-2</c:v>
                </c:pt>
                <c:pt idx="3135">
                  <c:v>1.3732003281748353E-2</c:v>
                </c:pt>
                <c:pt idx="3136">
                  <c:v>1.3735989992043868E-2</c:v>
                </c:pt>
                <c:pt idx="3137">
                  <c:v>1.3739422510378851E-2</c:v>
                </c:pt>
                <c:pt idx="3138">
                  <c:v>1.3743389456109867E-2</c:v>
                </c:pt>
                <c:pt idx="3139">
                  <c:v>1.3747346232228175E-2</c:v>
                </c:pt>
                <c:pt idx="3140">
                  <c:v>1.3751292838702689E-2</c:v>
                </c:pt>
                <c:pt idx="3141">
                  <c:v>1.3756312672164716E-2</c:v>
                </c:pt>
                <c:pt idx="3142">
                  <c:v>1.3760237785921345E-2</c:v>
                </c:pt>
                <c:pt idx="3143">
                  <c:v>1.3764152729247388E-2</c:v>
                </c:pt>
                <c:pt idx="3144">
                  <c:v>1.3768057502115044E-2</c:v>
                </c:pt>
                <c:pt idx="3145">
                  <c:v>1.3771952104493031E-2</c:v>
                </c:pt>
                <c:pt idx="3146">
                  <c:v>1.3775297745575104E-2</c:v>
                </c:pt>
                <c:pt idx="3147">
                  <c:v>1.3779172585319115E-2</c:v>
                </c:pt>
                <c:pt idx="3148">
                  <c:v>1.3783037254832755E-2</c:v>
                </c:pt>
                <c:pt idx="3149">
                  <c:v>1.3786891754086157E-2</c:v>
                </c:pt>
                <c:pt idx="3150">
                  <c:v>1.3792893494187514E-2</c:v>
                </c:pt>
                <c:pt idx="3151">
                  <c:v>1.3796724460141341E-2</c:v>
                </c:pt>
                <c:pt idx="3152">
                  <c:v>1.3800545254689324E-2</c:v>
                </c:pt>
                <c:pt idx="3153">
                  <c:v>1.3804355877802548E-2</c:v>
                </c:pt>
                <c:pt idx="3154">
                  <c:v>1.3808156329450401E-2</c:v>
                </c:pt>
                <c:pt idx="3155">
                  <c:v>1.3811946609602267E-2</c:v>
                </c:pt>
                <c:pt idx="3156">
                  <c:v>1.3815726718226683E-2</c:v>
                </c:pt>
                <c:pt idx="3157">
                  <c:v>1.3819496655296436E-2</c:v>
                </c:pt>
                <c:pt idx="3158">
                  <c:v>1.3821661317052075E-2</c:v>
                </c:pt>
                <c:pt idx="3159">
                  <c:v>1.382700601464695E-2</c:v>
                </c:pt>
                <c:pt idx="3160">
                  <c:v>1.3830745436869884E-2</c:v>
                </c:pt>
                <c:pt idx="3161">
                  <c:v>1.3834474687415702E-2</c:v>
                </c:pt>
                <c:pt idx="3162">
                  <c:v>1.3838193766257188E-2</c:v>
                </c:pt>
                <c:pt idx="3163">
                  <c:v>1.3841902673364581E-2</c:v>
                </c:pt>
                <c:pt idx="3164">
                  <c:v>1.3845601408707267E-2</c:v>
                </c:pt>
                <c:pt idx="3165">
                  <c:v>1.3849289972257183E-2</c:v>
                </c:pt>
                <c:pt idx="3166">
                  <c:v>1.3852968363983717E-2</c:v>
                </c:pt>
                <c:pt idx="3167">
                  <c:v>1.3855057252401945E-2</c:v>
                </c:pt>
                <c:pt idx="3168">
                  <c:v>1.3858717058193994E-2</c:v>
                </c:pt>
                <c:pt idx="3169">
                  <c:v>1.3862366693144291E-2</c:v>
                </c:pt>
                <c:pt idx="3170">
                  <c:v>1.3866006157222971E-2</c:v>
                </c:pt>
                <c:pt idx="3171">
                  <c:v>1.3871207744261324E-2</c:v>
                </c:pt>
                <c:pt idx="3172">
                  <c:v>1.3874825104442934E-2</c:v>
                </c:pt>
                <c:pt idx="3173">
                  <c:v>1.3878432292597916E-2</c:v>
                </c:pt>
                <c:pt idx="3174">
                  <c:v>1.3882029308699062E-2</c:v>
                </c:pt>
                <c:pt idx="3175">
                  <c:v>1.3885616152718308E-2</c:v>
                </c:pt>
                <c:pt idx="3176">
                  <c:v>1.388919282462589E-2</c:v>
                </c:pt>
                <c:pt idx="3177">
                  <c:v>1.3892759324393746E-2</c:v>
                </c:pt>
                <c:pt idx="3178">
                  <c:v>1.3896315651994662E-2</c:v>
                </c:pt>
                <c:pt idx="3179">
                  <c:v>1.3899861807399728E-2</c:v>
                </c:pt>
                <c:pt idx="3180">
                  <c:v>1.3901322509243919E-2</c:v>
                </c:pt>
                <c:pt idx="3181">
                  <c:v>1.3904850682414427E-2</c:v>
                </c:pt>
                <c:pt idx="3182">
                  <c:v>1.3908368684742101E-2</c:v>
                </c:pt>
                <c:pt idx="3183">
                  <c:v>1.3911876516203847E-2</c:v>
                </c:pt>
                <c:pt idx="3184">
                  <c:v>1.3915837397040397E-2</c:v>
                </c:pt>
                <c:pt idx="3185">
                  <c:v>1.3920868866227331E-2</c:v>
                </c:pt>
                <c:pt idx="3186">
                  <c:v>1.3924856272721655E-2</c:v>
                </c:pt>
                <c:pt idx="3187">
                  <c:v>1.3927803429411231E-2</c:v>
                </c:pt>
                <c:pt idx="3188">
                  <c:v>1.3931255453956126E-2</c:v>
                </c:pt>
                <c:pt idx="3189">
                  <c:v>1.3934697307100598E-2</c:v>
                </c:pt>
                <c:pt idx="3190">
                  <c:v>1.3938128988820925E-2</c:v>
                </c:pt>
                <c:pt idx="3191">
                  <c:v>1.3941550499086366E-2</c:v>
                </c:pt>
                <c:pt idx="3192">
                  <c:v>1.3944961837874959E-2</c:v>
                </c:pt>
                <c:pt idx="3193">
                  <c:v>1.3948873886792258E-2</c:v>
                </c:pt>
                <c:pt idx="3194">
                  <c:v>1.3952264287149243E-2</c:v>
                </c:pt>
                <c:pt idx="3195">
                  <c:v>1.3955644515587265E-2</c:v>
                </c:pt>
                <c:pt idx="3196">
                  <c:v>1.3959014572077658E-2</c:v>
                </c:pt>
                <c:pt idx="3197">
                  <c:v>1.3961865958713885E-2</c:v>
                </c:pt>
                <c:pt idx="3198">
                  <c:v>1.3965216268080961E-2</c:v>
                </c:pt>
                <c:pt idx="3199">
                  <c:v>1.3969508862576205E-2</c:v>
                </c:pt>
                <c:pt idx="3200">
                  <c:v>1.3971886371803938E-2</c:v>
                </c:pt>
                <c:pt idx="3201">
                  <c:v>1.3975206166111524E-2</c:v>
                </c:pt>
                <c:pt idx="3202">
                  <c:v>1.3979021298664381E-2</c:v>
                </c:pt>
                <c:pt idx="3203">
                  <c:v>1.3982320150793237E-2</c:v>
                </c:pt>
                <c:pt idx="3204">
                  <c:v>1.3985608830769406E-2</c:v>
                </c:pt>
                <c:pt idx="3205">
                  <c:v>1.3988887338564217E-2</c:v>
                </c:pt>
                <c:pt idx="3206">
                  <c:v>1.399215567415508E-2</c:v>
                </c:pt>
                <c:pt idx="3207">
                  <c:v>1.3995413837513321E-2</c:v>
                </c:pt>
                <c:pt idx="3208">
                  <c:v>1.3998661828615481E-2</c:v>
                </c:pt>
                <c:pt idx="3209">
                  <c:v>1.4001899647436363E-2</c:v>
                </c:pt>
                <c:pt idx="3210">
                  <c:v>1.4005127293950769E-2</c:v>
                </c:pt>
                <c:pt idx="3211">
                  <c:v>1.4008344768133504E-2</c:v>
                </c:pt>
                <c:pt idx="3212">
                  <c:v>1.4011552069958499E-2</c:v>
                </c:pt>
                <c:pt idx="3213">
                  <c:v>1.4014749199402295E-2</c:v>
                </c:pt>
                <c:pt idx="3214">
                  <c:v>1.4017936156439696E-2</c:v>
                </c:pt>
                <c:pt idx="3215">
                  <c:v>1.4021112941044637E-2</c:v>
                </c:pt>
                <c:pt idx="3216">
                  <c:v>1.4024279553193656E-2</c:v>
                </c:pt>
                <c:pt idx="3217">
                  <c:v>1.4027435992863295E-2</c:v>
                </c:pt>
                <c:pt idx="3218">
                  <c:v>1.4030582260027485E-2</c:v>
                </c:pt>
                <c:pt idx="3219">
                  <c:v>1.4033223072151312E-2</c:v>
                </c:pt>
                <c:pt idx="3220">
                  <c:v>1.4036349599167497E-2</c:v>
                </c:pt>
                <c:pt idx="3221">
                  <c:v>1.4039465953976869E-2</c:v>
                </c:pt>
                <c:pt idx="3222">
                  <c:v>1.4042572136553954E-2</c:v>
                </c:pt>
                <c:pt idx="3223">
                  <c:v>1.4046161007412643E-2</c:v>
                </c:pt>
                <c:pt idx="3224">
                  <c:v>1.4049246239034996E-2</c:v>
                </c:pt>
                <c:pt idx="3225">
                  <c:v>1.4052321297980735E-2</c:v>
                </c:pt>
                <c:pt idx="3226">
                  <c:v>1.4055386184229008E-2</c:v>
                </c:pt>
                <c:pt idx="3227">
                  <c:v>1.4058440897754616E-2</c:v>
                </c:pt>
                <c:pt idx="3228">
                  <c:v>1.4061485438533231E-2</c:v>
                </c:pt>
                <c:pt idx="3229">
                  <c:v>1.4064519806543134E-2</c:v>
                </c:pt>
                <c:pt idx="3230">
                  <c:v>1.4067544001759122E-2</c:v>
                </c:pt>
                <c:pt idx="3231">
                  <c:v>1.407055802415861E-2</c:v>
                </c:pt>
                <c:pt idx="3232">
                  <c:v>1.4073074484375118E-2</c:v>
                </c:pt>
                <c:pt idx="3233">
                  <c:v>1.4076068770846634E-2</c:v>
                </c:pt>
                <c:pt idx="3234">
                  <c:v>1.4079052884804769E-2</c:v>
                </c:pt>
                <c:pt idx="3235">
                  <c:v>1.4082026826226685E-2</c:v>
                </c:pt>
                <c:pt idx="3236">
                  <c:v>1.4082988172004755E-2</c:v>
                </c:pt>
                <c:pt idx="3237">
                  <c:v>1.4087881008206793E-2</c:v>
                </c:pt>
                <c:pt idx="3238">
                  <c:v>1.4090823590305668E-2</c:v>
                </c:pt>
                <c:pt idx="3239">
                  <c:v>1.4093756000148616E-2</c:v>
                </c:pt>
                <c:pt idx="3240">
                  <c:v>1.409667823771521E-2</c:v>
                </c:pt>
                <c:pt idx="3241">
                  <c:v>1.4099590302981468E-2</c:v>
                </c:pt>
                <c:pt idx="3242">
                  <c:v>1.4102492195926963E-2</c:v>
                </c:pt>
                <c:pt idx="3243">
                  <c:v>1.4105383916528602E-2</c:v>
                </c:pt>
                <c:pt idx="3244">
                  <c:v>1.4108265464763292E-2</c:v>
                </c:pt>
                <c:pt idx="3245">
                  <c:v>1.4112095577174908E-2</c:v>
                </c:pt>
                <c:pt idx="3246">
                  <c:v>1.4114955551242045E-2</c:v>
                </c:pt>
                <c:pt idx="3247">
                  <c:v>1.4117805352123409E-2</c:v>
                </c:pt>
                <c:pt idx="3248">
                  <c:v>1.412064497979728E-2</c:v>
                </c:pt>
                <c:pt idx="3249">
                  <c:v>1.4123804273141347E-2</c:v>
                </c:pt>
                <c:pt idx="3250">
                  <c:v>1.412662126401576E-2</c:v>
                </c:pt>
                <c:pt idx="3251">
                  <c:v>1.4129428081986773E-2</c:v>
                </c:pt>
                <c:pt idx="3252">
                  <c:v>1.4132224727035939E-2</c:v>
                </c:pt>
                <c:pt idx="3253">
                  <c:v>1.413683075338042E-2</c:v>
                </c:pt>
                <c:pt idx="3254">
                  <c:v>1.4138261120951783E-2</c:v>
                </c:pt>
                <c:pt idx="3255">
                  <c:v>1.4141026628881398E-2</c:v>
                </c:pt>
                <c:pt idx="3256">
                  <c:v>1.4143781963421925E-2</c:v>
                </c:pt>
                <c:pt idx="3257">
                  <c:v>1.4146527124553381E-2</c:v>
                </c:pt>
                <c:pt idx="3258">
                  <c:v>1.4149262112253175E-2</c:v>
                </c:pt>
                <c:pt idx="3259">
                  <c:v>1.4151986926501322E-2</c:v>
                </c:pt>
                <c:pt idx="3260">
                  <c:v>1.41547015672761E-2</c:v>
                </c:pt>
                <c:pt idx="3261">
                  <c:v>1.4157406034556659E-2</c:v>
                </c:pt>
                <c:pt idx="3262">
                  <c:v>1.4160100328322142E-2</c:v>
                </c:pt>
                <c:pt idx="3263">
                  <c:v>1.4162784448549962E-2</c:v>
                </c:pt>
                <c:pt idx="3264">
                  <c:v>1.4165458395221871E-2</c:v>
                </c:pt>
                <c:pt idx="3265">
                  <c:v>1.4168122168314409E-2</c:v>
                </c:pt>
                <c:pt idx="3266">
                  <c:v>1.4170775767810201E-2</c:v>
                </c:pt>
                <c:pt idx="3267">
                  <c:v>1.4173419193685784E-2</c:v>
                </c:pt>
                <c:pt idx="3268">
                  <c:v>1.4176052445921176E-2</c:v>
                </c:pt>
                <c:pt idx="3269">
                  <c:v>1.4178675524495525E-2</c:v>
                </c:pt>
                <c:pt idx="3270">
                  <c:v>1.4181288429390584E-2</c:v>
                </c:pt>
                <c:pt idx="3271">
                  <c:v>1.4183428099414934E-2</c:v>
                </c:pt>
                <c:pt idx="3272">
                  <c:v>1.4186021281586787E-2</c:v>
                </c:pt>
                <c:pt idx="3273">
                  <c:v>1.4188604290401098E-2</c:v>
                </c:pt>
                <c:pt idx="3274">
                  <c:v>1.4193021584034961E-2</c:v>
                </c:pt>
                <c:pt idx="3275">
                  <c:v>1.4194200347944932E-2</c:v>
                </c:pt>
                <c:pt idx="3276">
                  <c:v>1.4196752210328945E-2</c:v>
                </c:pt>
                <c:pt idx="3277">
                  <c:v>1.4199293898894648E-2</c:v>
                </c:pt>
                <c:pt idx="3278">
                  <c:v>1.4201825413619451E-2</c:v>
                </c:pt>
                <c:pt idx="3279">
                  <c:v>1.420434675448337E-2</c:v>
                </c:pt>
                <c:pt idx="3280">
                  <c:v>1.4206857921466419E-2</c:v>
                </c:pt>
                <c:pt idx="3281">
                  <c:v>1.4209358914548617E-2</c:v>
                </c:pt>
                <c:pt idx="3282">
                  <c:v>1.4211849733713455E-2</c:v>
                </c:pt>
                <c:pt idx="3283">
                  <c:v>1.421433037893834E-2</c:v>
                </c:pt>
                <c:pt idx="3284">
                  <c:v>1.4215890981875035E-2</c:v>
                </c:pt>
                <c:pt idx="3285">
                  <c:v>1.4218352538508228E-2</c:v>
                </c:pt>
                <c:pt idx="3286">
                  <c:v>1.4220803921915603E-2</c:v>
                </c:pt>
                <c:pt idx="3287">
                  <c:v>1.4225088249430371E-2</c:v>
                </c:pt>
                <c:pt idx="3288">
                  <c:v>1.4226022629497237E-2</c:v>
                </c:pt>
                <c:pt idx="3289">
                  <c:v>1.4228097032605191E-2</c:v>
                </c:pt>
                <c:pt idx="3290">
                  <c:v>1.423050772292811E-2</c:v>
                </c:pt>
                <c:pt idx="3291">
                  <c:v>1.4232908239934616E-2</c:v>
                </c:pt>
                <c:pt idx="3292">
                  <c:v>1.4235298583605172E-2</c:v>
                </c:pt>
                <c:pt idx="3293">
                  <c:v>1.4237229427896994E-2</c:v>
                </c:pt>
                <c:pt idx="3294">
                  <c:v>1.4239600057914678E-2</c:v>
                </c:pt>
                <c:pt idx="3295">
                  <c:v>1.4241960514931042E-2</c:v>
                </c:pt>
                <c:pt idx="3296">
                  <c:v>1.424431079892723E-2</c:v>
                </c:pt>
                <c:pt idx="3297">
                  <c:v>1.4247991137892421E-2</c:v>
                </c:pt>
                <c:pt idx="3298">
                  <c:v>1.4250319171768533E-2</c:v>
                </c:pt>
                <c:pt idx="3299">
                  <c:v>1.4252637031408406E-2</c:v>
                </c:pt>
                <c:pt idx="3300">
                  <c:v>1.425494471679206E-2</c:v>
                </c:pt>
                <c:pt idx="3301">
                  <c:v>1.4256798075218817E-2</c:v>
                </c:pt>
                <c:pt idx="3302">
                  <c:v>1.4259086048318588E-2</c:v>
                </c:pt>
                <c:pt idx="3303">
                  <c:v>1.4261363847499509E-2</c:v>
                </c:pt>
                <c:pt idx="3304">
                  <c:v>1.4263631472743132E-2</c:v>
                </c:pt>
                <c:pt idx="3305">
                  <c:v>1.4266330529253607E-2</c:v>
                </c:pt>
                <c:pt idx="3306">
                  <c:v>1.4268577168729802E-2</c:v>
                </c:pt>
                <c:pt idx="3307">
                  <c:v>1.4270813633827265E-2</c:v>
                </c:pt>
                <c:pt idx="3308">
                  <c:v>1.4273039924526883E-2</c:v>
                </c:pt>
                <c:pt idx="3309">
                  <c:v>1.4275256040812147E-2</c:v>
                </c:pt>
                <c:pt idx="3310">
                  <c:v>1.4277461982667416E-2</c:v>
                </c:pt>
                <c:pt idx="3311">
                  <c:v>1.4279657750073576E-2</c:v>
                </c:pt>
                <c:pt idx="3312">
                  <c:v>1.4281843343014118E-2</c:v>
                </c:pt>
                <c:pt idx="3313">
                  <c:v>1.4284018761470795E-2</c:v>
                </c:pt>
                <c:pt idx="3314">
                  <c:v>1.4286184005428838E-2</c:v>
                </c:pt>
                <c:pt idx="3315">
                  <c:v>1.4288339074871738E-2</c:v>
                </c:pt>
                <c:pt idx="3316">
                  <c:v>1.429048396977951E-2</c:v>
                </c:pt>
                <c:pt idx="3317">
                  <c:v>1.4292618690138252E-2</c:v>
                </c:pt>
                <c:pt idx="3318">
                  <c:v>1.4294743235931457E-2</c:v>
                </c:pt>
                <c:pt idx="3319">
                  <c:v>1.4296857607140879E-2</c:v>
                </c:pt>
                <c:pt idx="3320">
                  <c:v>1.4298961803750876E-2</c:v>
                </c:pt>
                <c:pt idx="3321">
                  <c:v>1.4301055825746678E-2</c:v>
                </c:pt>
                <c:pt idx="3322">
                  <c:v>1.4303139673108301E-2</c:v>
                </c:pt>
                <c:pt idx="3323">
                  <c:v>1.4304783281498493E-2</c:v>
                </c:pt>
                <c:pt idx="3324">
                  <c:v>1.4306847424432433E-2</c:v>
                </c:pt>
                <c:pt idx="3325">
                  <c:v>1.4308901393079465E-2</c:v>
                </c:pt>
                <c:pt idx="3326">
                  <c:v>1.4310945187423778E-2</c:v>
                </c:pt>
                <c:pt idx="3327">
                  <c:v>1.4314688435189694E-2</c:v>
                </c:pt>
                <c:pt idx="3328">
                  <c:v>1.4315429089111403E-2</c:v>
                </c:pt>
                <c:pt idx="3329">
                  <c:v>1.4317441713601947E-2</c:v>
                </c:pt>
                <c:pt idx="3330">
                  <c:v>1.4319444163332327E-2</c:v>
                </c:pt>
                <c:pt idx="3331">
                  <c:v>1.4321436438287771E-2</c:v>
                </c:pt>
                <c:pt idx="3332">
                  <c:v>1.4323418538453508E-2</c:v>
                </c:pt>
                <c:pt idx="3333">
                  <c:v>1.4325390463813899E-2</c:v>
                </c:pt>
                <c:pt idx="3334">
                  <c:v>1.4327352214351568E-2</c:v>
                </c:pt>
                <c:pt idx="3335">
                  <c:v>1.4329303790053479E-2</c:v>
                </c:pt>
                <c:pt idx="3336">
                  <c:v>1.4330823540772213E-2</c:v>
                </c:pt>
                <c:pt idx="3337">
                  <c:v>1.4332755416761503E-2</c:v>
                </c:pt>
                <c:pt idx="3338">
                  <c:v>1.4334677118265363E-2</c:v>
                </c:pt>
                <c:pt idx="3339">
                  <c:v>1.4336588645267104E-2</c:v>
                </c:pt>
                <c:pt idx="3340">
                  <c:v>1.4338489997753548E-2</c:v>
                </c:pt>
                <c:pt idx="3341">
                  <c:v>1.4340381175708884E-2</c:v>
                </c:pt>
                <c:pt idx="3342">
                  <c:v>1.4342262179119937E-2</c:v>
                </c:pt>
                <c:pt idx="3343">
                  <c:v>1.4344133007970895E-2</c:v>
                </c:pt>
                <c:pt idx="3344">
                  <c:v>1.434599366224858E-2</c:v>
                </c:pt>
                <c:pt idx="3345">
                  <c:v>1.4347428304817278E-2</c:v>
                </c:pt>
                <c:pt idx="3346">
                  <c:v>1.4349269263417952E-2</c:v>
                </c:pt>
                <c:pt idx="3347">
                  <c:v>1.4351100047798937E-2</c:v>
                </c:pt>
                <c:pt idx="3348">
                  <c:v>1.4352920657945134E-2</c:v>
                </c:pt>
                <c:pt idx="3349">
                  <c:v>1.4355557483715135E-2</c:v>
                </c:pt>
                <c:pt idx="3350">
                  <c:v>1.4357356435096041E-2</c:v>
                </c:pt>
                <c:pt idx="3351">
                  <c:v>1.435914521140833E-2</c:v>
                </c:pt>
                <c:pt idx="3352">
                  <c:v>1.4360923812636366E-2</c:v>
                </c:pt>
                <c:pt idx="3353">
                  <c:v>1.4362281692578785E-2</c:v>
                </c:pt>
                <c:pt idx="3354">
                  <c:v>1.4364040600342839E-2</c:v>
                </c:pt>
                <c:pt idx="3355">
                  <c:v>1.4365789333379019E-2</c:v>
                </c:pt>
                <c:pt idx="3356">
                  <c:v>1.4367527891675905E-2</c:v>
                </c:pt>
                <c:pt idx="3357">
                  <c:v>1.4369256275217688E-2</c:v>
                </c:pt>
                <c:pt idx="3358">
                  <c:v>1.4371381742481953E-2</c:v>
                </c:pt>
                <c:pt idx="3359">
                  <c:v>1.4373089117742257E-2</c:v>
                </c:pt>
                <c:pt idx="3360">
                  <c:v>1.4374786317811437E-2</c:v>
                </c:pt>
                <c:pt idx="3361">
                  <c:v>1.4376473342674721E-2</c:v>
                </c:pt>
                <c:pt idx="3362">
                  <c:v>1.4378150192321684E-2</c:v>
                </c:pt>
                <c:pt idx="3363">
                  <c:v>1.4379816866734948E-2</c:v>
                </c:pt>
                <c:pt idx="3364">
                  <c:v>1.4381473365905824E-2</c:v>
                </c:pt>
                <c:pt idx="3365">
                  <c:v>1.4383119689820409E-2</c:v>
                </c:pt>
                <c:pt idx="3366">
                  <c:v>1.4384755838463065E-2</c:v>
                </c:pt>
                <c:pt idx="3367">
                  <c:v>1.4386381811824236E-2</c:v>
                </c:pt>
                <c:pt idx="3368">
                  <c:v>1.4387997609890017E-2</c:v>
                </c:pt>
                <c:pt idx="3369">
                  <c:v>1.4389603232649113E-2</c:v>
                </c:pt>
                <c:pt idx="3370">
                  <c:v>1.4391198680086755E-2</c:v>
                </c:pt>
                <c:pt idx="3371">
                  <c:v>1.4392783952192515E-2</c:v>
                </c:pt>
                <c:pt idx="3372">
                  <c:v>1.4394359048951623E-2</c:v>
                </c:pt>
                <c:pt idx="3373">
                  <c:v>1.4395923970356259E-2</c:v>
                </c:pt>
                <c:pt idx="3374">
                  <c:v>1.4397478716389914E-2</c:v>
                </c:pt>
                <c:pt idx="3375">
                  <c:v>1.4398627281309981E-2</c:v>
                </c:pt>
                <c:pt idx="3376">
                  <c:v>1.4400162342093523E-2</c:v>
                </c:pt>
                <c:pt idx="3377">
                  <c:v>1.4401687227873366E-2</c:v>
                </c:pt>
                <c:pt idx="3378">
                  <c:v>1.440320193863546E-2</c:v>
                </c:pt>
                <c:pt idx="3379">
                  <c:v>1.4404706474371018E-2</c:v>
                </c:pt>
                <c:pt idx="3380">
                  <c:v>1.4406593509166111E-2</c:v>
                </c:pt>
                <c:pt idx="3381">
                  <c:v>1.4408077027280551E-2</c:v>
                </c:pt>
                <c:pt idx="3382">
                  <c:v>1.4409550369931041E-2</c:v>
                </c:pt>
                <c:pt idx="3383">
                  <c:v>1.4411013537108025E-2</c:v>
                </c:pt>
                <c:pt idx="3384">
                  <c:v>1.4412466528795862E-2</c:v>
                </c:pt>
                <c:pt idx="3385">
                  <c:v>1.4413909344986731E-2</c:v>
                </c:pt>
                <c:pt idx="3386">
                  <c:v>1.441534198566847E-2</c:v>
                </c:pt>
                <c:pt idx="3387">
                  <c:v>1.4416764450830651E-2</c:v>
                </c:pt>
                <c:pt idx="3388">
                  <c:v>1.441740204160169E-2</c:v>
                </c:pt>
                <c:pt idx="3389">
                  <c:v>1.4418805497120601E-2</c:v>
                </c:pt>
                <c:pt idx="3390">
                  <c:v>1.4420198777890469E-2</c:v>
                </c:pt>
                <c:pt idx="3391">
                  <c:v>1.4421581883900636E-2</c:v>
                </c:pt>
                <c:pt idx="3392">
                  <c:v>1.4422954815141331E-2</c:v>
                </c:pt>
                <c:pt idx="3393">
                  <c:v>1.4424317571601009E-2</c:v>
                </c:pt>
                <c:pt idx="3394">
                  <c:v>1.4425670153269898E-2</c:v>
                </c:pt>
                <c:pt idx="3395">
                  <c:v>1.4427012560137342E-2</c:v>
                </c:pt>
                <c:pt idx="3396">
                  <c:v>1.4428344792194459E-2</c:v>
                </c:pt>
                <c:pt idx="3397">
                  <c:v>1.4429285469760711E-2</c:v>
                </c:pt>
                <c:pt idx="3398">
                  <c:v>1.4430598026421824E-2</c:v>
                </c:pt>
                <c:pt idx="3399">
                  <c:v>1.4431900408641871E-2</c:v>
                </c:pt>
                <c:pt idx="3400">
                  <c:v>1.4433192616413668E-2</c:v>
                </c:pt>
                <c:pt idx="3401">
                  <c:v>1.4435610527415181E-2</c:v>
                </c:pt>
                <c:pt idx="3402">
                  <c:v>1.4436880358490252E-2</c:v>
                </c:pt>
                <c:pt idx="3403">
                  <c:v>1.4438140013877207E-2</c:v>
                </c:pt>
                <c:pt idx="3404">
                  <c:v>1.4439389493567356E-2</c:v>
                </c:pt>
                <c:pt idx="3405">
                  <c:v>1.4440628797550269E-2</c:v>
                </c:pt>
                <c:pt idx="3406">
                  <c:v>1.4441482738189893E-2</c:v>
                </c:pt>
                <c:pt idx="3407">
                  <c:v>1.4442702368728874E-2</c:v>
                </c:pt>
                <c:pt idx="3408">
                  <c:v>1.4443911823935628E-2</c:v>
                </c:pt>
                <c:pt idx="3409">
                  <c:v>1.4445111103801372E-2</c:v>
                </c:pt>
                <c:pt idx="3410">
                  <c:v>1.4446672681520089E-2</c:v>
                </c:pt>
                <c:pt idx="3411">
                  <c:v>1.4447850931059762E-2</c:v>
                </c:pt>
                <c:pt idx="3412">
                  <c:v>1.4449019004827039E-2</c:v>
                </c:pt>
                <c:pt idx="3413">
                  <c:v>1.4450176902811489E-2</c:v>
                </c:pt>
                <c:pt idx="3414">
                  <c:v>1.4451324625005296E-2</c:v>
                </c:pt>
                <c:pt idx="3415">
                  <c:v>1.4452462171398898E-2</c:v>
                </c:pt>
                <c:pt idx="3416">
                  <c:v>1.4453589541984479E-2</c:v>
                </c:pt>
                <c:pt idx="3417">
                  <c:v>1.4454706736750741E-2</c:v>
                </c:pt>
                <c:pt idx="3418">
                  <c:v>1.4455813755691606E-2</c:v>
                </c:pt>
                <c:pt idx="3419">
                  <c:v>1.445691059879925E-2</c:v>
                </c:pt>
                <c:pt idx="3420">
                  <c:v>1.4457997266062379E-2</c:v>
                </c:pt>
                <c:pt idx="3421">
                  <c:v>1.4459073757473174E-2</c:v>
                </c:pt>
                <c:pt idx="3422">
                  <c:v>1.4460140073023812E-2</c:v>
                </c:pt>
                <c:pt idx="3423">
                  <c:v>1.4461196212707347E-2</c:v>
                </c:pt>
                <c:pt idx="3424">
                  <c:v>1.4462242176513351E-2</c:v>
                </c:pt>
                <c:pt idx="3425">
                  <c:v>1.4463277964433132E-2</c:v>
                </c:pt>
                <c:pt idx="3426">
                  <c:v>1.4464303576461481E-2</c:v>
                </c:pt>
                <c:pt idx="3427">
                  <c:v>1.4464958147915921E-2</c:v>
                </c:pt>
                <c:pt idx="3428">
                  <c:v>1.4465964094637886E-2</c:v>
                </c:pt>
                <c:pt idx="3429">
                  <c:v>1.4466959865849307E-2</c:v>
                </c:pt>
                <c:pt idx="3430">
                  <c:v>1.44679454615414E-2</c:v>
                </c:pt>
                <c:pt idx="3431">
                  <c:v>1.4468920881708015E-2</c:v>
                </c:pt>
                <c:pt idx="3432">
                  <c:v>1.4470243554437925E-2</c:v>
                </c:pt>
                <c:pt idx="3433">
                  <c:v>1.4471197934996854E-2</c:v>
                </c:pt>
                <c:pt idx="3434">
                  <c:v>1.4472142139601792E-2</c:v>
                </c:pt>
                <c:pt idx="3435">
                  <c:v>1.4473076168244918E-2</c:v>
                </c:pt>
                <c:pt idx="3436">
                  <c:v>1.447400002091841E-2</c:v>
                </c:pt>
                <c:pt idx="3437">
                  <c:v>1.4474913697616188E-2</c:v>
                </c:pt>
                <c:pt idx="3438">
                  <c:v>1.4475817198331301E-2</c:v>
                </c:pt>
                <c:pt idx="3439">
                  <c:v>1.4476710523055061E-2</c:v>
                </c:pt>
                <c:pt idx="3440">
                  <c:v>1.4476889798364923E-2</c:v>
                </c:pt>
                <c:pt idx="3441">
                  <c:v>1.4477764154604778E-2</c:v>
                </c:pt>
                <c:pt idx="3442">
                  <c:v>1.4478628335646171E-2</c:v>
                </c:pt>
                <c:pt idx="3443">
                  <c:v>1.4479482341483774E-2</c:v>
                </c:pt>
                <c:pt idx="3444">
                  <c:v>1.4480794985298508E-2</c:v>
                </c:pt>
                <c:pt idx="3445">
                  <c:v>1.4481278090520355E-2</c:v>
                </c:pt>
                <c:pt idx="3446">
                  <c:v>1.4482100117104935E-2</c:v>
                </c:pt>
                <c:pt idx="3447">
                  <c:v>1.448291196845819E-2</c:v>
                </c:pt>
                <c:pt idx="3448">
                  <c:v>1.448371364457568E-2</c:v>
                </c:pt>
                <c:pt idx="3449">
                  <c:v>1.4484159462977928E-2</c:v>
                </c:pt>
                <c:pt idx="3450">
                  <c:v>1.4484941484000249E-2</c:v>
                </c:pt>
                <c:pt idx="3451">
                  <c:v>1.4485713330173742E-2</c:v>
                </c:pt>
                <c:pt idx="3452">
                  <c:v>1.448647500149571E-2</c:v>
                </c:pt>
                <c:pt idx="3453">
                  <c:v>1.4488940417462313E-2</c:v>
                </c:pt>
                <c:pt idx="3454">
                  <c:v>1.4489678253363626E-2</c:v>
                </c:pt>
                <c:pt idx="3455">
                  <c:v>1.4490405912359663E-2</c:v>
                </c:pt>
                <c:pt idx="3456">
                  <c:v>1.449112339444107E-2</c:v>
                </c:pt>
                <c:pt idx="3457">
                  <c:v>1.4490810893423368E-2</c:v>
                </c:pt>
                <c:pt idx="3458">
                  <c:v>1.4491510118141055E-2</c:v>
                </c:pt>
                <c:pt idx="3459">
                  <c:v>1.4492588340758179E-2</c:v>
                </c:pt>
                <c:pt idx="3460">
                  <c:v>1.4492878040452743E-2</c:v>
                </c:pt>
                <c:pt idx="3461">
                  <c:v>1.4493546738033566E-2</c:v>
                </c:pt>
                <c:pt idx="3462">
                  <c:v>1.4495214571420389E-2</c:v>
                </c:pt>
                <c:pt idx="3463">
                  <c:v>1.4495860814948016E-2</c:v>
                </c:pt>
                <c:pt idx="3464">
                  <c:v>1.4496496881519345E-2</c:v>
                </c:pt>
                <c:pt idx="3465">
                  <c:v>1.4497122771127571E-2</c:v>
                </c:pt>
                <c:pt idx="3466">
                  <c:v>1.4497738483768443E-2</c:v>
                </c:pt>
                <c:pt idx="3467">
                  <c:v>1.449834401943686E-2</c:v>
                </c:pt>
                <c:pt idx="3468">
                  <c:v>1.4498939378128567E-2</c:v>
                </c:pt>
                <c:pt idx="3469">
                  <c:v>1.4499524559837615E-2</c:v>
                </c:pt>
                <c:pt idx="3470">
                  <c:v>1.4499107108152193E-2</c:v>
                </c:pt>
                <c:pt idx="3471">
                  <c:v>1.4500664392293271E-2</c:v>
                </c:pt>
                <c:pt idx="3472">
                  <c:v>1.4501219043030525E-2</c:v>
                </c:pt>
                <c:pt idx="3473">
                  <c:v>1.4501763516766408E-2</c:v>
                </c:pt>
                <c:pt idx="3474">
                  <c:v>1.4502297813500074E-2</c:v>
                </c:pt>
                <c:pt idx="3475">
                  <c:v>1.4502821933224715E-2</c:v>
                </c:pt>
                <c:pt idx="3476">
                  <c:v>1.4503335875936083E-2</c:v>
                </c:pt>
                <c:pt idx="3477">
                  <c:v>1.4503839641629924E-2</c:v>
                </c:pt>
                <c:pt idx="3478">
                  <c:v>1.4504333230305387E-2</c:v>
                </c:pt>
                <c:pt idx="3479">
                  <c:v>1.4503843241313451E-2</c:v>
                </c:pt>
                <c:pt idx="3480">
                  <c:v>1.4504318599371423E-2</c:v>
                </c:pt>
                <c:pt idx="3481">
                  <c:v>1.4504783781627215E-2</c:v>
                </c:pt>
                <c:pt idx="3482">
                  <c:v>1.4505238788072921E-2</c:v>
                </c:pt>
                <c:pt idx="3483">
                  <c:v>1.4506648518230173E-2</c:v>
                </c:pt>
                <c:pt idx="3484">
                  <c:v>1.4507081044700982E-2</c:v>
                </c:pt>
                <c:pt idx="3485">
                  <c:v>1.4507503394124502E-2</c:v>
                </c:pt>
                <c:pt idx="3486">
                  <c:v>1.4507915566499031E-2</c:v>
                </c:pt>
                <c:pt idx="3487">
                  <c:v>1.4508317561819467E-2</c:v>
                </c:pt>
                <c:pt idx="3488">
                  <c:v>1.450870938008496E-2</c:v>
                </c:pt>
                <c:pt idx="3489">
                  <c:v>1.4509091021289555E-2</c:v>
                </c:pt>
                <c:pt idx="3490">
                  <c:v>1.4509462485432405E-2</c:v>
                </c:pt>
                <c:pt idx="3491">
                  <c:v>1.4509823772510106E-2</c:v>
                </c:pt>
                <c:pt idx="3492">
                  <c:v>1.4508913829847536E-2</c:v>
                </c:pt>
                <c:pt idx="3493">
                  <c:v>1.4509257615196169E-2</c:v>
                </c:pt>
                <c:pt idx="3494">
                  <c:v>1.4509591225104757E-2</c:v>
                </c:pt>
                <c:pt idx="3495">
                  <c:v>1.450991465957685E-2</c:v>
                </c:pt>
                <c:pt idx="3496">
                  <c:v>1.4509734494861624E-2</c:v>
                </c:pt>
                <c:pt idx="3497">
                  <c:v>1.4511280674142913E-2</c:v>
                </c:pt>
                <c:pt idx="3498">
                  <c:v>1.4511257089093538E-2</c:v>
                </c:pt>
                <c:pt idx="3499">
                  <c:v>1.451153474523074E-2</c:v>
                </c:pt>
                <c:pt idx="3500">
                  <c:v>1.4511802225506911E-2</c:v>
                </c:pt>
                <c:pt idx="3501">
                  <c:v>1.4512059529919411E-2</c:v>
                </c:pt>
                <c:pt idx="3502">
                  <c:v>1.4512306658467367E-2</c:v>
                </c:pt>
                <c:pt idx="3503">
                  <c:v>1.451254361114902E-2</c:v>
                </c:pt>
                <c:pt idx="3504">
                  <c:v>1.4512770387959974E-2</c:v>
                </c:pt>
                <c:pt idx="3505">
                  <c:v>1.4513292672121571E-2</c:v>
                </c:pt>
                <c:pt idx="3506">
                  <c:v>1.4513498378620362E-2</c:v>
                </c:pt>
                <c:pt idx="3507">
                  <c:v>1.451369390883586E-2</c:v>
                </c:pt>
                <c:pt idx="3508">
                  <c:v>1.4513879262766325E-2</c:v>
                </c:pt>
                <c:pt idx="3509">
                  <c:v>1.4513751633931484E-2</c:v>
                </c:pt>
                <c:pt idx="3510">
                  <c:v>1.4513962835476528E-2</c:v>
                </c:pt>
                <c:pt idx="3511">
                  <c:v>1.4514072901183407E-2</c:v>
                </c:pt>
                <c:pt idx="3512">
                  <c:v>1.451421827098927E-2</c:v>
                </c:pt>
                <c:pt idx="3513">
                  <c:v>1.4514353464913018E-2</c:v>
                </c:pt>
                <c:pt idx="3514">
                  <c:v>1.451477768429567E-2</c:v>
                </c:pt>
                <c:pt idx="3515">
                  <c:v>1.4514891804197894E-2</c:v>
                </c:pt>
                <c:pt idx="3516">
                  <c:v>1.4514995747804659E-2</c:v>
                </c:pt>
                <c:pt idx="3517">
                  <c:v>1.4515089515117704E-2</c:v>
                </c:pt>
                <c:pt idx="3518">
                  <c:v>1.4515173106135289E-2</c:v>
                </c:pt>
                <c:pt idx="3519">
                  <c:v>1.4515246520856548E-2</c:v>
                </c:pt>
                <c:pt idx="3520">
                  <c:v>1.451530984054517E-2</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01763072"/>
        <c:axId val="501765248"/>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42263</c:v>
                </c:pt>
                <c:pt idx="1">
                  <c:v>42354</c:v>
                </c:pt>
                <c:pt idx="2">
                  <c:v>42445</c:v>
                </c:pt>
                <c:pt idx="3">
                  <c:v>42536</c:v>
                </c:pt>
                <c:pt idx="4">
                  <c:v>42634</c:v>
                </c:pt>
                <c:pt idx="5">
                  <c:v>42725</c:v>
                </c:pt>
                <c:pt idx="6">
                  <c:v>42809</c:v>
                </c:pt>
                <c:pt idx="7">
                  <c:v>42907</c:v>
                </c:pt>
                <c:pt idx="8">
                  <c:v>42998</c:v>
                </c:pt>
                <c:pt idx="9">
                  <c:v>43089</c:v>
                </c:pt>
                <c:pt idx="10">
                  <c:v>43180</c:v>
                </c:pt>
                <c:pt idx="11">
                  <c:v>43271</c:v>
                </c:pt>
                <c:pt idx="12">
                  <c:v>43362</c:v>
                </c:pt>
                <c:pt idx="13">
                  <c:v>43453</c:v>
                </c:pt>
                <c:pt idx="14">
                  <c:v>43544</c:v>
                </c:pt>
                <c:pt idx="15">
                  <c:v>43635</c:v>
                </c:pt>
              </c:numCache>
            </c:numRef>
          </c:xVal>
          <c:yVal>
            <c:numRef>
              <c:f>[0]!IMMFutSeries</c:f>
              <c:numCache>
                <c:formatCode>0.0000%</c:formatCode>
                <c:ptCount val="16"/>
                <c:pt idx="0">
                  <c:v>-3.7500000000001421E-4</c:v>
                </c:pt>
                <c:pt idx="1">
                  <c:v>-3.7500000000001421E-4</c:v>
                </c:pt>
                <c:pt idx="2">
                  <c:v>-3.7500000000001421E-4</c:v>
                </c:pt>
                <c:pt idx="3">
                  <c:v>-3.249999999999087E-4</c:v>
                </c:pt>
                <c:pt idx="4">
                  <c:v>-1.7500000000003624E-4</c:v>
                </c:pt>
                <c:pt idx="5">
                  <c:v>2.4999999999941735E-5</c:v>
                </c:pt>
                <c:pt idx="6">
                  <c:v>3.2500000000001972E-4</c:v>
                </c:pt>
                <c:pt idx="7">
                  <c:v>7.2499999999986464E-4</c:v>
                </c:pt>
                <c:pt idx="8">
                  <c:v>1.1249999999999316E-3</c:v>
                </c:pt>
                <c:pt idx="9">
                  <c:v>1.5749999999999931E-3</c:v>
                </c:pt>
                <c:pt idx="10">
                  <c:v>2.175000000000038E-3</c:v>
                </c:pt>
                <c:pt idx="11">
                  <c:v>2.8249999999999664E-3</c:v>
                </c:pt>
                <c:pt idx="12">
                  <c:v>3.5499999999999421E-3</c:v>
                </c:pt>
                <c:pt idx="13">
                  <c:v>4.3250000000000233E-3</c:v>
                </c:pt>
                <c:pt idx="14">
                  <c:v>5.1250000000000462E-3</c:v>
                </c:pt>
                <c:pt idx="15">
                  <c:v>5.9500000000000108E-3</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12"/>
                <c:pt idx="0">
                  <c:v>42289</c:v>
                </c:pt>
                <c:pt idx="1">
                  <c:v>42319</c:v>
                </c:pt>
                <c:pt idx="2">
                  <c:v>42349</c:v>
                </c:pt>
                <c:pt idx="3">
                  <c:v>42380</c:v>
                </c:pt>
                <c:pt idx="4">
                  <c:v>42411</c:v>
                </c:pt>
                <c:pt idx="5">
                  <c:v>42440</c:v>
                </c:pt>
                <c:pt idx="6">
                  <c:v>42471</c:v>
                </c:pt>
                <c:pt idx="7">
                  <c:v>42501</c:v>
                </c:pt>
                <c:pt idx="8">
                  <c:v>42534</c:v>
                </c:pt>
                <c:pt idx="9">
                  <c:v>42562</c:v>
                </c:pt>
                <c:pt idx="10">
                  <c:v>42593</c:v>
                </c:pt>
                <c:pt idx="11">
                  <c:v>42625</c:v>
                </c:pt>
              </c:numCache>
            </c:numRef>
          </c:xVal>
          <c:yVal>
            <c:numRef>
              <c:f>[0]!FRASeries</c:f>
              <c:numCache>
                <c:formatCode>0.0000%</c:formatCode>
                <c:ptCount val="12"/>
                <c:pt idx="0">
                  <c:v>-3.8999999999999999E-4</c:v>
                </c:pt>
                <c:pt idx="1">
                  <c:v>-3.8999999999999999E-4</c:v>
                </c:pt>
                <c:pt idx="2">
                  <c:v>-3.7999999999999997E-4</c:v>
                </c:pt>
                <c:pt idx="3">
                  <c:v>-3.8999999999999999E-4</c:v>
                </c:pt>
                <c:pt idx="4">
                  <c:v>-3.7999999999999997E-4</c:v>
                </c:pt>
                <c:pt idx="5">
                  <c:v>-3.7999999999999997E-4</c:v>
                </c:pt>
                <c:pt idx="6">
                  <c:v>-3.6999999999999999E-4</c:v>
                </c:pt>
                <c:pt idx="7">
                  <c:v>-3.5999999999999997E-4</c:v>
                </c:pt>
                <c:pt idx="8">
                  <c:v>-3.4999999999999994E-4</c:v>
                </c:pt>
                <c:pt idx="9">
                  <c:v>-3.0999999999999995E-4</c:v>
                </c:pt>
                <c:pt idx="10">
                  <c:v>-2.7000000000000006E-4</c:v>
                </c:pt>
                <c:pt idx="11">
                  <c:v>-2.1999999999999998E-4</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42298</c:v>
                </c:pt>
                <c:pt idx="1">
                  <c:v>42298</c:v>
                </c:pt>
                <c:pt idx="2">
                  <c:v>42298</c:v>
                </c:pt>
                <c:pt idx="3">
                  <c:v>42298</c:v>
                </c:pt>
                <c:pt idx="4">
                  <c:v>42298</c:v>
                </c:pt>
                <c:pt idx="5">
                  <c:v>42298</c:v>
                </c:pt>
                <c:pt idx="6">
                  <c:v>42298</c:v>
                </c:pt>
                <c:pt idx="7">
                  <c:v>42298</c:v>
                </c:pt>
              </c:numCache>
            </c:numRef>
          </c:xVal>
          <c:yVal>
            <c:numRef>
              <c:f>[0]!SerialFutSeries</c:f>
            </c:numRef>
          </c:yVal>
          <c:smooth val="0"/>
        </c:ser>
        <c:dLbls>
          <c:showLegendKey val="0"/>
          <c:showVal val="0"/>
          <c:showCatName val="0"/>
          <c:showSerName val="0"/>
          <c:showPercent val="0"/>
          <c:showBubbleSize val="0"/>
        </c:dLbls>
        <c:axId val="501763072"/>
        <c:axId val="501765248"/>
      </c:scatterChart>
      <c:dateAx>
        <c:axId val="501763072"/>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501765248"/>
        <c:crosses val="autoZero"/>
        <c:auto val="1"/>
        <c:lblOffset val="100"/>
        <c:baseTimeUnit val="days"/>
        <c:majorUnit val="3"/>
        <c:majorTimeUnit val="months"/>
        <c:minorUnit val="1"/>
        <c:minorTimeUnit val="years"/>
      </c:dateAx>
      <c:valAx>
        <c:axId val="501765248"/>
        <c:scaling>
          <c:orientation val="minMax"/>
          <c:max val="2E-3"/>
          <c:min val="-1E-3"/>
        </c:scaling>
        <c:delete val="0"/>
        <c:axPos val="l"/>
        <c:majorGridlines/>
        <c:numFmt formatCode="0.00%" sourceLinked="0"/>
        <c:majorTickMark val="out"/>
        <c:minorTickMark val="none"/>
        <c:tickLblPos val="nextTo"/>
        <c:crossAx val="501763072"/>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42258</c:v>
                </c:pt>
                <c:pt idx="1">
                  <c:v>42261</c:v>
                </c:pt>
                <c:pt idx="2">
                  <c:v>42262</c:v>
                </c:pt>
                <c:pt idx="3">
                  <c:v>42263</c:v>
                </c:pt>
                <c:pt idx="4">
                  <c:v>42264</c:v>
                </c:pt>
                <c:pt idx="5">
                  <c:v>42265</c:v>
                </c:pt>
                <c:pt idx="6">
                  <c:v>42268</c:v>
                </c:pt>
                <c:pt idx="7">
                  <c:v>42269</c:v>
                </c:pt>
                <c:pt idx="8">
                  <c:v>42270</c:v>
                </c:pt>
                <c:pt idx="9">
                  <c:v>42271</c:v>
                </c:pt>
                <c:pt idx="10">
                  <c:v>42272</c:v>
                </c:pt>
                <c:pt idx="11">
                  <c:v>42275</c:v>
                </c:pt>
                <c:pt idx="12">
                  <c:v>42276</c:v>
                </c:pt>
                <c:pt idx="13">
                  <c:v>42277</c:v>
                </c:pt>
                <c:pt idx="14">
                  <c:v>42278</c:v>
                </c:pt>
                <c:pt idx="15">
                  <c:v>42279</c:v>
                </c:pt>
                <c:pt idx="16">
                  <c:v>42282</c:v>
                </c:pt>
                <c:pt idx="17">
                  <c:v>42283</c:v>
                </c:pt>
                <c:pt idx="18">
                  <c:v>42284</c:v>
                </c:pt>
                <c:pt idx="19">
                  <c:v>42285</c:v>
                </c:pt>
                <c:pt idx="20">
                  <c:v>42286</c:v>
                </c:pt>
                <c:pt idx="21">
                  <c:v>42289</c:v>
                </c:pt>
                <c:pt idx="22">
                  <c:v>42290</c:v>
                </c:pt>
                <c:pt idx="23">
                  <c:v>42291</c:v>
                </c:pt>
                <c:pt idx="24">
                  <c:v>42292</c:v>
                </c:pt>
                <c:pt idx="25">
                  <c:v>42293</c:v>
                </c:pt>
                <c:pt idx="26">
                  <c:v>42296</c:v>
                </c:pt>
                <c:pt idx="27">
                  <c:v>42297</c:v>
                </c:pt>
                <c:pt idx="28">
                  <c:v>42298</c:v>
                </c:pt>
                <c:pt idx="29">
                  <c:v>42299</c:v>
                </c:pt>
                <c:pt idx="30">
                  <c:v>42300</c:v>
                </c:pt>
                <c:pt idx="31">
                  <c:v>42303</c:v>
                </c:pt>
                <c:pt idx="32">
                  <c:v>42304</c:v>
                </c:pt>
                <c:pt idx="33">
                  <c:v>42305</c:v>
                </c:pt>
                <c:pt idx="34">
                  <c:v>42306</c:v>
                </c:pt>
                <c:pt idx="35">
                  <c:v>42307</c:v>
                </c:pt>
                <c:pt idx="36">
                  <c:v>42310</c:v>
                </c:pt>
                <c:pt idx="37">
                  <c:v>42311</c:v>
                </c:pt>
                <c:pt idx="38">
                  <c:v>42312</c:v>
                </c:pt>
                <c:pt idx="39">
                  <c:v>42313</c:v>
                </c:pt>
                <c:pt idx="40">
                  <c:v>42314</c:v>
                </c:pt>
                <c:pt idx="41">
                  <c:v>42317</c:v>
                </c:pt>
                <c:pt idx="42">
                  <c:v>42318</c:v>
                </c:pt>
                <c:pt idx="43">
                  <c:v>42319</c:v>
                </c:pt>
                <c:pt idx="44">
                  <c:v>42320</c:v>
                </c:pt>
                <c:pt idx="45">
                  <c:v>42321</c:v>
                </c:pt>
                <c:pt idx="46">
                  <c:v>42324</c:v>
                </c:pt>
                <c:pt idx="47">
                  <c:v>42325</c:v>
                </c:pt>
                <c:pt idx="48">
                  <c:v>42326</c:v>
                </c:pt>
                <c:pt idx="49">
                  <c:v>42327</c:v>
                </c:pt>
                <c:pt idx="50">
                  <c:v>42328</c:v>
                </c:pt>
                <c:pt idx="51">
                  <c:v>42331</c:v>
                </c:pt>
                <c:pt idx="52">
                  <c:v>42332</c:v>
                </c:pt>
                <c:pt idx="53">
                  <c:v>42333</c:v>
                </c:pt>
                <c:pt idx="54">
                  <c:v>42334</c:v>
                </c:pt>
                <c:pt idx="55">
                  <c:v>42335</c:v>
                </c:pt>
                <c:pt idx="56">
                  <c:v>42338</c:v>
                </c:pt>
                <c:pt idx="57">
                  <c:v>42339</c:v>
                </c:pt>
                <c:pt idx="58">
                  <c:v>42340</c:v>
                </c:pt>
                <c:pt idx="59">
                  <c:v>42341</c:v>
                </c:pt>
                <c:pt idx="60">
                  <c:v>42342</c:v>
                </c:pt>
                <c:pt idx="61">
                  <c:v>42345</c:v>
                </c:pt>
                <c:pt idx="62">
                  <c:v>42346</c:v>
                </c:pt>
                <c:pt idx="63">
                  <c:v>42347</c:v>
                </c:pt>
                <c:pt idx="64">
                  <c:v>42348</c:v>
                </c:pt>
                <c:pt idx="65">
                  <c:v>42349</c:v>
                </c:pt>
                <c:pt idx="66">
                  <c:v>42352</c:v>
                </c:pt>
                <c:pt idx="67">
                  <c:v>42353</c:v>
                </c:pt>
                <c:pt idx="68">
                  <c:v>42354</c:v>
                </c:pt>
                <c:pt idx="69">
                  <c:v>42355</c:v>
                </c:pt>
                <c:pt idx="70">
                  <c:v>42356</c:v>
                </c:pt>
                <c:pt idx="71">
                  <c:v>42359</c:v>
                </c:pt>
                <c:pt idx="72">
                  <c:v>42360</c:v>
                </c:pt>
                <c:pt idx="73">
                  <c:v>42361</c:v>
                </c:pt>
                <c:pt idx="74">
                  <c:v>42362</c:v>
                </c:pt>
                <c:pt idx="75">
                  <c:v>42366</c:v>
                </c:pt>
                <c:pt idx="76">
                  <c:v>42367</c:v>
                </c:pt>
                <c:pt idx="77">
                  <c:v>42368</c:v>
                </c:pt>
                <c:pt idx="78">
                  <c:v>42369</c:v>
                </c:pt>
                <c:pt idx="79">
                  <c:v>42373</c:v>
                </c:pt>
                <c:pt idx="80">
                  <c:v>42374</c:v>
                </c:pt>
                <c:pt idx="81">
                  <c:v>42375</c:v>
                </c:pt>
                <c:pt idx="82">
                  <c:v>42376</c:v>
                </c:pt>
                <c:pt idx="83">
                  <c:v>42377</c:v>
                </c:pt>
                <c:pt idx="84">
                  <c:v>42380</c:v>
                </c:pt>
                <c:pt idx="85">
                  <c:v>42381</c:v>
                </c:pt>
                <c:pt idx="86">
                  <c:v>42382</c:v>
                </c:pt>
                <c:pt idx="87">
                  <c:v>42383</c:v>
                </c:pt>
                <c:pt idx="88">
                  <c:v>42384</c:v>
                </c:pt>
                <c:pt idx="89">
                  <c:v>42387</c:v>
                </c:pt>
                <c:pt idx="90">
                  <c:v>42388</c:v>
                </c:pt>
                <c:pt idx="91">
                  <c:v>42389</c:v>
                </c:pt>
                <c:pt idx="92">
                  <c:v>42390</c:v>
                </c:pt>
                <c:pt idx="93">
                  <c:v>42391</c:v>
                </c:pt>
                <c:pt idx="94">
                  <c:v>42394</c:v>
                </c:pt>
                <c:pt idx="95">
                  <c:v>42395</c:v>
                </c:pt>
                <c:pt idx="96">
                  <c:v>42396</c:v>
                </c:pt>
                <c:pt idx="97">
                  <c:v>42397</c:v>
                </c:pt>
                <c:pt idx="98">
                  <c:v>42398</c:v>
                </c:pt>
                <c:pt idx="99">
                  <c:v>42401</c:v>
                </c:pt>
                <c:pt idx="100">
                  <c:v>42402</c:v>
                </c:pt>
                <c:pt idx="101">
                  <c:v>42403</c:v>
                </c:pt>
                <c:pt idx="102">
                  <c:v>42404</c:v>
                </c:pt>
                <c:pt idx="103">
                  <c:v>42405</c:v>
                </c:pt>
                <c:pt idx="104">
                  <c:v>42408</c:v>
                </c:pt>
                <c:pt idx="105">
                  <c:v>42409</c:v>
                </c:pt>
                <c:pt idx="106">
                  <c:v>42410</c:v>
                </c:pt>
                <c:pt idx="107">
                  <c:v>42411</c:v>
                </c:pt>
                <c:pt idx="108">
                  <c:v>42412</c:v>
                </c:pt>
                <c:pt idx="109">
                  <c:v>42415</c:v>
                </c:pt>
                <c:pt idx="110">
                  <c:v>42416</c:v>
                </c:pt>
                <c:pt idx="111">
                  <c:v>42417</c:v>
                </c:pt>
                <c:pt idx="112">
                  <c:v>42418</c:v>
                </c:pt>
                <c:pt idx="113">
                  <c:v>42419</c:v>
                </c:pt>
                <c:pt idx="114">
                  <c:v>42422</c:v>
                </c:pt>
                <c:pt idx="115">
                  <c:v>42423</c:v>
                </c:pt>
                <c:pt idx="116">
                  <c:v>42424</c:v>
                </c:pt>
                <c:pt idx="117">
                  <c:v>42425</c:v>
                </c:pt>
                <c:pt idx="118">
                  <c:v>42426</c:v>
                </c:pt>
                <c:pt idx="119">
                  <c:v>42429</c:v>
                </c:pt>
                <c:pt idx="120">
                  <c:v>42430</c:v>
                </c:pt>
                <c:pt idx="121">
                  <c:v>42431</c:v>
                </c:pt>
                <c:pt idx="122">
                  <c:v>42432</c:v>
                </c:pt>
                <c:pt idx="123">
                  <c:v>42433</c:v>
                </c:pt>
                <c:pt idx="124">
                  <c:v>42436</c:v>
                </c:pt>
                <c:pt idx="125">
                  <c:v>42437</c:v>
                </c:pt>
                <c:pt idx="126">
                  <c:v>42438</c:v>
                </c:pt>
                <c:pt idx="127">
                  <c:v>42439</c:v>
                </c:pt>
                <c:pt idx="128">
                  <c:v>42440</c:v>
                </c:pt>
                <c:pt idx="129">
                  <c:v>42443</c:v>
                </c:pt>
                <c:pt idx="130">
                  <c:v>42444</c:v>
                </c:pt>
                <c:pt idx="131">
                  <c:v>42445</c:v>
                </c:pt>
                <c:pt idx="132">
                  <c:v>42446</c:v>
                </c:pt>
                <c:pt idx="133">
                  <c:v>42447</c:v>
                </c:pt>
                <c:pt idx="134">
                  <c:v>42450</c:v>
                </c:pt>
                <c:pt idx="135">
                  <c:v>42451</c:v>
                </c:pt>
                <c:pt idx="136">
                  <c:v>42452</c:v>
                </c:pt>
                <c:pt idx="137">
                  <c:v>42453</c:v>
                </c:pt>
                <c:pt idx="138">
                  <c:v>42458</c:v>
                </c:pt>
                <c:pt idx="139">
                  <c:v>42459</c:v>
                </c:pt>
                <c:pt idx="140">
                  <c:v>42460</c:v>
                </c:pt>
                <c:pt idx="141">
                  <c:v>42461</c:v>
                </c:pt>
                <c:pt idx="142">
                  <c:v>42464</c:v>
                </c:pt>
                <c:pt idx="143">
                  <c:v>42465</c:v>
                </c:pt>
                <c:pt idx="144">
                  <c:v>42466</c:v>
                </c:pt>
                <c:pt idx="145">
                  <c:v>42467</c:v>
                </c:pt>
                <c:pt idx="146">
                  <c:v>42468</c:v>
                </c:pt>
                <c:pt idx="147">
                  <c:v>42471</c:v>
                </c:pt>
                <c:pt idx="148">
                  <c:v>42472</c:v>
                </c:pt>
                <c:pt idx="149">
                  <c:v>42473</c:v>
                </c:pt>
                <c:pt idx="150">
                  <c:v>42474</c:v>
                </c:pt>
                <c:pt idx="151">
                  <c:v>42475</c:v>
                </c:pt>
                <c:pt idx="152">
                  <c:v>42478</c:v>
                </c:pt>
                <c:pt idx="153">
                  <c:v>42479</c:v>
                </c:pt>
                <c:pt idx="154">
                  <c:v>42480</c:v>
                </c:pt>
                <c:pt idx="155">
                  <c:v>42481</c:v>
                </c:pt>
                <c:pt idx="156">
                  <c:v>42482</c:v>
                </c:pt>
                <c:pt idx="157">
                  <c:v>42485</c:v>
                </c:pt>
                <c:pt idx="158">
                  <c:v>42486</c:v>
                </c:pt>
                <c:pt idx="159">
                  <c:v>42487</c:v>
                </c:pt>
                <c:pt idx="160">
                  <c:v>42488</c:v>
                </c:pt>
                <c:pt idx="161">
                  <c:v>42489</c:v>
                </c:pt>
                <c:pt idx="162">
                  <c:v>42492</c:v>
                </c:pt>
                <c:pt idx="163">
                  <c:v>42493</c:v>
                </c:pt>
                <c:pt idx="164">
                  <c:v>42494</c:v>
                </c:pt>
                <c:pt idx="165">
                  <c:v>42495</c:v>
                </c:pt>
                <c:pt idx="166">
                  <c:v>42496</c:v>
                </c:pt>
                <c:pt idx="167">
                  <c:v>42499</c:v>
                </c:pt>
                <c:pt idx="168">
                  <c:v>42500</c:v>
                </c:pt>
                <c:pt idx="169">
                  <c:v>42501</c:v>
                </c:pt>
                <c:pt idx="170">
                  <c:v>42502</c:v>
                </c:pt>
                <c:pt idx="171">
                  <c:v>42503</c:v>
                </c:pt>
                <c:pt idx="172">
                  <c:v>42506</c:v>
                </c:pt>
                <c:pt idx="173">
                  <c:v>42507</c:v>
                </c:pt>
                <c:pt idx="174">
                  <c:v>42508</c:v>
                </c:pt>
                <c:pt idx="175">
                  <c:v>42509</c:v>
                </c:pt>
                <c:pt idx="176">
                  <c:v>42510</c:v>
                </c:pt>
                <c:pt idx="177">
                  <c:v>42513</c:v>
                </c:pt>
                <c:pt idx="178">
                  <c:v>42514</c:v>
                </c:pt>
                <c:pt idx="179">
                  <c:v>42515</c:v>
                </c:pt>
                <c:pt idx="180">
                  <c:v>42516</c:v>
                </c:pt>
                <c:pt idx="181">
                  <c:v>42517</c:v>
                </c:pt>
                <c:pt idx="182">
                  <c:v>42520</c:v>
                </c:pt>
                <c:pt idx="183">
                  <c:v>42521</c:v>
                </c:pt>
                <c:pt idx="184">
                  <c:v>42522</c:v>
                </c:pt>
                <c:pt idx="185">
                  <c:v>42523</c:v>
                </c:pt>
                <c:pt idx="186">
                  <c:v>42524</c:v>
                </c:pt>
                <c:pt idx="187">
                  <c:v>42527</c:v>
                </c:pt>
                <c:pt idx="188">
                  <c:v>42528</c:v>
                </c:pt>
                <c:pt idx="189">
                  <c:v>42529</c:v>
                </c:pt>
                <c:pt idx="190">
                  <c:v>42530</c:v>
                </c:pt>
                <c:pt idx="191">
                  <c:v>42531</c:v>
                </c:pt>
                <c:pt idx="192">
                  <c:v>42534</c:v>
                </c:pt>
                <c:pt idx="193">
                  <c:v>42535</c:v>
                </c:pt>
                <c:pt idx="194">
                  <c:v>42536</c:v>
                </c:pt>
                <c:pt idx="195">
                  <c:v>42537</c:v>
                </c:pt>
                <c:pt idx="196">
                  <c:v>42538</c:v>
                </c:pt>
                <c:pt idx="197">
                  <c:v>42541</c:v>
                </c:pt>
                <c:pt idx="198">
                  <c:v>42542</c:v>
                </c:pt>
                <c:pt idx="199">
                  <c:v>42543</c:v>
                </c:pt>
                <c:pt idx="200">
                  <c:v>42544</c:v>
                </c:pt>
                <c:pt idx="201">
                  <c:v>42545</c:v>
                </c:pt>
                <c:pt idx="202">
                  <c:v>42548</c:v>
                </c:pt>
                <c:pt idx="203">
                  <c:v>42549</c:v>
                </c:pt>
                <c:pt idx="204">
                  <c:v>42550</c:v>
                </c:pt>
                <c:pt idx="205">
                  <c:v>42551</c:v>
                </c:pt>
                <c:pt idx="206">
                  <c:v>42552</c:v>
                </c:pt>
                <c:pt idx="207">
                  <c:v>42555</c:v>
                </c:pt>
                <c:pt idx="208">
                  <c:v>42556</c:v>
                </c:pt>
                <c:pt idx="209">
                  <c:v>42557</c:v>
                </c:pt>
                <c:pt idx="210">
                  <c:v>42558</c:v>
                </c:pt>
                <c:pt idx="211">
                  <c:v>42559</c:v>
                </c:pt>
                <c:pt idx="212">
                  <c:v>42562</c:v>
                </c:pt>
                <c:pt idx="213">
                  <c:v>42563</c:v>
                </c:pt>
                <c:pt idx="214">
                  <c:v>42564</c:v>
                </c:pt>
                <c:pt idx="215">
                  <c:v>42565</c:v>
                </c:pt>
                <c:pt idx="216">
                  <c:v>42566</c:v>
                </c:pt>
                <c:pt idx="217">
                  <c:v>42569</c:v>
                </c:pt>
                <c:pt idx="218">
                  <c:v>42570</c:v>
                </c:pt>
                <c:pt idx="219">
                  <c:v>42571</c:v>
                </c:pt>
                <c:pt idx="220">
                  <c:v>42572</c:v>
                </c:pt>
                <c:pt idx="221">
                  <c:v>42573</c:v>
                </c:pt>
                <c:pt idx="222">
                  <c:v>42576</c:v>
                </c:pt>
                <c:pt idx="223">
                  <c:v>42577</c:v>
                </c:pt>
                <c:pt idx="224">
                  <c:v>42578</c:v>
                </c:pt>
                <c:pt idx="225">
                  <c:v>42579</c:v>
                </c:pt>
                <c:pt idx="226">
                  <c:v>42580</c:v>
                </c:pt>
                <c:pt idx="227">
                  <c:v>42583</c:v>
                </c:pt>
                <c:pt idx="228">
                  <c:v>42584</c:v>
                </c:pt>
                <c:pt idx="229">
                  <c:v>42585</c:v>
                </c:pt>
                <c:pt idx="230">
                  <c:v>42586</c:v>
                </c:pt>
                <c:pt idx="231">
                  <c:v>42587</c:v>
                </c:pt>
                <c:pt idx="232">
                  <c:v>42590</c:v>
                </c:pt>
                <c:pt idx="233">
                  <c:v>42591</c:v>
                </c:pt>
                <c:pt idx="234">
                  <c:v>42592</c:v>
                </c:pt>
                <c:pt idx="235">
                  <c:v>42593</c:v>
                </c:pt>
                <c:pt idx="236">
                  <c:v>42594</c:v>
                </c:pt>
                <c:pt idx="237">
                  <c:v>42597</c:v>
                </c:pt>
                <c:pt idx="238">
                  <c:v>42598</c:v>
                </c:pt>
                <c:pt idx="239">
                  <c:v>42599</c:v>
                </c:pt>
                <c:pt idx="240">
                  <c:v>42600</c:v>
                </c:pt>
                <c:pt idx="241">
                  <c:v>42601</c:v>
                </c:pt>
                <c:pt idx="242">
                  <c:v>42604</c:v>
                </c:pt>
                <c:pt idx="243">
                  <c:v>42605</c:v>
                </c:pt>
                <c:pt idx="244">
                  <c:v>42606</c:v>
                </c:pt>
                <c:pt idx="245">
                  <c:v>42607</c:v>
                </c:pt>
                <c:pt idx="246">
                  <c:v>42608</c:v>
                </c:pt>
                <c:pt idx="247">
                  <c:v>42611</c:v>
                </c:pt>
                <c:pt idx="248">
                  <c:v>42612</c:v>
                </c:pt>
                <c:pt idx="249">
                  <c:v>42613</c:v>
                </c:pt>
                <c:pt idx="250">
                  <c:v>42614</c:v>
                </c:pt>
                <c:pt idx="251">
                  <c:v>42615</c:v>
                </c:pt>
                <c:pt idx="252">
                  <c:v>42618</c:v>
                </c:pt>
                <c:pt idx="253">
                  <c:v>42619</c:v>
                </c:pt>
                <c:pt idx="254">
                  <c:v>42620</c:v>
                </c:pt>
                <c:pt idx="255">
                  <c:v>42621</c:v>
                </c:pt>
                <c:pt idx="256">
                  <c:v>42622</c:v>
                </c:pt>
                <c:pt idx="257">
                  <c:v>42625</c:v>
                </c:pt>
                <c:pt idx="258">
                  <c:v>42626</c:v>
                </c:pt>
                <c:pt idx="259">
                  <c:v>42627</c:v>
                </c:pt>
                <c:pt idx="260">
                  <c:v>42628</c:v>
                </c:pt>
                <c:pt idx="261">
                  <c:v>42629</c:v>
                </c:pt>
                <c:pt idx="262">
                  <c:v>42632</c:v>
                </c:pt>
                <c:pt idx="263">
                  <c:v>42633</c:v>
                </c:pt>
                <c:pt idx="264">
                  <c:v>42634</c:v>
                </c:pt>
                <c:pt idx="265">
                  <c:v>42635</c:v>
                </c:pt>
                <c:pt idx="266">
                  <c:v>42636</c:v>
                </c:pt>
                <c:pt idx="267">
                  <c:v>42639</c:v>
                </c:pt>
                <c:pt idx="268">
                  <c:v>42640</c:v>
                </c:pt>
                <c:pt idx="269">
                  <c:v>42641</c:v>
                </c:pt>
                <c:pt idx="270">
                  <c:v>42642</c:v>
                </c:pt>
                <c:pt idx="271">
                  <c:v>42643</c:v>
                </c:pt>
                <c:pt idx="272">
                  <c:v>42646</c:v>
                </c:pt>
                <c:pt idx="273">
                  <c:v>42647</c:v>
                </c:pt>
                <c:pt idx="274">
                  <c:v>42648</c:v>
                </c:pt>
                <c:pt idx="275">
                  <c:v>42649</c:v>
                </c:pt>
                <c:pt idx="276">
                  <c:v>42650</c:v>
                </c:pt>
                <c:pt idx="277">
                  <c:v>42653</c:v>
                </c:pt>
                <c:pt idx="278">
                  <c:v>42654</c:v>
                </c:pt>
                <c:pt idx="279">
                  <c:v>42655</c:v>
                </c:pt>
                <c:pt idx="280">
                  <c:v>42656</c:v>
                </c:pt>
                <c:pt idx="281">
                  <c:v>42657</c:v>
                </c:pt>
                <c:pt idx="282">
                  <c:v>42660</c:v>
                </c:pt>
                <c:pt idx="283">
                  <c:v>42661</c:v>
                </c:pt>
                <c:pt idx="284">
                  <c:v>42662</c:v>
                </c:pt>
                <c:pt idx="285">
                  <c:v>42663</c:v>
                </c:pt>
                <c:pt idx="286">
                  <c:v>42664</c:v>
                </c:pt>
                <c:pt idx="287">
                  <c:v>42667</c:v>
                </c:pt>
                <c:pt idx="288">
                  <c:v>42668</c:v>
                </c:pt>
                <c:pt idx="289">
                  <c:v>42669</c:v>
                </c:pt>
                <c:pt idx="290">
                  <c:v>42670</c:v>
                </c:pt>
                <c:pt idx="291">
                  <c:v>42671</c:v>
                </c:pt>
                <c:pt idx="292">
                  <c:v>42674</c:v>
                </c:pt>
                <c:pt idx="293">
                  <c:v>42675</c:v>
                </c:pt>
                <c:pt idx="294">
                  <c:v>42676</c:v>
                </c:pt>
                <c:pt idx="295">
                  <c:v>42677</c:v>
                </c:pt>
                <c:pt idx="296">
                  <c:v>42678</c:v>
                </c:pt>
                <c:pt idx="297">
                  <c:v>42681</c:v>
                </c:pt>
                <c:pt idx="298">
                  <c:v>42682</c:v>
                </c:pt>
                <c:pt idx="299">
                  <c:v>42683</c:v>
                </c:pt>
                <c:pt idx="300">
                  <c:v>42684</c:v>
                </c:pt>
                <c:pt idx="301">
                  <c:v>42685</c:v>
                </c:pt>
                <c:pt idx="302">
                  <c:v>42688</c:v>
                </c:pt>
                <c:pt idx="303">
                  <c:v>42689</c:v>
                </c:pt>
                <c:pt idx="304">
                  <c:v>42690</c:v>
                </c:pt>
                <c:pt idx="305">
                  <c:v>42691</c:v>
                </c:pt>
                <c:pt idx="306">
                  <c:v>42692</c:v>
                </c:pt>
                <c:pt idx="307">
                  <c:v>42695</c:v>
                </c:pt>
                <c:pt idx="308">
                  <c:v>42696</c:v>
                </c:pt>
                <c:pt idx="309">
                  <c:v>42697</c:v>
                </c:pt>
                <c:pt idx="310">
                  <c:v>42698</c:v>
                </c:pt>
                <c:pt idx="311">
                  <c:v>42699</c:v>
                </c:pt>
                <c:pt idx="312">
                  <c:v>42702</c:v>
                </c:pt>
                <c:pt idx="313">
                  <c:v>42703</c:v>
                </c:pt>
                <c:pt idx="314">
                  <c:v>42704</c:v>
                </c:pt>
                <c:pt idx="315">
                  <c:v>42705</c:v>
                </c:pt>
                <c:pt idx="316">
                  <c:v>42706</c:v>
                </c:pt>
                <c:pt idx="317">
                  <c:v>42709</c:v>
                </c:pt>
                <c:pt idx="318">
                  <c:v>42710</c:v>
                </c:pt>
                <c:pt idx="319">
                  <c:v>42711</c:v>
                </c:pt>
                <c:pt idx="320">
                  <c:v>42712</c:v>
                </c:pt>
                <c:pt idx="321">
                  <c:v>42713</c:v>
                </c:pt>
                <c:pt idx="322">
                  <c:v>42716</c:v>
                </c:pt>
                <c:pt idx="323">
                  <c:v>42717</c:v>
                </c:pt>
                <c:pt idx="324">
                  <c:v>42718</c:v>
                </c:pt>
                <c:pt idx="325">
                  <c:v>42719</c:v>
                </c:pt>
                <c:pt idx="326">
                  <c:v>42720</c:v>
                </c:pt>
                <c:pt idx="327">
                  <c:v>42723</c:v>
                </c:pt>
                <c:pt idx="328">
                  <c:v>42724</c:v>
                </c:pt>
                <c:pt idx="329">
                  <c:v>42725</c:v>
                </c:pt>
                <c:pt idx="330">
                  <c:v>42726</c:v>
                </c:pt>
                <c:pt idx="331">
                  <c:v>42727</c:v>
                </c:pt>
                <c:pt idx="332">
                  <c:v>42731</c:v>
                </c:pt>
                <c:pt idx="333">
                  <c:v>42732</c:v>
                </c:pt>
                <c:pt idx="334">
                  <c:v>42733</c:v>
                </c:pt>
                <c:pt idx="335">
                  <c:v>42734</c:v>
                </c:pt>
                <c:pt idx="336">
                  <c:v>42737</c:v>
                </c:pt>
                <c:pt idx="337">
                  <c:v>42738</c:v>
                </c:pt>
                <c:pt idx="338">
                  <c:v>42739</c:v>
                </c:pt>
                <c:pt idx="339">
                  <c:v>42740</c:v>
                </c:pt>
                <c:pt idx="340">
                  <c:v>42741</c:v>
                </c:pt>
                <c:pt idx="341">
                  <c:v>42744</c:v>
                </c:pt>
                <c:pt idx="342">
                  <c:v>42745</c:v>
                </c:pt>
                <c:pt idx="343">
                  <c:v>42746</c:v>
                </c:pt>
                <c:pt idx="344">
                  <c:v>42747</c:v>
                </c:pt>
                <c:pt idx="345">
                  <c:v>42748</c:v>
                </c:pt>
                <c:pt idx="346">
                  <c:v>42751</c:v>
                </c:pt>
                <c:pt idx="347">
                  <c:v>42752</c:v>
                </c:pt>
                <c:pt idx="348">
                  <c:v>42753</c:v>
                </c:pt>
                <c:pt idx="349">
                  <c:v>42754</c:v>
                </c:pt>
                <c:pt idx="350">
                  <c:v>42755</c:v>
                </c:pt>
                <c:pt idx="351">
                  <c:v>42758</c:v>
                </c:pt>
                <c:pt idx="352">
                  <c:v>42759</c:v>
                </c:pt>
                <c:pt idx="353">
                  <c:v>42760</c:v>
                </c:pt>
                <c:pt idx="354">
                  <c:v>42761</c:v>
                </c:pt>
                <c:pt idx="355">
                  <c:v>42762</c:v>
                </c:pt>
                <c:pt idx="356">
                  <c:v>42765</c:v>
                </c:pt>
                <c:pt idx="357">
                  <c:v>42766</c:v>
                </c:pt>
                <c:pt idx="358">
                  <c:v>42767</c:v>
                </c:pt>
                <c:pt idx="359">
                  <c:v>42768</c:v>
                </c:pt>
                <c:pt idx="360">
                  <c:v>42769</c:v>
                </c:pt>
                <c:pt idx="361">
                  <c:v>42772</c:v>
                </c:pt>
                <c:pt idx="362">
                  <c:v>42773</c:v>
                </c:pt>
                <c:pt idx="363">
                  <c:v>42774</c:v>
                </c:pt>
                <c:pt idx="364">
                  <c:v>42775</c:v>
                </c:pt>
                <c:pt idx="365">
                  <c:v>42776</c:v>
                </c:pt>
                <c:pt idx="366">
                  <c:v>42779</c:v>
                </c:pt>
                <c:pt idx="367">
                  <c:v>42780</c:v>
                </c:pt>
                <c:pt idx="368">
                  <c:v>42781</c:v>
                </c:pt>
                <c:pt idx="369">
                  <c:v>42782</c:v>
                </c:pt>
                <c:pt idx="370">
                  <c:v>42783</c:v>
                </c:pt>
                <c:pt idx="371">
                  <c:v>42786</c:v>
                </c:pt>
                <c:pt idx="372">
                  <c:v>42787</c:v>
                </c:pt>
                <c:pt idx="373">
                  <c:v>42788</c:v>
                </c:pt>
                <c:pt idx="374">
                  <c:v>42789</c:v>
                </c:pt>
                <c:pt idx="375">
                  <c:v>42790</c:v>
                </c:pt>
                <c:pt idx="376">
                  <c:v>42793</c:v>
                </c:pt>
                <c:pt idx="377">
                  <c:v>42794</c:v>
                </c:pt>
                <c:pt idx="378">
                  <c:v>42795</c:v>
                </c:pt>
                <c:pt idx="379">
                  <c:v>42796</c:v>
                </c:pt>
                <c:pt idx="380">
                  <c:v>42797</c:v>
                </c:pt>
                <c:pt idx="381">
                  <c:v>42800</c:v>
                </c:pt>
                <c:pt idx="382">
                  <c:v>42801</c:v>
                </c:pt>
                <c:pt idx="383">
                  <c:v>42802</c:v>
                </c:pt>
                <c:pt idx="384">
                  <c:v>42803</c:v>
                </c:pt>
                <c:pt idx="385">
                  <c:v>42804</c:v>
                </c:pt>
                <c:pt idx="386">
                  <c:v>42807</c:v>
                </c:pt>
                <c:pt idx="387">
                  <c:v>42808</c:v>
                </c:pt>
                <c:pt idx="388">
                  <c:v>42809</c:v>
                </c:pt>
                <c:pt idx="389">
                  <c:v>42810</c:v>
                </c:pt>
                <c:pt idx="390">
                  <c:v>42811</c:v>
                </c:pt>
                <c:pt idx="391">
                  <c:v>42814</c:v>
                </c:pt>
                <c:pt idx="392">
                  <c:v>42815</c:v>
                </c:pt>
                <c:pt idx="393">
                  <c:v>42816</c:v>
                </c:pt>
                <c:pt idx="394">
                  <c:v>42817</c:v>
                </c:pt>
                <c:pt idx="395">
                  <c:v>42818</c:v>
                </c:pt>
                <c:pt idx="396">
                  <c:v>42821</c:v>
                </c:pt>
                <c:pt idx="397">
                  <c:v>42822</c:v>
                </c:pt>
                <c:pt idx="398">
                  <c:v>42823</c:v>
                </c:pt>
                <c:pt idx="399">
                  <c:v>42824</c:v>
                </c:pt>
                <c:pt idx="400">
                  <c:v>42825</c:v>
                </c:pt>
                <c:pt idx="401">
                  <c:v>42828</c:v>
                </c:pt>
                <c:pt idx="402">
                  <c:v>42829</c:v>
                </c:pt>
                <c:pt idx="403">
                  <c:v>42830</c:v>
                </c:pt>
                <c:pt idx="404">
                  <c:v>42831</c:v>
                </c:pt>
                <c:pt idx="405">
                  <c:v>42832</c:v>
                </c:pt>
                <c:pt idx="406">
                  <c:v>42835</c:v>
                </c:pt>
                <c:pt idx="407">
                  <c:v>42836</c:v>
                </c:pt>
                <c:pt idx="408">
                  <c:v>42837</c:v>
                </c:pt>
                <c:pt idx="409">
                  <c:v>42838</c:v>
                </c:pt>
                <c:pt idx="410">
                  <c:v>42843</c:v>
                </c:pt>
                <c:pt idx="411">
                  <c:v>42844</c:v>
                </c:pt>
                <c:pt idx="412">
                  <c:v>42845</c:v>
                </c:pt>
                <c:pt idx="413">
                  <c:v>42846</c:v>
                </c:pt>
                <c:pt idx="414">
                  <c:v>42849</c:v>
                </c:pt>
                <c:pt idx="415">
                  <c:v>42850</c:v>
                </c:pt>
                <c:pt idx="416">
                  <c:v>42851</c:v>
                </c:pt>
                <c:pt idx="417">
                  <c:v>42852</c:v>
                </c:pt>
                <c:pt idx="418">
                  <c:v>42853</c:v>
                </c:pt>
                <c:pt idx="419">
                  <c:v>42857</c:v>
                </c:pt>
                <c:pt idx="420">
                  <c:v>42858</c:v>
                </c:pt>
                <c:pt idx="421">
                  <c:v>42859</c:v>
                </c:pt>
                <c:pt idx="422">
                  <c:v>42860</c:v>
                </c:pt>
                <c:pt idx="423">
                  <c:v>42863</c:v>
                </c:pt>
                <c:pt idx="424">
                  <c:v>42864</c:v>
                </c:pt>
                <c:pt idx="425">
                  <c:v>42865</c:v>
                </c:pt>
                <c:pt idx="426">
                  <c:v>42866</c:v>
                </c:pt>
                <c:pt idx="427">
                  <c:v>42867</c:v>
                </c:pt>
                <c:pt idx="428">
                  <c:v>42870</c:v>
                </c:pt>
                <c:pt idx="429">
                  <c:v>42871</c:v>
                </c:pt>
                <c:pt idx="430">
                  <c:v>42872</c:v>
                </c:pt>
                <c:pt idx="431">
                  <c:v>42873</c:v>
                </c:pt>
                <c:pt idx="432">
                  <c:v>42874</c:v>
                </c:pt>
                <c:pt idx="433">
                  <c:v>42877</c:v>
                </c:pt>
                <c:pt idx="434">
                  <c:v>42878</c:v>
                </c:pt>
                <c:pt idx="435">
                  <c:v>42879</c:v>
                </c:pt>
                <c:pt idx="436">
                  <c:v>42880</c:v>
                </c:pt>
                <c:pt idx="437">
                  <c:v>42881</c:v>
                </c:pt>
                <c:pt idx="438">
                  <c:v>42884</c:v>
                </c:pt>
                <c:pt idx="439">
                  <c:v>42885</c:v>
                </c:pt>
                <c:pt idx="440">
                  <c:v>42886</c:v>
                </c:pt>
                <c:pt idx="441">
                  <c:v>42887</c:v>
                </c:pt>
                <c:pt idx="442">
                  <c:v>42888</c:v>
                </c:pt>
                <c:pt idx="443">
                  <c:v>42891</c:v>
                </c:pt>
                <c:pt idx="444">
                  <c:v>42892</c:v>
                </c:pt>
                <c:pt idx="445">
                  <c:v>42893</c:v>
                </c:pt>
                <c:pt idx="446">
                  <c:v>42894</c:v>
                </c:pt>
                <c:pt idx="447">
                  <c:v>42895</c:v>
                </c:pt>
                <c:pt idx="448">
                  <c:v>42898</c:v>
                </c:pt>
                <c:pt idx="449">
                  <c:v>42899</c:v>
                </c:pt>
                <c:pt idx="450">
                  <c:v>42900</c:v>
                </c:pt>
                <c:pt idx="451">
                  <c:v>42901</c:v>
                </c:pt>
                <c:pt idx="452">
                  <c:v>42902</c:v>
                </c:pt>
                <c:pt idx="453">
                  <c:v>42905</c:v>
                </c:pt>
                <c:pt idx="454">
                  <c:v>42906</c:v>
                </c:pt>
                <c:pt idx="455">
                  <c:v>42907</c:v>
                </c:pt>
                <c:pt idx="456">
                  <c:v>42908</c:v>
                </c:pt>
                <c:pt idx="457">
                  <c:v>42909</c:v>
                </c:pt>
                <c:pt idx="458">
                  <c:v>42912</c:v>
                </c:pt>
                <c:pt idx="459">
                  <c:v>42913</c:v>
                </c:pt>
                <c:pt idx="460">
                  <c:v>42914</c:v>
                </c:pt>
                <c:pt idx="461">
                  <c:v>42915</c:v>
                </c:pt>
                <c:pt idx="462">
                  <c:v>42916</c:v>
                </c:pt>
                <c:pt idx="463">
                  <c:v>42919</c:v>
                </c:pt>
                <c:pt idx="464">
                  <c:v>42920</c:v>
                </c:pt>
                <c:pt idx="465">
                  <c:v>42921</c:v>
                </c:pt>
                <c:pt idx="466">
                  <c:v>42922</c:v>
                </c:pt>
                <c:pt idx="467">
                  <c:v>42923</c:v>
                </c:pt>
                <c:pt idx="468">
                  <c:v>42926</c:v>
                </c:pt>
                <c:pt idx="469">
                  <c:v>42927</c:v>
                </c:pt>
                <c:pt idx="470">
                  <c:v>42928</c:v>
                </c:pt>
                <c:pt idx="471">
                  <c:v>42929</c:v>
                </c:pt>
                <c:pt idx="472">
                  <c:v>42930</c:v>
                </c:pt>
                <c:pt idx="473">
                  <c:v>42933</c:v>
                </c:pt>
                <c:pt idx="474">
                  <c:v>42934</c:v>
                </c:pt>
                <c:pt idx="475">
                  <c:v>42935</c:v>
                </c:pt>
                <c:pt idx="476">
                  <c:v>42936</c:v>
                </c:pt>
                <c:pt idx="477">
                  <c:v>42937</c:v>
                </c:pt>
                <c:pt idx="478">
                  <c:v>42940</c:v>
                </c:pt>
                <c:pt idx="479">
                  <c:v>42941</c:v>
                </c:pt>
                <c:pt idx="480">
                  <c:v>42942</c:v>
                </c:pt>
                <c:pt idx="481">
                  <c:v>42943</c:v>
                </c:pt>
                <c:pt idx="482">
                  <c:v>42944</c:v>
                </c:pt>
                <c:pt idx="483">
                  <c:v>42947</c:v>
                </c:pt>
                <c:pt idx="484">
                  <c:v>42948</c:v>
                </c:pt>
                <c:pt idx="485">
                  <c:v>42949</c:v>
                </c:pt>
                <c:pt idx="486">
                  <c:v>42950</c:v>
                </c:pt>
                <c:pt idx="487">
                  <c:v>42951</c:v>
                </c:pt>
                <c:pt idx="488">
                  <c:v>42954</c:v>
                </c:pt>
                <c:pt idx="489">
                  <c:v>42955</c:v>
                </c:pt>
                <c:pt idx="490">
                  <c:v>42956</c:v>
                </c:pt>
                <c:pt idx="491">
                  <c:v>42957</c:v>
                </c:pt>
                <c:pt idx="492">
                  <c:v>42958</c:v>
                </c:pt>
                <c:pt idx="493">
                  <c:v>42961</c:v>
                </c:pt>
                <c:pt idx="494">
                  <c:v>42962</c:v>
                </c:pt>
                <c:pt idx="495">
                  <c:v>42963</c:v>
                </c:pt>
                <c:pt idx="496">
                  <c:v>42964</c:v>
                </c:pt>
                <c:pt idx="497">
                  <c:v>42965</c:v>
                </c:pt>
                <c:pt idx="498">
                  <c:v>42968</c:v>
                </c:pt>
                <c:pt idx="499">
                  <c:v>42969</c:v>
                </c:pt>
                <c:pt idx="500">
                  <c:v>42970</c:v>
                </c:pt>
                <c:pt idx="501">
                  <c:v>42971</c:v>
                </c:pt>
                <c:pt idx="502">
                  <c:v>42972</c:v>
                </c:pt>
                <c:pt idx="503">
                  <c:v>42975</c:v>
                </c:pt>
                <c:pt idx="504">
                  <c:v>42976</c:v>
                </c:pt>
                <c:pt idx="505">
                  <c:v>42977</c:v>
                </c:pt>
                <c:pt idx="506">
                  <c:v>42978</c:v>
                </c:pt>
                <c:pt idx="507">
                  <c:v>42979</c:v>
                </c:pt>
                <c:pt idx="508">
                  <c:v>42982</c:v>
                </c:pt>
                <c:pt idx="509">
                  <c:v>42983</c:v>
                </c:pt>
                <c:pt idx="510">
                  <c:v>42984</c:v>
                </c:pt>
                <c:pt idx="511">
                  <c:v>42985</c:v>
                </c:pt>
                <c:pt idx="512">
                  <c:v>42986</c:v>
                </c:pt>
                <c:pt idx="513">
                  <c:v>42989</c:v>
                </c:pt>
                <c:pt idx="514">
                  <c:v>42990</c:v>
                </c:pt>
                <c:pt idx="515">
                  <c:v>42991</c:v>
                </c:pt>
                <c:pt idx="516">
                  <c:v>42992</c:v>
                </c:pt>
                <c:pt idx="517">
                  <c:v>42993</c:v>
                </c:pt>
                <c:pt idx="518">
                  <c:v>43000</c:v>
                </c:pt>
                <c:pt idx="519">
                  <c:v>43007</c:v>
                </c:pt>
                <c:pt idx="520">
                  <c:v>43014</c:v>
                </c:pt>
                <c:pt idx="521">
                  <c:v>43021</c:v>
                </c:pt>
                <c:pt idx="522">
                  <c:v>43028</c:v>
                </c:pt>
                <c:pt idx="523">
                  <c:v>43035</c:v>
                </c:pt>
                <c:pt idx="524">
                  <c:v>43042</c:v>
                </c:pt>
                <c:pt idx="525">
                  <c:v>43049</c:v>
                </c:pt>
                <c:pt idx="526">
                  <c:v>43056</c:v>
                </c:pt>
                <c:pt idx="527">
                  <c:v>43063</c:v>
                </c:pt>
                <c:pt idx="528">
                  <c:v>43070</c:v>
                </c:pt>
                <c:pt idx="529">
                  <c:v>43077</c:v>
                </c:pt>
                <c:pt idx="530">
                  <c:v>43084</c:v>
                </c:pt>
                <c:pt idx="531">
                  <c:v>43091</c:v>
                </c:pt>
                <c:pt idx="532">
                  <c:v>43098</c:v>
                </c:pt>
                <c:pt idx="533">
                  <c:v>43105</c:v>
                </c:pt>
                <c:pt idx="534">
                  <c:v>43112</c:v>
                </c:pt>
                <c:pt idx="535">
                  <c:v>43119</c:v>
                </c:pt>
                <c:pt idx="536">
                  <c:v>43126</c:v>
                </c:pt>
                <c:pt idx="537">
                  <c:v>43133</c:v>
                </c:pt>
                <c:pt idx="538">
                  <c:v>43140</c:v>
                </c:pt>
                <c:pt idx="539">
                  <c:v>43147</c:v>
                </c:pt>
                <c:pt idx="540">
                  <c:v>43154</c:v>
                </c:pt>
                <c:pt idx="541">
                  <c:v>43161</c:v>
                </c:pt>
                <c:pt idx="542">
                  <c:v>43168</c:v>
                </c:pt>
                <c:pt idx="543">
                  <c:v>43175</c:v>
                </c:pt>
                <c:pt idx="544">
                  <c:v>43182</c:v>
                </c:pt>
                <c:pt idx="545">
                  <c:v>43193</c:v>
                </c:pt>
                <c:pt idx="546">
                  <c:v>43196</c:v>
                </c:pt>
                <c:pt idx="547">
                  <c:v>43203</c:v>
                </c:pt>
                <c:pt idx="548">
                  <c:v>43210</c:v>
                </c:pt>
                <c:pt idx="549">
                  <c:v>43217</c:v>
                </c:pt>
                <c:pt idx="550">
                  <c:v>43224</c:v>
                </c:pt>
                <c:pt idx="551">
                  <c:v>43231</c:v>
                </c:pt>
                <c:pt idx="552">
                  <c:v>43238</c:v>
                </c:pt>
                <c:pt idx="553">
                  <c:v>43245</c:v>
                </c:pt>
                <c:pt idx="554">
                  <c:v>43252</c:v>
                </c:pt>
                <c:pt idx="555">
                  <c:v>43259</c:v>
                </c:pt>
                <c:pt idx="556">
                  <c:v>43266</c:v>
                </c:pt>
                <c:pt idx="557">
                  <c:v>43273</c:v>
                </c:pt>
                <c:pt idx="558">
                  <c:v>43280</c:v>
                </c:pt>
                <c:pt idx="559">
                  <c:v>43287</c:v>
                </c:pt>
                <c:pt idx="560">
                  <c:v>43294</c:v>
                </c:pt>
                <c:pt idx="561">
                  <c:v>43301</c:v>
                </c:pt>
                <c:pt idx="562">
                  <c:v>43308</c:v>
                </c:pt>
                <c:pt idx="563">
                  <c:v>43315</c:v>
                </c:pt>
                <c:pt idx="564">
                  <c:v>43322</c:v>
                </c:pt>
                <c:pt idx="565">
                  <c:v>43329</c:v>
                </c:pt>
                <c:pt idx="566">
                  <c:v>43336</c:v>
                </c:pt>
                <c:pt idx="567">
                  <c:v>43343</c:v>
                </c:pt>
                <c:pt idx="568">
                  <c:v>43350</c:v>
                </c:pt>
                <c:pt idx="569">
                  <c:v>43357</c:v>
                </c:pt>
                <c:pt idx="570">
                  <c:v>43364</c:v>
                </c:pt>
                <c:pt idx="571">
                  <c:v>43371</c:v>
                </c:pt>
                <c:pt idx="572">
                  <c:v>43378</c:v>
                </c:pt>
                <c:pt idx="573">
                  <c:v>43385</c:v>
                </c:pt>
                <c:pt idx="574">
                  <c:v>43392</c:v>
                </c:pt>
                <c:pt idx="575">
                  <c:v>43399</c:v>
                </c:pt>
                <c:pt idx="576">
                  <c:v>43406</c:v>
                </c:pt>
                <c:pt idx="577">
                  <c:v>43413</c:v>
                </c:pt>
                <c:pt idx="578">
                  <c:v>43420</c:v>
                </c:pt>
                <c:pt idx="579">
                  <c:v>43427</c:v>
                </c:pt>
                <c:pt idx="580">
                  <c:v>43434</c:v>
                </c:pt>
                <c:pt idx="581">
                  <c:v>43441</c:v>
                </c:pt>
                <c:pt idx="582">
                  <c:v>43448</c:v>
                </c:pt>
                <c:pt idx="583">
                  <c:v>43455</c:v>
                </c:pt>
                <c:pt idx="584">
                  <c:v>43465</c:v>
                </c:pt>
                <c:pt idx="585">
                  <c:v>43472</c:v>
                </c:pt>
                <c:pt idx="586">
                  <c:v>43479</c:v>
                </c:pt>
                <c:pt idx="587">
                  <c:v>43486</c:v>
                </c:pt>
                <c:pt idx="588">
                  <c:v>43493</c:v>
                </c:pt>
                <c:pt idx="589">
                  <c:v>43500</c:v>
                </c:pt>
                <c:pt idx="590">
                  <c:v>43507</c:v>
                </c:pt>
                <c:pt idx="591">
                  <c:v>43514</c:v>
                </c:pt>
                <c:pt idx="592">
                  <c:v>43521</c:v>
                </c:pt>
                <c:pt idx="593">
                  <c:v>43528</c:v>
                </c:pt>
                <c:pt idx="594">
                  <c:v>43535</c:v>
                </c:pt>
                <c:pt idx="595">
                  <c:v>43542</c:v>
                </c:pt>
                <c:pt idx="596">
                  <c:v>43549</c:v>
                </c:pt>
                <c:pt idx="597">
                  <c:v>43556</c:v>
                </c:pt>
                <c:pt idx="598">
                  <c:v>43563</c:v>
                </c:pt>
                <c:pt idx="599">
                  <c:v>43570</c:v>
                </c:pt>
                <c:pt idx="600">
                  <c:v>43579</c:v>
                </c:pt>
                <c:pt idx="601">
                  <c:v>43584</c:v>
                </c:pt>
                <c:pt idx="602">
                  <c:v>43591</c:v>
                </c:pt>
                <c:pt idx="603">
                  <c:v>43598</c:v>
                </c:pt>
                <c:pt idx="604">
                  <c:v>43605</c:v>
                </c:pt>
                <c:pt idx="605">
                  <c:v>43612</c:v>
                </c:pt>
                <c:pt idx="606">
                  <c:v>43619</c:v>
                </c:pt>
                <c:pt idx="607">
                  <c:v>43626</c:v>
                </c:pt>
                <c:pt idx="608">
                  <c:v>43633</c:v>
                </c:pt>
                <c:pt idx="609">
                  <c:v>43640</c:v>
                </c:pt>
                <c:pt idx="610">
                  <c:v>43647</c:v>
                </c:pt>
                <c:pt idx="611">
                  <c:v>43654</c:v>
                </c:pt>
                <c:pt idx="612">
                  <c:v>43661</c:v>
                </c:pt>
                <c:pt idx="613">
                  <c:v>43668</c:v>
                </c:pt>
                <c:pt idx="614">
                  <c:v>43675</c:v>
                </c:pt>
                <c:pt idx="615">
                  <c:v>43682</c:v>
                </c:pt>
                <c:pt idx="616">
                  <c:v>43689</c:v>
                </c:pt>
                <c:pt idx="617">
                  <c:v>43696</c:v>
                </c:pt>
                <c:pt idx="618">
                  <c:v>43703</c:v>
                </c:pt>
                <c:pt idx="619">
                  <c:v>43710</c:v>
                </c:pt>
                <c:pt idx="620">
                  <c:v>43717</c:v>
                </c:pt>
                <c:pt idx="621">
                  <c:v>43724</c:v>
                </c:pt>
                <c:pt idx="622">
                  <c:v>43731</c:v>
                </c:pt>
                <c:pt idx="623">
                  <c:v>43738</c:v>
                </c:pt>
                <c:pt idx="624">
                  <c:v>43745</c:v>
                </c:pt>
                <c:pt idx="625">
                  <c:v>43752</c:v>
                </c:pt>
                <c:pt idx="626">
                  <c:v>43759</c:v>
                </c:pt>
                <c:pt idx="627">
                  <c:v>43766</c:v>
                </c:pt>
                <c:pt idx="628">
                  <c:v>43773</c:v>
                </c:pt>
                <c:pt idx="629">
                  <c:v>43780</c:v>
                </c:pt>
                <c:pt idx="630">
                  <c:v>43787</c:v>
                </c:pt>
                <c:pt idx="631">
                  <c:v>43794</c:v>
                </c:pt>
                <c:pt idx="632">
                  <c:v>43801</c:v>
                </c:pt>
                <c:pt idx="633">
                  <c:v>43808</c:v>
                </c:pt>
                <c:pt idx="634">
                  <c:v>43815</c:v>
                </c:pt>
                <c:pt idx="635">
                  <c:v>43822</c:v>
                </c:pt>
                <c:pt idx="636">
                  <c:v>43830</c:v>
                </c:pt>
                <c:pt idx="637">
                  <c:v>43837</c:v>
                </c:pt>
                <c:pt idx="638">
                  <c:v>43844</c:v>
                </c:pt>
                <c:pt idx="639">
                  <c:v>43851</c:v>
                </c:pt>
                <c:pt idx="640">
                  <c:v>43858</c:v>
                </c:pt>
                <c:pt idx="641">
                  <c:v>43865</c:v>
                </c:pt>
                <c:pt idx="642">
                  <c:v>43872</c:v>
                </c:pt>
                <c:pt idx="643">
                  <c:v>43879</c:v>
                </c:pt>
                <c:pt idx="644">
                  <c:v>43886</c:v>
                </c:pt>
                <c:pt idx="645">
                  <c:v>43893</c:v>
                </c:pt>
                <c:pt idx="646">
                  <c:v>43900</c:v>
                </c:pt>
                <c:pt idx="647">
                  <c:v>43907</c:v>
                </c:pt>
                <c:pt idx="648">
                  <c:v>43914</c:v>
                </c:pt>
                <c:pt idx="649">
                  <c:v>43921</c:v>
                </c:pt>
                <c:pt idx="650">
                  <c:v>43928</c:v>
                </c:pt>
                <c:pt idx="651">
                  <c:v>43937</c:v>
                </c:pt>
                <c:pt idx="652">
                  <c:v>43944</c:v>
                </c:pt>
                <c:pt idx="653">
                  <c:v>43951</c:v>
                </c:pt>
                <c:pt idx="654">
                  <c:v>43958</c:v>
                </c:pt>
                <c:pt idx="655">
                  <c:v>43965</c:v>
                </c:pt>
                <c:pt idx="656">
                  <c:v>43972</c:v>
                </c:pt>
                <c:pt idx="657">
                  <c:v>43979</c:v>
                </c:pt>
                <c:pt idx="658">
                  <c:v>43986</c:v>
                </c:pt>
                <c:pt idx="659">
                  <c:v>43993</c:v>
                </c:pt>
                <c:pt idx="660">
                  <c:v>44000</c:v>
                </c:pt>
                <c:pt idx="661">
                  <c:v>44007</c:v>
                </c:pt>
                <c:pt idx="662">
                  <c:v>44014</c:v>
                </c:pt>
                <c:pt idx="663">
                  <c:v>44021</c:v>
                </c:pt>
                <c:pt idx="664">
                  <c:v>44028</c:v>
                </c:pt>
                <c:pt idx="665">
                  <c:v>44035</c:v>
                </c:pt>
                <c:pt idx="666">
                  <c:v>44042</c:v>
                </c:pt>
                <c:pt idx="667">
                  <c:v>44049</c:v>
                </c:pt>
                <c:pt idx="668">
                  <c:v>44056</c:v>
                </c:pt>
                <c:pt idx="669">
                  <c:v>44063</c:v>
                </c:pt>
                <c:pt idx="670">
                  <c:v>44070</c:v>
                </c:pt>
                <c:pt idx="671">
                  <c:v>44077</c:v>
                </c:pt>
                <c:pt idx="672">
                  <c:v>44084</c:v>
                </c:pt>
                <c:pt idx="673">
                  <c:v>44091</c:v>
                </c:pt>
                <c:pt idx="674">
                  <c:v>44098</c:v>
                </c:pt>
                <c:pt idx="675">
                  <c:v>44105</c:v>
                </c:pt>
                <c:pt idx="676">
                  <c:v>44112</c:v>
                </c:pt>
                <c:pt idx="677">
                  <c:v>44119</c:v>
                </c:pt>
                <c:pt idx="678">
                  <c:v>44126</c:v>
                </c:pt>
                <c:pt idx="679">
                  <c:v>44133</c:v>
                </c:pt>
                <c:pt idx="680">
                  <c:v>44140</c:v>
                </c:pt>
                <c:pt idx="681">
                  <c:v>44147</c:v>
                </c:pt>
                <c:pt idx="682">
                  <c:v>44154</c:v>
                </c:pt>
                <c:pt idx="683">
                  <c:v>44161</c:v>
                </c:pt>
                <c:pt idx="684">
                  <c:v>44168</c:v>
                </c:pt>
                <c:pt idx="685">
                  <c:v>44175</c:v>
                </c:pt>
                <c:pt idx="686">
                  <c:v>44182</c:v>
                </c:pt>
                <c:pt idx="687">
                  <c:v>44189</c:v>
                </c:pt>
                <c:pt idx="688">
                  <c:v>44196</c:v>
                </c:pt>
                <c:pt idx="689">
                  <c:v>44203</c:v>
                </c:pt>
                <c:pt idx="690">
                  <c:v>44210</c:v>
                </c:pt>
                <c:pt idx="691">
                  <c:v>44217</c:v>
                </c:pt>
                <c:pt idx="692">
                  <c:v>44224</c:v>
                </c:pt>
                <c:pt idx="693">
                  <c:v>44231</c:v>
                </c:pt>
                <c:pt idx="694">
                  <c:v>44238</c:v>
                </c:pt>
                <c:pt idx="695">
                  <c:v>44245</c:v>
                </c:pt>
                <c:pt idx="696">
                  <c:v>44252</c:v>
                </c:pt>
                <c:pt idx="697">
                  <c:v>44259</c:v>
                </c:pt>
                <c:pt idx="698">
                  <c:v>44266</c:v>
                </c:pt>
                <c:pt idx="699">
                  <c:v>44273</c:v>
                </c:pt>
                <c:pt idx="700">
                  <c:v>44280</c:v>
                </c:pt>
                <c:pt idx="701">
                  <c:v>44287</c:v>
                </c:pt>
                <c:pt idx="702">
                  <c:v>44294</c:v>
                </c:pt>
                <c:pt idx="703">
                  <c:v>44301</c:v>
                </c:pt>
                <c:pt idx="704">
                  <c:v>44308</c:v>
                </c:pt>
                <c:pt idx="705">
                  <c:v>44315</c:v>
                </c:pt>
                <c:pt idx="706">
                  <c:v>44322</c:v>
                </c:pt>
                <c:pt idx="707">
                  <c:v>44329</c:v>
                </c:pt>
                <c:pt idx="708">
                  <c:v>44336</c:v>
                </c:pt>
                <c:pt idx="709">
                  <c:v>44343</c:v>
                </c:pt>
                <c:pt idx="710">
                  <c:v>44350</c:v>
                </c:pt>
                <c:pt idx="711">
                  <c:v>44357</c:v>
                </c:pt>
                <c:pt idx="712">
                  <c:v>44364</c:v>
                </c:pt>
                <c:pt idx="713">
                  <c:v>44371</c:v>
                </c:pt>
                <c:pt idx="714">
                  <c:v>44378</c:v>
                </c:pt>
                <c:pt idx="715">
                  <c:v>44385</c:v>
                </c:pt>
                <c:pt idx="716">
                  <c:v>44392</c:v>
                </c:pt>
                <c:pt idx="717">
                  <c:v>44399</c:v>
                </c:pt>
                <c:pt idx="718">
                  <c:v>44406</c:v>
                </c:pt>
                <c:pt idx="719">
                  <c:v>44413</c:v>
                </c:pt>
                <c:pt idx="720">
                  <c:v>44420</c:v>
                </c:pt>
                <c:pt idx="721">
                  <c:v>44427</c:v>
                </c:pt>
                <c:pt idx="722">
                  <c:v>44434</c:v>
                </c:pt>
                <c:pt idx="723">
                  <c:v>44441</c:v>
                </c:pt>
                <c:pt idx="724">
                  <c:v>44448</c:v>
                </c:pt>
                <c:pt idx="725">
                  <c:v>44455</c:v>
                </c:pt>
                <c:pt idx="726">
                  <c:v>44462</c:v>
                </c:pt>
                <c:pt idx="727">
                  <c:v>44469</c:v>
                </c:pt>
                <c:pt idx="728">
                  <c:v>44476</c:v>
                </c:pt>
                <c:pt idx="729">
                  <c:v>44483</c:v>
                </c:pt>
                <c:pt idx="730">
                  <c:v>44490</c:v>
                </c:pt>
                <c:pt idx="731">
                  <c:v>44497</c:v>
                </c:pt>
                <c:pt idx="732">
                  <c:v>44504</c:v>
                </c:pt>
                <c:pt idx="733">
                  <c:v>44511</c:v>
                </c:pt>
                <c:pt idx="734">
                  <c:v>44518</c:v>
                </c:pt>
                <c:pt idx="735">
                  <c:v>44525</c:v>
                </c:pt>
                <c:pt idx="736">
                  <c:v>44532</c:v>
                </c:pt>
                <c:pt idx="737">
                  <c:v>44539</c:v>
                </c:pt>
                <c:pt idx="738">
                  <c:v>44546</c:v>
                </c:pt>
                <c:pt idx="739">
                  <c:v>44553</c:v>
                </c:pt>
                <c:pt idx="740">
                  <c:v>44560</c:v>
                </c:pt>
                <c:pt idx="741">
                  <c:v>44567</c:v>
                </c:pt>
                <c:pt idx="742">
                  <c:v>44574</c:v>
                </c:pt>
                <c:pt idx="743">
                  <c:v>44581</c:v>
                </c:pt>
                <c:pt idx="744">
                  <c:v>44588</c:v>
                </c:pt>
                <c:pt idx="745">
                  <c:v>44595</c:v>
                </c:pt>
                <c:pt idx="746">
                  <c:v>44602</c:v>
                </c:pt>
                <c:pt idx="747">
                  <c:v>44609</c:v>
                </c:pt>
                <c:pt idx="748">
                  <c:v>44616</c:v>
                </c:pt>
                <c:pt idx="749">
                  <c:v>44623</c:v>
                </c:pt>
                <c:pt idx="750">
                  <c:v>44630</c:v>
                </c:pt>
                <c:pt idx="751">
                  <c:v>44637</c:v>
                </c:pt>
                <c:pt idx="752">
                  <c:v>44644</c:v>
                </c:pt>
                <c:pt idx="753">
                  <c:v>44651</c:v>
                </c:pt>
                <c:pt idx="754">
                  <c:v>44658</c:v>
                </c:pt>
                <c:pt idx="755">
                  <c:v>44665</c:v>
                </c:pt>
                <c:pt idx="756">
                  <c:v>44672</c:v>
                </c:pt>
                <c:pt idx="757">
                  <c:v>44679</c:v>
                </c:pt>
                <c:pt idx="758">
                  <c:v>44686</c:v>
                </c:pt>
                <c:pt idx="759">
                  <c:v>44693</c:v>
                </c:pt>
                <c:pt idx="760">
                  <c:v>44700</c:v>
                </c:pt>
                <c:pt idx="761">
                  <c:v>44707</c:v>
                </c:pt>
                <c:pt idx="762">
                  <c:v>44714</c:v>
                </c:pt>
                <c:pt idx="763">
                  <c:v>44721</c:v>
                </c:pt>
                <c:pt idx="764">
                  <c:v>44728</c:v>
                </c:pt>
                <c:pt idx="765">
                  <c:v>44735</c:v>
                </c:pt>
                <c:pt idx="766">
                  <c:v>44742</c:v>
                </c:pt>
                <c:pt idx="767">
                  <c:v>44749</c:v>
                </c:pt>
                <c:pt idx="768">
                  <c:v>44756</c:v>
                </c:pt>
                <c:pt idx="769">
                  <c:v>44763</c:v>
                </c:pt>
                <c:pt idx="770">
                  <c:v>44770</c:v>
                </c:pt>
                <c:pt idx="771">
                  <c:v>44777</c:v>
                </c:pt>
                <c:pt idx="772">
                  <c:v>44784</c:v>
                </c:pt>
                <c:pt idx="773">
                  <c:v>44791</c:v>
                </c:pt>
                <c:pt idx="774">
                  <c:v>44798</c:v>
                </c:pt>
                <c:pt idx="775">
                  <c:v>44805</c:v>
                </c:pt>
                <c:pt idx="776">
                  <c:v>44812</c:v>
                </c:pt>
                <c:pt idx="777">
                  <c:v>44819</c:v>
                </c:pt>
                <c:pt idx="778">
                  <c:v>44826</c:v>
                </c:pt>
                <c:pt idx="779">
                  <c:v>44833</c:v>
                </c:pt>
                <c:pt idx="780">
                  <c:v>44840</c:v>
                </c:pt>
                <c:pt idx="781">
                  <c:v>44847</c:v>
                </c:pt>
                <c:pt idx="782">
                  <c:v>44854</c:v>
                </c:pt>
                <c:pt idx="783">
                  <c:v>44861</c:v>
                </c:pt>
                <c:pt idx="784">
                  <c:v>44868</c:v>
                </c:pt>
                <c:pt idx="785">
                  <c:v>44875</c:v>
                </c:pt>
                <c:pt idx="786">
                  <c:v>44882</c:v>
                </c:pt>
                <c:pt idx="787">
                  <c:v>44889</c:v>
                </c:pt>
                <c:pt idx="788">
                  <c:v>44896</c:v>
                </c:pt>
                <c:pt idx="789">
                  <c:v>44903</c:v>
                </c:pt>
                <c:pt idx="790">
                  <c:v>44910</c:v>
                </c:pt>
                <c:pt idx="791">
                  <c:v>44917</c:v>
                </c:pt>
                <c:pt idx="792">
                  <c:v>44924</c:v>
                </c:pt>
                <c:pt idx="793">
                  <c:v>44931</c:v>
                </c:pt>
                <c:pt idx="794">
                  <c:v>44938</c:v>
                </c:pt>
                <c:pt idx="795">
                  <c:v>44945</c:v>
                </c:pt>
                <c:pt idx="796">
                  <c:v>44952</c:v>
                </c:pt>
                <c:pt idx="797">
                  <c:v>44959</c:v>
                </c:pt>
                <c:pt idx="798">
                  <c:v>44966</c:v>
                </c:pt>
                <c:pt idx="799">
                  <c:v>44973</c:v>
                </c:pt>
                <c:pt idx="800">
                  <c:v>44980</c:v>
                </c:pt>
                <c:pt idx="801">
                  <c:v>44987</c:v>
                </c:pt>
                <c:pt idx="802">
                  <c:v>44994</c:v>
                </c:pt>
                <c:pt idx="803">
                  <c:v>45001</c:v>
                </c:pt>
                <c:pt idx="804">
                  <c:v>45008</c:v>
                </c:pt>
                <c:pt idx="805">
                  <c:v>45015</c:v>
                </c:pt>
                <c:pt idx="806">
                  <c:v>45022</c:v>
                </c:pt>
                <c:pt idx="807">
                  <c:v>45029</c:v>
                </c:pt>
                <c:pt idx="808">
                  <c:v>45036</c:v>
                </c:pt>
                <c:pt idx="809">
                  <c:v>45043</c:v>
                </c:pt>
                <c:pt idx="810">
                  <c:v>45050</c:v>
                </c:pt>
                <c:pt idx="811">
                  <c:v>45057</c:v>
                </c:pt>
                <c:pt idx="812">
                  <c:v>45064</c:v>
                </c:pt>
                <c:pt idx="813">
                  <c:v>45071</c:v>
                </c:pt>
                <c:pt idx="814">
                  <c:v>45078</c:v>
                </c:pt>
                <c:pt idx="815">
                  <c:v>45085</c:v>
                </c:pt>
                <c:pt idx="816">
                  <c:v>45092</c:v>
                </c:pt>
                <c:pt idx="817">
                  <c:v>45099</c:v>
                </c:pt>
                <c:pt idx="818">
                  <c:v>45106</c:v>
                </c:pt>
                <c:pt idx="819">
                  <c:v>45113</c:v>
                </c:pt>
                <c:pt idx="820">
                  <c:v>45120</c:v>
                </c:pt>
                <c:pt idx="821">
                  <c:v>45127</c:v>
                </c:pt>
                <c:pt idx="822">
                  <c:v>45134</c:v>
                </c:pt>
                <c:pt idx="823">
                  <c:v>45141</c:v>
                </c:pt>
                <c:pt idx="824">
                  <c:v>45148</c:v>
                </c:pt>
                <c:pt idx="825">
                  <c:v>45155</c:v>
                </c:pt>
                <c:pt idx="826">
                  <c:v>45162</c:v>
                </c:pt>
                <c:pt idx="827">
                  <c:v>45169</c:v>
                </c:pt>
                <c:pt idx="828">
                  <c:v>45176</c:v>
                </c:pt>
                <c:pt idx="829">
                  <c:v>45183</c:v>
                </c:pt>
                <c:pt idx="830">
                  <c:v>45190</c:v>
                </c:pt>
                <c:pt idx="831">
                  <c:v>45197</c:v>
                </c:pt>
                <c:pt idx="832">
                  <c:v>45204</c:v>
                </c:pt>
                <c:pt idx="833">
                  <c:v>45211</c:v>
                </c:pt>
                <c:pt idx="834">
                  <c:v>45218</c:v>
                </c:pt>
                <c:pt idx="835">
                  <c:v>45225</c:v>
                </c:pt>
                <c:pt idx="836">
                  <c:v>45232</c:v>
                </c:pt>
                <c:pt idx="837">
                  <c:v>45239</c:v>
                </c:pt>
                <c:pt idx="838">
                  <c:v>45246</c:v>
                </c:pt>
                <c:pt idx="839">
                  <c:v>45253</c:v>
                </c:pt>
                <c:pt idx="840">
                  <c:v>45260</c:v>
                </c:pt>
                <c:pt idx="841">
                  <c:v>45267</c:v>
                </c:pt>
                <c:pt idx="842">
                  <c:v>45274</c:v>
                </c:pt>
                <c:pt idx="843">
                  <c:v>45281</c:v>
                </c:pt>
                <c:pt idx="844">
                  <c:v>45289</c:v>
                </c:pt>
                <c:pt idx="845">
                  <c:v>45296</c:v>
                </c:pt>
                <c:pt idx="846">
                  <c:v>45303</c:v>
                </c:pt>
                <c:pt idx="847">
                  <c:v>45310</c:v>
                </c:pt>
                <c:pt idx="848">
                  <c:v>45317</c:v>
                </c:pt>
                <c:pt idx="849">
                  <c:v>45324</c:v>
                </c:pt>
                <c:pt idx="850">
                  <c:v>45331</c:v>
                </c:pt>
                <c:pt idx="851">
                  <c:v>45338</c:v>
                </c:pt>
                <c:pt idx="852">
                  <c:v>45345</c:v>
                </c:pt>
                <c:pt idx="853">
                  <c:v>45352</c:v>
                </c:pt>
                <c:pt idx="854">
                  <c:v>45359</c:v>
                </c:pt>
                <c:pt idx="855">
                  <c:v>45366</c:v>
                </c:pt>
                <c:pt idx="856">
                  <c:v>45373</c:v>
                </c:pt>
                <c:pt idx="857">
                  <c:v>45384</c:v>
                </c:pt>
                <c:pt idx="858">
                  <c:v>45387</c:v>
                </c:pt>
                <c:pt idx="859">
                  <c:v>45394</c:v>
                </c:pt>
                <c:pt idx="860">
                  <c:v>45401</c:v>
                </c:pt>
                <c:pt idx="861">
                  <c:v>45408</c:v>
                </c:pt>
                <c:pt idx="862">
                  <c:v>45418</c:v>
                </c:pt>
                <c:pt idx="863">
                  <c:v>45425</c:v>
                </c:pt>
                <c:pt idx="864">
                  <c:v>45432</c:v>
                </c:pt>
                <c:pt idx="865">
                  <c:v>45439</c:v>
                </c:pt>
                <c:pt idx="866">
                  <c:v>45446</c:v>
                </c:pt>
                <c:pt idx="867">
                  <c:v>45453</c:v>
                </c:pt>
                <c:pt idx="868">
                  <c:v>45460</c:v>
                </c:pt>
                <c:pt idx="869">
                  <c:v>45467</c:v>
                </c:pt>
                <c:pt idx="870">
                  <c:v>45474</c:v>
                </c:pt>
                <c:pt idx="871">
                  <c:v>45481</c:v>
                </c:pt>
                <c:pt idx="872">
                  <c:v>45488</c:v>
                </c:pt>
                <c:pt idx="873">
                  <c:v>45495</c:v>
                </c:pt>
                <c:pt idx="874">
                  <c:v>45502</c:v>
                </c:pt>
                <c:pt idx="875">
                  <c:v>45509</c:v>
                </c:pt>
                <c:pt idx="876">
                  <c:v>45516</c:v>
                </c:pt>
                <c:pt idx="877">
                  <c:v>45523</c:v>
                </c:pt>
                <c:pt idx="878">
                  <c:v>45530</c:v>
                </c:pt>
                <c:pt idx="879">
                  <c:v>45537</c:v>
                </c:pt>
                <c:pt idx="880">
                  <c:v>45544</c:v>
                </c:pt>
                <c:pt idx="881">
                  <c:v>45551</c:v>
                </c:pt>
                <c:pt idx="882">
                  <c:v>45558</c:v>
                </c:pt>
                <c:pt idx="883">
                  <c:v>45565</c:v>
                </c:pt>
                <c:pt idx="884">
                  <c:v>45572</c:v>
                </c:pt>
                <c:pt idx="885">
                  <c:v>45579</c:v>
                </c:pt>
                <c:pt idx="886">
                  <c:v>45586</c:v>
                </c:pt>
                <c:pt idx="887">
                  <c:v>45593</c:v>
                </c:pt>
                <c:pt idx="888">
                  <c:v>45600</c:v>
                </c:pt>
                <c:pt idx="889">
                  <c:v>45607</c:v>
                </c:pt>
                <c:pt idx="890">
                  <c:v>45614</c:v>
                </c:pt>
                <c:pt idx="891">
                  <c:v>45621</c:v>
                </c:pt>
                <c:pt idx="892">
                  <c:v>45628</c:v>
                </c:pt>
                <c:pt idx="893">
                  <c:v>45635</c:v>
                </c:pt>
                <c:pt idx="894">
                  <c:v>45642</c:v>
                </c:pt>
                <c:pt idx="895">
                  <c:v>45649</c:v>
                </c:pt>
                <c:pt idx="896">
                  <c:v>45657</c:v>
                </c:pt>
                <c:pt idx="897">
                  <c:v>45664</c:v>
                </c:pt>
                <c:pt idx="898">
                  <c:v>45671</c:v>
                </c:pt>
                <c:pt idx="899">
                  <c:v>45678</c:v>
                </c:pt>
                <c:pt idx="900">
                  <c:v>45685</c:v>
                </c:pt>
                <c:pt idx="901">
                  <c:v>45692</c:v>
                </c:pt>
                <c:pt idx="902">
                  <c:v>45699</c:v>
                </c:pt>
                <c:pt idx="903">
                  <c:v>45706</c:v>
                </c:pt>
                <c:pt idx="904">
                  <c:v>45713</c:v>
                </c:pt>
                <c:pt idx="905">
                  <c:v>45720</c:v>
                </c:pt>
                <c:pt idx="906">
                  <c:v>45727</c:v>
                </c:pt>
                <c:pt idx="907">
                  <c:v>45734</c:v>
                </c:pt>
                <c:pt idx="908">
                  <c:v>45741</c:v>
                </c:pt>
                <c:pt idx="909">
                  <c:v>45748</c:v>
                </c:pt>
                <c:pt idx="910">
                  <c:v>45755</c:v>
                </c:pt>
                <c:pt idx="911">
                  <c:v>45762</c:v>
                </c:pt>
                <c:pt idx="912">
                  <c:v>45771</c:v>
                </c:pt>
                <c:pt idx="913">
                  <c:v>45779</c:v>
                </c:pt>
                <c:pt idx="914">
                  <c:v>45785</c:v>
                </c:pt>
                <c:pt idx="915">
                  <c:v>45792</c:v>
                </c:pt>
                <c:pt idx="916">
                  <c:v>45799</c:v>
                </c:pt>
                <c:pt idx="917">
                  <c:v>45806</c:v>
                </c:pt>
                <c:pt idx="918">
                  <c:v>45813</c:v>
                </c:pt>
                <c:pt idx="919">
                  <c:v>45820</c:v>
                </c:pt>
                <c:pt idx="920">
                  <c:v>45827</c:v>
                </c:pt>
                <c:pt idx="921">
                  <c:v>45834</c:v>
                </c:pt>
                <c:pt idx="922">
                  <c:v>45841</c:v>
                </c:pt>
                <c:pt idx="923">
                  <c:v>45848</c:v>
                </c:pt>
                <c:pt idx="924">
                  <c:v>45855</c:v>
                </c:pt>
                <c:pt idx="925">
                  <c:v>45862</c:v>
                </c:pt>
                <c:pt idx="926">
                  <c:v>45869</c:v>
                </c:pt>
                <c:pt idx="927">
                  <c:v>45876</c:v>
                </c:pt>
                <c:pt idx="928">
                  <c:v>45883</c:v>
                </c:pt>
                <c:pt idx="929">
                  <c:v>45890</c:v>
                </c:pt>
                <c:pt idx="930">
                  <c:v>45897</c:v>
                </c:pt>
                <c:pt idx="931">
                  <c:v>45904</c:v>
                </c:pt>
                <c:pt idx="932">
                  <c:v>45911</c:v>
                </c:pt>
                <c:pt idx="933">
                  <c:v>45918</c:v>
                </c:pt>
                <c:pt idx="934">
                  <c:v>45925</c:v>
                </c:pt>
                <c:pt idx="935">
                  <c:v>45932</c:v>
                </c:pt>
                <c:pt idx="936">
                  <c:v>45939</c:v>
                </c:pt>
                <c:pt idx="937">
                  <c:v>45946</c:v>
                </c:pt>
                <c:pt idx="938">
                  <c:v>45953</c:v>
                </c:pt>
                <c:pt idx="939">
                  <c:v>45960</c:v>
                </c:pt>
                <c:pt idx="940">
                  <c:v>45967</c:v>
                </c:pt>
                <c:pt idx="941">
                  <c:v>45974</c:v>
                </c:pt>
                <c:pt idx="942">
                  <c:v>45981</c:v>
                </c:pt>
                <c:pt idx="943">
                  <c:v>45988</c:v>
                </c:pt>
                <c:pt idx="944">
                  <c:v>45995</c:v>
                </c:pt>
                <c:pt idx="945">
                  <c:v>46002</c:v>
                </c:pt>
                <c:pt idx="946">
                  <c:v>46009</c:v>
                </c:pt>
                <c:pt idx="947">
                  <c:v>46020</c:v>
                </c:pt>
                <c:pt idx="948">
                  <c:v>46024</c:v>
                </c:pt>
                <c:pt idx="949">
                  <c:v>46030</c:v>
                </c:pt>
                <c:pt idx="950">
                  <c:v>46037</c:v>
                </c:pt>
                <c:pt idx="951">
                  <c:v>46044</c:v>
                </c:pt>
                <c:pt idx="952">
                  <c:v>46051</c:v>
                </c:pt>
                <c:pt idx="953">
                  <c:v>46058</c:v>
                </c:pt>
                <c:pt idx="954">
                  <c:v>46065</c:v>
                </c:pt>
                <c:pt idx="955">
                  <c:v>46072</c:v>
                </c:pt>
                <c:pt idx="956">
                  <c:v>46079</c:v>
                </c:pt>
                <c:pt idx="957">
                  <c:v>46086</c:v>
                </c:pt>
                <c:pt idx="958">
                  <c:v>46093</c:v>
                </c:pt>
                <c:pt idx="959">
                  <c:v>46100</c:v>
                </c:pt>
                <c:pt idx="960">
                  <c:v>46107</c:v>
                </c:pt>
                <c:pt idx="961">
                  <c:v>46114</c:v>
                </c:pt>
                <c:pt idx="962">
                  <c:v>46121</c:v>
                </c:pt>
                <c:pt idx="963">
                  <c:v>46128</c:v>
                </c:pt>
                <c:pt idx="964">
                  <c:v>46135</c:v>
                </c:pt>
                <c:pt idx="965">
                  <c:v>46142</c:v>
                </c:pt>
                <c:pt idx="966">
                  <c:v>46149</c:v>
                </c:pt>
                <c:pt idx="967">
                  <c:v>46156</c:v>
                </c:pt>
                <c:pt idx="968">
                  <c:v>46163</c:v>
                </c:pt>
                <c:pt idx="969">
                  <c:v>46170</c:v>
                </c:pt>
                <c:pt idx="970">
                  <c:v>46177</c:v>
                </c:pt>
                <c:pt idx="971">
                  <c:v>46184</c:v>
                </c:pt>
                <c:pt idx="972">
                  <c:v>46191</c:v>
                </c:pt>
                <c:pt idx="973">
                  <c:v>46198</c:v>
                </c:pt>
                <c:pt idx="974">
                  <c:v>46205</c:v>
                </c:pt>
                <c:pt idx="975">
                  <c:v>46212</c:v>
                </c:pt>
                <c:pt idx="976">
                  <c:v>46219</c:v>
                </c:pt>
                <c:pt idx="977">
                  <c:v>46226</c:v>
                </c:pt>
                <c:pt idx="978">
                  <c:v>46233</c:v>
                </c:pt>
                <c:pt idx="979">
                  <c:v>46240</c:v>
                </c:pt>
                <c:pt idx="980">
                  <c:v>46247</c:v>
                </c:pt>
                <c:pt idx="981">
                  <c:v>46254</c:v>
                </c:pt>
                <c:pt idx="982">
                  <c:v>46261</c:v>
                </c:pt>
                <c:pt idx="983">
                  <c:v>46268</c:v>
                </c:pt>
                <c:pt idx="984">
                  <c:v>46275</c:v>
                </c:pt>
                <c:pt idx="985">
                  <c:v>46282</c:v>
                </c:pt>
                <c:pt idx="986">
                  <c:v>46289</c:v>
                </c:pt>
                <c:pt idx="987">
                  <c:v>46296</c:v>
                </c:pt>
                <c:pt idx="988">
                  <c:v>46303</c:v>
                </c:pt>
                <c:pt idx="989">
                  <c:v>46310</c:v>
                </c:pt>
                <c:pt idx="990">
                  <c:v>46317</c:v>
                </c:pt>
                <c:pt idx="991">
                  <c:v>46324</c:v>
                </c:pt>
                <c:pt idx="992">
                  <c:v>46331</c:v>
                </c:pt>
                <c:pt idx="993">
                  <c:v>46338</c:v>
                </c:pt>
                <c:pt idx="994">
                  <c:v>46345</c:v>
                </c:pt>
                <c:pt idx="995">
                  <c:v>46352</c:v>
                </c:pt>
                <c:pt idx="996">
                  <c:v>46359</c:v>
                </c:pt>
                <c:pt idx="997">
                  <c:v>46366</c:v>
                </c:pt>
                <c:pt idx="998">
                  <c:v>46373</c:v>
                </c:pt>
                <c:pt idx="999">
                  <c:v>46380</c:v>
                </c:pt>
                <c:pt idx="1000">
                  <c:v>46387</c:v>
                </c:pt>
                <c:pt idx="1001">
                  <c:v>46394</c:v>
                </c:pt>
                <c:pt idx="1002">
                  <c:v>46401</c:v>
                </c:pt>
                <c:pt idx="1003">
                  <c:v>46408</c:v>
                </c:pt>
                <c:pt idx="1004">
                  <c:v>46415</c:v>
                </c:pt>
                <c:pt idx="1005">
                  <c:v>46422</c:v>
                </c:pt>
                <c:pt idx="1006">
                  <c:v>46429</c:v>
                </c:pt>
                <c:pt idx="1007">
                  <c:v>46436</c:v>
                </c:pt>
                <c:pt idx="1008">
                  <c:v>46443</c:v>
                </c:pt>
                <c:pt idx="1009">
                  <c:v>46450</c:v>
                </c:pt>
                <c:pt idx="1010">
                  <c:v>46457</c:v>
                </c:pt>
                <c:pt idx="1011">
                  <c:v>46464</c:v>
                </c:pt>
                <c:pt idx="1012">
                  <c:v>46471</c:v>
                </c:pt>
                <c:pt idx="1013">
                  <c:v>46478</c:v>
                </c:pt>
                <c:pt idx="1014">
                  <c:v>46485</c:v>
                </c:pt>
                <c:pt idx="1015">
                  <c:v>46492</c:v>
                </c:pt>
                <c:pt idx="1016">
                  <c:v>46499</c:v>
                </c:pt>
                <c:pt idx="1017">
                  <c:v>46506</c:v>
                </c:pt>
                <c:pt idx="1018">
                  <c:v>46513</c:v>
                </c:pt>
                <c:pt idx="1019">
                  <c:v>46520</c:v>
                </c:pt>
                <c:pt idx="1020">
                  <c:v>46527</c:v>
                </c:pt>
                <c:pt idx="1021">
                  <c:v>46534</c:v>
                </c:pt>
                <c:pt idx="1022">
                  <c:v>46541</c:v>
                </c:pt>
                <c:pt idx="1023">
                  <c:v>46548</c:v>
                </c:pt>
                <c:pt idx="1024">
                  <c:v>46555</c:v>
                </c:pt>
                <c:pt idx="1025">
                  <c:v>46562</c:v>
                </c:pt>
                <c:pt idx="1026">
                  <c:v>46569</c:v>
                </c:pt>
                <c:pt idx="1027">
                  <c:v>46576</c:v>
                </c:pt>
                <c:pt idx="1028">
                  <c:v>46583</c:v>
                </c:pt>
                <c:pt idx="1029">
                  <c:v>46590</c:v>
                </c:pt>
                <c:pt idx="1030">
                  <c:v>46597</c:v>
                </c:pt>
                <c:pt idx="1031">
                  <c:v>46604</c:v>
                </c:pt>
                <c:pt idx="1032">
                  <c:v>46611</c:v>
                </c:pt>
                <c:pt idx="1033">
                  <c:v>46618</c:v>
                </c:pt>
                <c:pt idx="1034">
                  <c:v>46625</c:v>
                </c:pt>
                <c:pt idx="1035">
                  <c:v>46632</c:v>
                </c:pt>
                <c:pt idx="1036">
                  <c:v>46639</c:v>
                </c:pt>
                <c:pt idx="1037">
                  <c:v>46646</c:v>
                </c:pt>
                <c:pt idx="1038">
                  <c:v>46653</c:v>
                </c:pt>
                <c:pt idx="1039">
                  <c:v>46660</c:v>
                </c:pt>
                <c:pt idx="1040">
                  <c:v>46667</c:v>
                </c:pt>
                <c:pt idx="1041">
                  <c:v>46674</c:v>
                </c:pt>
                <c:pt idx="1042">
                  <c:v>46681</c:v>
                </c:pt>
                <c:pt idx="1043">
                  <c:v>46688</c:v>
                </c:pt>
                <c:pt idx="1044">
                  <c:v>46695</c:v>
                </c:pt>
                <c:pt idx="1045">
                  <c:v>46702</c:v>
                </c:pt>
                <c:pt idx="1046">
                  <c:v>46709</c:v>
                </c:pt>
                <c:pt idx="1047">
                  <c:v>46716</c:v>
                </c:pt>
                <c:pt idx="1048">
                  <c:v>46723</c:v>
                </c:pt>
                <c:pt idx="1049">
                  <c:v>46730</c:v>
                </c:pt>
                <c:pt idx="1050">
                  <c:v>46737</c:v>
                </c:pt>
                <c:pt idx="1051">
                  <c:v>46744</c:v>
                </c:pt>
                <c:pt idx="1052">
                  <c:v>46751</c:v>
                </c:pt>
                <c:pt idx="1053">
                  <c:v>46758</c:v>
                </c:pt>
                <c:pt idx="1054">
                  <c:v>46765</c:v>
                </c:pt>
                <c:pt idx="1055">
                  <c:v>46772</c:v>
                </c:pt>
                <c:pt idx="1056">
                  <c:v>46779</c:v>
                </c:pt>
                <c:pt idx="1057">
                  <c:v>46786</c:v>
                </c:pt>
                <c:pt idx="1058">
                  <c:v>46793</c:v>
                </c:pt>
                <c:pt idx="1059">
                  <c:v>46800</c:v>
                </c:pt>
                <c:pt idx="1060">
                  <c:v>46807</c:v>
                </c:pt>
                <c:pt idx="1061">
                  <c:v>46814</c:v>
                </c:pt>
                <c:pt idx="1062">
                  <c:v>46821</c:v>
                </c:pt>
                <c:pt idx="1063">
                  <c:v>46828</c:v>
                </c:pt>
                <c:pt idx="1064">
                  <c:v>46835</c:v>
                </c:pt>
                <c:pt idx="1065">
                  <c:v>46842</c:v>
                </c:pt>
                <c:pt idx="1066">
                  <c:v>46849</c:v>
                </c:pt>
                <c:pt idx="1067">
                  <c:v>46856</c:v>
                </c:pt>
                <c:pt idx="1068">
                  <c:v>46863</c:v>
                </c:pt>
                <c:pt idx="1069">
                  <c:v>46870</c:v>
                </c:pt>
                <c:pt idx="1070">
                  <c:v>46877</c:v>
                </c:pt>
                <c:pt idx="1071">
                  <c:v>46884</c:v>
                </c:pt>
                <c:pt idx="1072">
                  <c:v>46891</c:v>
                </c:pt>
                <c:pt idx="1073">
                  <c:v>46898</c:v>
                </c:pt>
                <c:pt idx="1074">
                  <c:v>46905</c:v>
                </c:pt>
                <c:pt idx="1075">
                  <c:v>46912</c:v>
                </c:pt>
                <c:pt idx="1076">
                  <c:v>46919</c:v>
                </c:pt>
                <c:pt idx="1077">
                  <c:v>46926</c:v>
                </c:pt>
                <c:pt idx="1078">
                  <c:v>46933</c:v>
                </c:pt>
                <c:pt idx="1079">
                  <c:v>46940</c:v>
                </c:pt>
                <c:pt idx="1080">
                  <c:v>46947</c:v>
                </c:pt>
                <c:pt idx="1081">
                  <c:v>46954</c:v>
                </c:pt>
                <c:pt idx="1082">
                  <c:v>46961</c:v>
                </c:pt>
                <c:pt idx="1083">
                  <c:v>46968</c:v>
                </c:pt>
                <c:pt idx="1084">
                  <c:v>46975</c:v>
                </c:pt>
                <c:pt idx="1085">
                  <c:v>46982</c:v>
                </c:pt>
                <c:pt idx="1086">
                  <c:v>46989</c:v>
                </c:pt>
                <c:pt idx="1087">
                  <c:v>46996</c:v>
                </c:pt>
                <c:pt idx="1088">
                  <c:v>47003</c:v>
                </c:pt>
                <c:pt idx="1089">
                  <c:v>47010</c:v>
                </c:pt>
                <c:pt idx="1090">
                  <c:v>47017</c:v>
                </c:pt>
                <c:pt idx="1091">
                  <c:v>47024</c:v>
                </c:pt>
                <c:pt idx="1092">
                  <c:v>47031</c:v>
                </c:pt>
                <c:pt idx="1093">
                  <c:v>47038</c:v>
                </c:pt>
                <c:pt idx="1094">
                  <c:v>47045</c:v>
                </c:pt>
                <c:pt idx="1095">
                  <c:v>47052</c:v>
                </c:pt>
                <c:pt idx="1096">
                  <c:v>47059</c:v>
                </c:pt>
                <c:pt idx="1097">
                  <c:v>47066</c:v>
                </c:pt>
                <c:pt idx="1098">
                  <c:v>47073</c:v>
                </c:pt>
                <c:pt idx="1099">
                  <c:v>47080</c:v>
                </c:pt>
                <c:pt idx="1100">
                  <c:v>47087</c:v>
                </c:pt>
                <c:pt idx="1101">
                  <c:v>47094</c:v>
                </c:pt>
                <c:pt idx="1102">
                  <c:v>47101</c:v>
                </c:pt>
                <c:pt idx="1103">
                  <c:v>47108</c:v>
                </c:pt>
                <c:pt idx="1104">
                  <c:v>47116</c:v>
                </c:pt>
                <c:pt idx="1105">
                  <c:v>47123</c:v>
                </c:pt>
                <c:pt idx="1106">
                  <c:v>47130</c:v>
                </c:pt>
                <c:pt idx="1107">
                  <c:v>47137</c:v>
                </c:pt>
                <c:pt idx="1108">
                  <c:v>47144</c:v>
                </c:pt>
                <c:pt idx="1109">
                  <c:v>47151</c:v>
                </c:pt>
                <c:pt idx="1110">
                  <c:v>47158</c:v>
                </c:pt>
                <c:pt idx="1111">
                  <c:v>47165</c:v>
                </c:pt>
                <c:pt idx="1112">
                  <c:v>47172</c:v>
                </c:pt>
                <c:pt idx="1113">
                  <c:v>47179</c:v>
                </c:pt>
                <c:pt idx="1114">
                  <c:v>47186</c:v>
                </c:pt>
                <c:pt idx="1115">
                  <c:v>47193</c:v>
                </c:pt>
                <c:pt idx="1116">
                  <c:v>47200</c:v>
                </c:pt>
                <c:pt idx="1117">
                  <c:v>47211</c:v>
                </c:pt>
                <c:pt idx="1118">
                  <c:v>47214</c:v>
                </c:pt>
                <c:pt idx="1119">
                  <c:v>47221</c:v>
                </c:pt>
                <c:pt idx="1120">
                  <c:v>47228</c:v>
                </c:pt>
                <c:pt idx="1121">
                  <c:v>47235</c:v>
                </c:pt>
                <c:pt idx="1122">
                  <c:v>47242</c:v>
                </c:pt>
                <c:pt idx="1123">
                  <c:v>47249</c:v>
                </c:pt>
                <c:pt idx="1124">
                  <c:v>47256</c:v>
                </c:pt>
                <c:pt idx="1125">
                  <c:v>47263</c:v>
                </c:pt>
                <c:pt idx="1126">
                  <c:v>47270</c:v>
                </c:pt>
                <c:pt idx="1127">
                  <c:v>47277</c:v>
                </c:pt>
                <c:pt idx="1128">
                  <c:v>47284</c:v>
                </c:pt>
                <c:pt idx="1129">
                  <c:v>47291</c:v>
                </c:pt>
                <c:pt idx="1130">
                  <c:v>47298</c:v>
                </c:pt>
                <c:pt idx="1131">
                  <c:v>47305</c:v>
                </c:pt>
                <c:pt idx="1132">
                  <c:v>47312</c:v>
                </c:pt>
                <c:pt idx="1133">
                  <c:v>47319</c:v>
                </c:pt>
                <c:pt idx="1134">
                  <c:v>47326</c:v>
                </c:pt>
                <c:pt idx="1135">
                  <c:v>47333</c:v>
                </c:pt>
                <c:pt idx="1136">
                  <c:v>47340</c:v>
                </c:pt>
                <c:pt idx="1137">
                  <c:v>47347</c:v>
                </c:pt>
                <c:pt idx="1138">
                  <c:v>47354</c:v>
                </c:pt>
                <c:pt idx="1139">
                  <c:v>47361</c:v>
                </c:pt>
                <c:pt idx="1140">
                  <c:v>47368</c:v>
                </c:pt>
                <c:pt idx="1141">
                  <c:v>47375</c:v>
                </c:pt>
                <c:pt idx="1142">
                  <c:v>47382</c:v>
                </c:pt>
                <c:pt idx="1143">
                  <c:v>47389</c:v>
                </c:pt>
                <c:pt idx="1144">
                  <c:v>47396</c:v>
                </c:pt>
                <c:pt idx="1145">
                  <c:v>47403</c:v>
                </c:pt>
                <c:pt idx="1146">
                  <c:v>47410</c:v>
                </c:pt>
                <c:pt idx="1147">
                  <c:v>47417</c:v>
                </c:pt>
                <c:pt idx="1148">
                  <c:v>47424</c:v>
                </c:pt>
                <c:pt idx="1149">
                  <c:v>47431</c:v>
                </c:pt>
                <c:pt idx="1150">
                  <c:v>47438</c:v>
                </c:pt>
                <c:pt idx="1151">
                  <c:v>47445</c:v>
                </c:pt>
                <c:pt idx="1152">
                  <c:v>47452</c:v>
                </c:pt>
                <c:pt idx="1153">
                  <c:v>47459</c:v>
                </c:pt>
                <c:pt idx="1154">
                  <c:v>47466</c:v>
                </c:pt>
                <c:pt idx="1155">
                  <c:v>47473</c:v>
                </c:pt>
                <c:pt idx="1156">
                  <c:v>47483</c:v>
                </c:pt>
                <c:pt idx="1157">
                  <c:v>47490</c:v>
                </c:pt>
                <c:pt idx="1158">
                  <c:v>47497</c:v>
                </c:pt>
                <c:pt idx="1159">
                  <c:v>47504</c:v>
                </c:pt>
                <c:pt idx="1160">
                  <c:v>47511</c:v>
                </c:pt>
                <c:pt idx="1161">
                  <c:v>47518</c:v>
                </c:pt>
                <c:pt idx="1162">
                  <c:v>47525</c:v>
                </c:pt>
                <c:pt idx="1163">
                  <c:v>47532</c:v>
                </c:pt>
                <c:pt idx="1164">
                  <c:v>47539</c:v>
                </c:pt>
                <c:pt idx="1165">
                  <c:v>47546</c:v>
                </c:pt>
                <c:pt idx="1166">
                  <c:v>47553</c:v>
                </c:pt>
                <c:pt idx="1167">
                  <c:v>47560</c:v>
                </c:pt>
                <c:pt idx="1168">
                  <c:v>47567</c:v>
                </c:pt>
                <c:pt idx="1169">
                  <c:v>47574</c:v>
                </c:pt>
                <c:pt idx="1170">
                  <c:v>47581</c:v>
                </c:pt>
                <c:pt idx="1171">
                  <c:v>47588</c:v>
                </c:pt>
                <c:pt idx="1172">
                  <c:v>47597</c:v>
                </c:pt>
                <c:pt idx="1173">
                  <c:v>47602</c:v>
                </c:pt>
                <c:pt idx="1174">
                  <c:v>47609</c:v>
                </c:pt>
                <c:pt idx="1175">
                  <c:v>47616</c:v>
                </c:pt>
                <c:pt idx="1176">
                  <c:v>47623</c:v>
                </c:pt>
                <c:pt idx="1177">
                  <c:v>47630</c:v>
                </c:pt>
                <c:pt idx="1178">
                  <c:v>47637</c:v>
                </c:pt>
                <c:pt idx="1179">
                  <c:v>47644</c:v>
                </c:pt>
                <c:pt idx="1180">
                  <c:v>47651</c:v>
                </c:pt>
                <c:pt idx="1181">
                  <c:v>47658</c:v>
                </c:pt>
                <c:pt idx="1182">
                  <c:v>47665</c:v>
                </c:pt>
                <c:pt idx="1183">
                  <c:v>47672</c:v>
                </c:pt>
                <c:pt idx="1184">
                  <c:v>47679</c:v>
                </c:pt>
                <c:pt idx="1185">
                  <c:v>47686</c:v>
                </c:pt>
                <c:pt idx="1186">
                  <c:v>47693</c:v>
                </c:pt>
                <c:pt idx="1187">
                  <c:v>47700</c:v>
                </c:pt>
                <c:pt idx="1188">
                  <c:v>47707</c:v>
                </c:pt>
                <c:pt idx="1189">
                  <c:v>47714</c:v>
                </c:pt>
                <c:pt idx="1190">
                  <c:v>47721</c:v>
                </c:pt>
                <c:pt idx="1191">
                  <c:v>47728</c:v>
                </c:pt>
                <c:pt idx="1192">
                  <c:v>47735</c:v>
                </c:pt>
                <c:pt idx="1193">
                  <c:v>47742</c:v>
                </c:pt>
                <c:pt idx="1194">
                  <c:v>47749</c:v>
                </c:pt>
                <c:pt idx="1195">
                  <c:v>47756</c:v>
                </c:pt>
                <c:pt idx="1196">
                  <c:v>47763</c:v>
                </c:pt>
                <c:pt idx="1197">
                  <c:v>47770</c:v>
                </c:pt>
                <c:pt idx="1198">
                  <c:v>47777</c:v>
                </c:pt>
                <c:pt idx="1199">
                  <c:v>47784</c:v>
                </c:pt>
                <c:pt idx="1200">
                  <c:v>47791</c:v>
                </c:pt>
                <c:pt idx="1201">
                  <c:v>47798</c:v>
                </c:pt>
                <c:pt idx="1202">
                  <c:v>47805</c:v>
                </c:pt>
                <c:pt idx="1203">
                  <c:v>47812</c:v>
                </c:pt>
                <c:pt idx="1204">
                  <c:v>47819</c:v>
                </c:pt>
                <c:pt idx="1205">
                  <c:v>47826</c:v>
                </c:pt>
                <c:pt idx="1206">
                  <c:v>47833</c:v>
                </c:pt>
                <c:pt idx="1207">
                  <c:v>47840</c:v>
                </c:pt>
                <c:pt idx="1208">
                  <c:v>47848</c:v>
                </c:pt>
                <c:pt idx="1209">
                  <c:v>47855</c:v>
                </c:pt>
                <c:pt idx="1210">
                  <c:v>47862</c:v>
                </c:pt>
                <c:pt idx="1211">
                  <c:v>47869</c:v>
                </c:pt>
                <c:pt idx="1212">
                  <c:v>47876</c:v>
                </c:pt>
                <c:pt idx="1213">
                  <c:v>47883</c:v>
                </c:pt>
                <c:pt idx="1214">
                  <c:v>47890</c:v>
                </c:pt>
                <c:pt idx="1215">
                  <c:v>47897</c:v>
                </c:pt>
                <c:pt idx="1216">
                  <c:v>47904</c:v>
                </c:pt>
                <c:pt idx="1217">
                  <c:v>47911</c:v>
                </c:pt>
                <c:pt idx="1218">
                  <c:v>47918</c:v>
                </c:pt>
                <c:pt idx="1219">
                  <c:v>47925</c:v>
                </c:pt>
                <c:pt idx="1220">
                  <c:v>47932</c:v>
                </c:pt>
                <c:pt idx="1221">
                  <c:v>47939</c:v>
                </c:pt>
                <c:pt idx="1222">
                  <c:v>47946</c:v>
                </c:pt>
                <c:pt idx="1223">
                  <c:v>47955</c:v>
                </c:pt>
                <c:pt idx="1224">
                  <c:v>47962</c:v>
                </c:pt>
                <c:pt idx="1225">
                  <c:v>47970</c:v>
                </c:pt>
                <c:pt idx="1226">
                  <c:v>47976</c:v>
                </c:pt>
                <c:pt idx="1227">
                  <c:v>47983</c:v>
                </c:pt>
                <c:pt idx="1228">
                  <c:v>47990</c:v>
                </c:pt>
                <c:pt idx="1229">
                  <c:v>47997</c:v>
                </c:pt>
                <c:pt idx="1230">
                  <c:v>48004</c:v>
                </c:pt>
                <c:pt idx="1231">
                  <c:v>48011</c:v>
                </c:pt>
                <c:pt idx="1232">
                  <c:v>48018</c:v>
                </c:pt>
                <c:pt idx="1233">
                  <c:v>48025</c:v>
                </c:pt>
                <c:pt idx="1234">
                  <c:v>48032</c:v>
                </c:pt>
                <c:pt idx="1235">
                  <c:v>48039</c:v>
                </c:pt>
                <c:pt idx="1236">
                  <c:v>48046</c:v>
                </c:pt>
                <c:pt idx="1237">
                  <c:v>48053</c:v>
                </c:pt>
                <c:pt idx="1238">
                  <c:v>48060</c:v>
                </c:pt>
                <c:pt idx="1239">
                  <c:v>48067</c:v>
                </c:pt>
                <c:pt idx="1240">
                  <c:v>48074</c:v>
                </c:pt>
                <c:pt idx="1241">
                  <c:v>48081</c:v>
                </c:pt>
                <c:pt idx="1242">
                  <c:v>48088</c:v>
                </c:pt>
                <c:pt idx="1243">
                  <c:v>48095</c:v>
                </c:pt>
                <c:pt idx="1244">
                  <c:v>48102</c:v>
                </c:pt>
                <c:pt idx="1245">
                  <c:v>48109</c:v>
                </c:pt>
                <c:pt idx="1246">
                  <c:v>48116</c:v>
                </c:pt>
                <c:pt idx="1247">
                  <c:v>48123</c:v>
                </c:pt>
                <c:pt idx="1248">
                  <c:v>48130</c:v>
                </c:pt>
                <c:pt idx="1249">
                  <c:v>48137</c:v>
                </c:pt>
                <c:pt idx="1250">
                  <c:v>48144</c:v>
                </c:pt>
                <c:pt idx="1251">
                  <c:v>48151</c:v>
                </c:pt>
                <c:pt idx="1252">
                  <c:v>48158</c:v>
                </c:pt>
                <c:pt idx="1253">
                  <c:v>48165</c:v>
                </c:pt>
                <c:pt idx="1254">
                  <c:v>48172</c:v>
                </c:pt>
                <c:pt idx="1255">
                  <c:v>48179</c:v>
                </c:pt>
                <c:pt idx="1256">
                  <c:v>48186</c:v>
                </c:pt>
                <c:pt idx="1257">
                  <c:v>48193</c:v>
                </c:pt>
                <c:pt idx="1258">
                  <c:v>48200</c:v>
                </c:pt>
                <c:pt idx="1259">
                  <c:v>48211</c:v>
                </c:pt>
                <c:pt idx="1260">
                  <c:v>48215</c:v>
                </c:pt>
                <c:pt idx="1261">
                  <c:v>48221</c:v>
                </c:pt>
                <c:pt idx="1262">
                  <c:v>48228</c:v>
                </c:pt>
                <c:pt idx="1263">
                  <c:v>48235</c:v>
                </c:pt>
                <c:pt idx="1264">
                  <c:v>48242</c:v>
                </c:pt>
                <c:pt idx="1265">
                  <c:v>48249</c:v>
                </c:pt>
                <c:pt idx="1266">
                  <c:v>48256</c:v>
                </c:pt>
                <c:pt idx="1267">
                  <c:v>48263</c:v>
                </c:pt>
                <c:pt idx="1268">
                  <c:v>48270</c:v>
                </c:pt>
                <c:pt idx="1269">
                  <c:v>48277</c:v>
                </c:pt>
                <c:pt idx="1270">
                  <c:v>48284</c:v>
                </c:pt>
                <c:pt idx="1271">
                  <c:v>48291</c:v>
                </c:pt>
                <c:pt idx="1272">
                  <c:v>48298</c:v>
                </c:pt>
                <c:pt idx="1273">
                  <c:v>48305</c:v>
                </c:pt>
                <c:pt idx="1274">
                  <c:v>48312</c:v>
                </c:pt>
                <c:pt idx="1275">
                  <c:v>48319</c:v>
                </c:pt>
                <c:pt idx="1276">
                  <c:v>48326</c:v>
                </c:pt>
                <c:pt idx="1277">
                  <c:v>48333</c:v>
                </c:pt>
                <c:pt idx="1278">
                  <c:v>48340</c:v>
                </c:pt>
                <c:pt idx="1279">
                  <c:v>48347</c:v>
                </c:pt>
                <c:pt idx="1280">
                  <c:v>48354</c:v>
                </c:pt>
                <c:pt idx="1281">
                  <c:v>48361</c:v>
                </c:pt>
                <c:pt idx="1282">
                  <c:v>48368</c:v>
                </c:pt>
                <c:pt idx="1283">
                  <c:v>48375</c:v>
                </c:pt>
                <c:pt idx="1284">
                  <c:v>48382</c:v>
                </c:pt>
                <c:pt idx="1285">
                  <c:v>48389</c:v>
                </c:pt>
                <c:pt idx="1286">
                  <c:v>48396</c:v>
                </c:pt>
                <c:pt idx="1287">
                  <c:v>48403</c:v>
                </c:pt>
                <c:pt idx="1288">
                  <c:v>48410</c:v>
                </c:pt>
                <c:pt idx="1289">
                  <c:v>48417</c:v>
                </c:pt>
                <c:pt idx="1290">
                  <c:v>48424</c:v>
                </c:pt>
                <c:pt idx="1291">
                  <c:v>48431</c:v>
                </c:pt>
                <c:pt idx="1292">
                  <c:v>48438</c:v>
                </c:pt>
                <c:pt idx="1293">
                  <c:v>48445</c:v>
                </c:pt>
                <c:pt idx="1294">
                  <c:v>48452</c:v>
                </c:pt>
                <c:pt idx="1295">
                  <c:v>48459</c:v>
                </c:pt>
                <c:pt idx="1296">
                  <c:v>48466</c:v>
                </c:pt>
                <c:pt idx="1297">
                  <c:v>48473</c:v>
                </c:pt>
                <c:pt idx="1298">
                  <c:v>48480</c:v>
                </c:pt>
                <c:pt idx="1299">
                  <c:v>48487</c:v>
                </c:pt>
                <c:pt idx="1300">
                  <c:v>48494</c:v>
                </c:pt>
                <c:pt idx="1301">
                  <c:v>48501</c:v>
                </c:pt>
                <c:pt idx="1302">
                  <c:v>48508</c:v>
                </c:pt>
                <c:pt idx="1303">
                  <c:v>48515</c:v>
                </c:pt>
                <c:pt idx="1304">
                  <c:v>48522</c:v>
                </c:pt>
                <c:pt idx="1305">
                  <c:v>48529</c:v>
                </c:pt>
                <c:pt idx="1306">
                  <c:v>48536</c:v>
                </c:pt>
                <c:pt idx="1307">
                  <c:v>48543</c:v>
                </c:pt>
                <c:pt idx="1308">
                  <c:v>48550</c:v>
                </c:pt>
                <c:pt idx="1309">
                  <c:v>48557</c:v>
                </c:pt>
                <c:pt idx="1310">
                  <c:v>48564</c:v>
                </c:pt>
                <c:pt idx="1311">
                  <c:v>48571</c:v>
                </c:pt>
                <c:pt idx="1312">
                  <c:v>48578</c:v>
                </c:pt>
                <c:pt idx="1313">
                  <c:v>48585</c:v>
                </c:pt>
                <c:pt idx="1314">
                  <c:v>48592</c:v>
                </c:pt>
                <c:pt idx="1315">
                  <c:v>48599</c:v>
                </c:pt>
                <c:pt idx="1316">
                  <c:v>48606</c:v>
                </c:pt>
                <c:pt idx="1317">
                  <c:v>48613</c:v>
                </c:pt>
                <c:pt idx="1318">
                  <c:v>48620</c:v>
                </c:pt>
                <c:pt idx="1319">
                  <c:v>48627</c:v>
                </c:pt>
                <c:pt idx="1320">
                  <c:v>48634</c:v>
                </c:pt>
                <c:pt idx="1321">
                  <c:v>48641</c:v>
                </c:pt>
                <c:pt idx="1322">
                  <c:v>48648</c:v>
                </c:pt>
                <c:pt idx="1323">
                  <c:v>48655</c:v>
                </c:pt>
                <c:pt idx="1324">
                  <c:v>48662</c:v>
                </c:pt>
                <c:pt idx="1325">
                  <c:v>48669</c:v>
                </c:pt>
                <c:pt idx="1326">
                  <c:v>48676</c:v>
                </c:pt>
                <c:pt idx="1327">
                  <c:v>48683</c:v>
                </c:pt>
                <c:pt idx="1328">
                  <c:v>48690</c:v>
                </c:pt>
                <c:pt idx="1329">
                  <c:v>48697</c:v>
                </c:pt>
                <c:pt idx="1330">
                  <c:v>48704</c:v>
                </c:pt>
                <c:pt idx="1331">
                  <c:v>48711</c:v>
                </c:pt>
                <c:pt idx="1332">
                  <c:v>48718</c:v>
                </c:pt>
                <c:pt idx="1333">
                  <c:v>48725</c:v>
                </c:pt>
                <c:pt idx="1334">
                  <c:v>48732</c:v>
                </c:pt>
                <c:pt idx="1335">
                  <c:v>48739</c:v>
                </c:pt>
                <c:pt idx="1336">
                  <c:v>48746</c:v>
                </c:pt>
                <c:pt idx="1337">
                  <c:v>48753</c:v>
                </c:pt>
                <c:pt idx="1338">
                  <c:v>48760</c:v>
                </c:pt>
                <c:pt idx="1339">
                  <c:v>48767</c:v>
                </c:pt>
                <c:pt idx="1340">
                  <c:v>48774</c:v>
                </c:pt>
                <c:pt idx="1341">
                  <c:v>48781</c:v>
                </c:pt>
                <c:pt idx="1342">
                  <c:v>48788</c:v>
                </c:pt>
                <c:pt idx="1343">
                  <c:v>48795</c:v>
                </c:pt>
                <c:pt idx="1344">
                  <c:v>48802</c:v>
                </c:pt>
                <c:pt idx="1345">
                  <c:v>48809</c:v>
                </c:pt>
                <c:pt idx="1346">
                  <c:v>48816</c:v>
                </c:pt>
                <c:pt idx="1347">
                  <c:v>48823</c:v>
                </c:pt>
                <c:pt idx="1348">
                  <c:v>48830</c:v>
                </c:pt>
                <c:pt idx="1349">
                  <c:v>48837</c:v>
                </c:pt>
                <c:pt idx="1350">
                  <c:v>48844</c:v>
                </c:pt>
                <c:pt idx="1351">
                  <c:v>48851</c:v>
                </c:pt>
                <c:pt idx="1352">
                  <c:v>48858</c:v>
                </c:pt>
                <c:pt idx="1353">
                  <c:v>48865</c:v>
                </c:pt>
                <c:pt idx="1354">
                  <c:v>48872</c:v>
                </c:pt>
                <c:pt idx="1355">
                  <c:v>48879</c:v>
                </c:pt>
                <c:pt idx="1356">
                  <c:v>48886</c:v>
                </c:pt>
                <c:pt idx="1357">
                  <c:v>48893</c:v>
                </c:pt>
                <c:pt idx="1358">
                  <c:v>48900</c:v>
                </c:pt>
                <c:pt idx="1359">
                  <c:v>48907</c:v>
                </c:pt>
                <c:pt idx="1360">
                  <c:v>48914</c:v>
                </c:pt>
                <c:pt idx="1361">
                  <c:v>48921</c:v>
                </c:pt>
                <c:pt idx="1362">
                  <c:v>48928</c:v>
                </c:pt>
                <c:pt idx="1363">
                  <c:v>48935</c:v>
                </c:pt>
                <c:pt idx="1364">
                  <c:v>48942</c:v>
                </c:pt>
                <c:pt idx="1365">
                  <c:v>48949</c:v>
                </c:pt>
                <c:pt idx="1366">
                  <c:v>48956</c:v>
                </c:pt>
                <c:pt idx="1367">
                  <c:v>48963</c:v>
                </c:pt>
                <c:pt idx="1368">
                  <c:v>48970</c:v>
                </c:pt>
                <c:pt idx="1369">
                  <c:v>48977</c:v>
                </c:pt>
                <c:pt idx="1370">
                  <c:v>48984</c:v>
                </c:pt>
                <c:pt idx="1371">
                  <c:v>48991</c:v>
                </c:pt>
                <c:pt idx="1372">
                  <c:v>48998</c:v>
                </c:pt>
                <c:pt idx="1373">
                  <c:v>49005</c:v>
                </c:pt>
                <c:pt idx="1374">
                  <c:v>49012</c:v>
                </c:pt>
                <c:pt idx="1375">
                  <c:v>49019</c:v>
                </c:pt>
                <c:pt idx="1376">
                  <c:v>49026</c:v>
                </c:pt>
                <c:pt idx="1377">
                  <c:v>49033</c:v>
                </c:pt>
                <c:pt idx="1378">
                  <c:v>49040</c:v>
                </c:pt>
                <c:pt idx="1379">
                  <c:v>49047</c:v>
                </c:pt>
                <c:pt idx="1380">
                  <c:v>49054</c:v>
                </c:pt>
                <c:pt idx="1381">
                  <c:v>49061</c:v>
                </c:pt>
                <c:pt idx="1382">
                  <c:v>49068</c:v>
                </c:pt>
                <c:pt idx="1383">
                  <c:v>49075</c:v>
                </c:pt>
                <c:pt idx="1384">
                  <c:v>49082</c:v>
                </c:pt>
                <c:pt idx="1385">
                  <c:v>49089</c:v>
                </c:pt>
                <c:pt idx="1386">
                  <c:v>49096</c:v>
                </c:pt>
                <c:pt idx="1387">
                  <c:v>49103</c:v>
                </c:pt>
                <c:pt idx="1388">
                  <c:v>49110</c:v>
                </c:pt>
                <c:pt idx="1389">
                  <c:v>49117</c:v>
                </c:pt>
                <c:pt idx="1390">
                  <c:v>49124</c:v>
                </c:pt>
                <c:pt idx="1391">
                  <c:v>49131</c:v>
                </c:pt>
                <c:pt idx="1392">
                  <c:v>49138</c:v>
                </c:pt>
                <c:pt idx="1393">
                  <c:v>49145</c:v>
                </c:pt>
                <c:pt idx="1394">
                  <c:v>49152</c:v>
                </c:pt>
                <c:pt idx="1395">
                  <c:v>49159</c:v>
                </c:pt>
                <c:pt idx="1396">
                  <c:v>49166</c:v>
                </c:pt>
                <c:pt idx="1397">
                  <c:v>49173</c:v>
                </c:pt>
                <c:pt idx="1398">
                  <c:v>49180</c:v>
                </c:pt>
                <c:pt idx="1399">
                  <c:v>49187</c:v>
                </c:pt>
                <c:pt idx="1400">
                  <c:v>49194</c:v>
                </c:pt>
                <c:pt idx="1401">
                  <c:v>49201</c:v>
                </c:pt>
                <c:pt idx="1402">
                  <c:v>49208</c:v>
                </c:pt>
                <c:pt idx="1403">
                  <c:v>49215</c:v>
                </c:pt>
                <c:pt idx="1404">
                  <c:v>49222</c:v>
                </c:pt>
                <c:pt idx="1405">
                  <c:v>49229</c:v>
                </c:pt>
                <c:pt idx="1406">
                  <c:v>49236</c:v>
                </c:pt>
                <c:pt idx="1407">
                  <c:v>49243</c:v>
                </c:pt>
                <c:pt idx="1408">
                  <c:v>49250</c:v>
                </c:pt>
                <c:pt idx="1409">
                  <c:v>49257</c:v>
                </c:pt>
                <c:pt idx="1410">
                  <c:v>49264</c:v>
                </c:pt>
                <c:pt idx="1411">
                  <c:v>49271</c:v>
                </c:pt>
                <c:pt idx="1412">
                  <c:v>49278</c:v>
                </c:pt>
                <c:pt idx="1413">
                  <c:v>49285</c:v>
                </c:pt>
                <c:pt idx="1414">
                  <c:v>49292</c:v>
                </c:pt>
                <c:pt idx="1415">
                  <c:v>49299</c:v>
                </c:pt>
                <c:pt idx="1416">
                  <c:v>49307</c:v>
                </c:pt>
                <c:pt idx="1417">
                  <c:v>49314</c:v>
                </c:pt>
                <c:pt idx="1418">
                  <c:v>49321</c:v>
                </c:pt>
                <c:pt idx="1419">
                  <c:v>49328</c:v>
                </c:pt>
                <c:pt idx="1420">
                  <c:v>49335</c:v>
                </c:pt>
                <c:pt idx="1421">
                  <c:v>49342</c:v>
                </c:pt>
                <c:pt idx="1422">
                  <c:v>49349</c:v>
                </c:pt>
                <c:pt idx="1423">
                  <c:v>49356</c:v>
                </c:pt>
                <c:pt idx="1424">
                  <c:v>49363</c:v>
                </c:pt>
                <c:pt idx="1425">
                  <c:v>49370</c:v>
                </c:pt>
                <c:pt idx="1426">
                  <c:v>49377</c:v>
                </c:pt>
                <c:pt idx="1427">
                  <c:v>49384</c:v>
                </c:pt>
                <c:pt idx="1428">
                  <c:v>49395</c:v>
                </c:pt>
                <c:pt idx="1429">
                  <c:v>49398</c:v>
                </c:pt>
                <c:pt idx="1430">
                  <c:v>49405</c:v>
                </c:pt>
                <c:pt idx="1431">
                  <c:v>49412</c:v>
                </c:pt>
                <c:pt idx="1432">
                  <c:v>49419</c:v>
                </c:pt>
                <c:pt idx="1433">
                  <c:v>49426</c:v>
                </c:pt>
                <c:pt idx="1434">
                  <c:v>49433</c:v>
                </c:pt>
                <c:pt idx="1435">
                  <c:v>49440</c:v>
                </c:pt>
                <c:pt idx="1436">
                  <c:v>49447</c:v>
                </c:pt>
                <c:pt idx="1437">
                  <c:v>49454</c:v>
                </c:pt>
                <c:pt idx="1438">
                  <c:v>49461</c:v>
                </c:pt>
                <c:pt idx="1439">
                  <c:v>49468</c:v>
                </c:pt>
                <c:pt idx="1440">
                  <c:v>49475</c:v>
                </c:pt>
                <c:pt idx="1441">
                  <c:v>49482</c:v>
                </c:pt>
                <c:pt idx="1442">
                  <c:v>49489</c:v>
                </c:pt>
                <c:pt idx="1443">
                  <c:v>49496</c:v>
                </c:pt>
                <c:pt idx="1444">
                  <c:v>49503</c:v>
                </c:pt>
                <c:pt idx="1445">
                  <c:v>49510</c:v>
                </c:pt>
                <c:pt idx="1446">
                  <c:v>49517</c:v>
                </c:pt>
                <c:pt idx="1447">
                  <c:v>49524</c:v>
                </c:pt>
                <c:pt idx="1448">
                  <c:v>49531</c:v>
                </c:pt>
                <c:pt idx="1449">
                  <c:v>49538</c:v>
                </c:pt>
                <c:pt idx="1450">
                  <c:v>49545</c:v>
                </c:pt>
                <c:pt idx="1451">
                  <c:v>49552</c:v>
                </c:pt>
                <c:pt idx="1452">
                  <c:v>49559</c:v>
                </c:pt>
                <c:pt idx="1453">
                  <c:v>49566</c:v>
                </c:pt>
                <c:pt idx="1454">
                  <c:v>49573</c:v>
                </c:pt>
                <c:pt idx="1455">
                  <c:v>49580</c:v>
                </c:pt>
                <c:pt idx="1456">
                  <c:v>49587</c:v>
                </c:pt>
                <c:pt idx="1457">
                  <c:v>49594</c:v>
                </c:pt>
                <c:pt idx="1458">
                  <c:v>49601</c:v>
                </c:pt>
                <c:pt idx="1459">
                  <c:v>49608</c:v>
                </c:pt>
                <c:pt idx="1460">
                  <c:v>49615</c:v>
                </c:pt>
                <c:pt idx="1461">
                  <c:v>49622</c:v>
                </c:pt>
                <c:pt idx="1462">
                  <c:v>49629</c:v>
                </c:pt>
                <c:pt idx="1463">
                  <c:v>49636</c:v>
                </c:pt>
                <c:pt idx="1464">
                  <c:v>49643</c:v>
                </c:pt>
                <c:pt idx="1465">
                  <c:v>49650</c:v>
                </c:pt>
                <c:pt idx="1466">
                  <c:v>49657</c:v>
                </c:pt>
                <c:pt idx="1467">
                  <c:v>49664</c:v>
                </c:pt>
                <c:pt idx="1468">
                  <c:v>49674</c:v>
                </c:pt>
                <c:pt idx="1469">
                  <c:v>49681</c:v>
                </c:pt>
                <c:pt idx="1470">
                  <c:v>49688</c:v>
                </c:pt>
                <c:pt idx="1471">
                  <c:v>49695</c:v>
                </c:pt>
                <c:pt idx="1472">
                  <c:v>49702</c:v>
                </c:pt>
                <c:pt idx="1473">
                  <c:v>49709</c:v>
                </c:pt>
                <c:pt idx="1474">
                  <c:v>49716</c:v>
                </c:pt>
                <c:pt idx="1475">
                  <c:v>49723</c:v>
                </c:pt>
                <c:pt idx="1476">
                  <c:v>49730</c:v>
                </c:pt>
                <c:pt idx="1477">
                  <c:v>49737</c:v>
                </c:pt>
                <c:pt idx="1478">
                  <c:v>49744</c:v>
                </c:pt>
                <c:pt idx="1479">
                  <c:v>49751</c:v>
                </c:pt>
                <c:pt idx="1480">
                  <c:v>49758</c:v>
                </c:pt>
                <c:pt idx="1481">
                  <c:v>49765</c:v>
                </c:pt>
                <c:pt idx="1482">
                  <c:v>49772</c:v>
                </c:pt>
                <c:pt idx="1483">
                  <c:v>49781</c:v>
                </c:pt>
                <c:pt idx="1484">
                  <c:v>49786</c:v>
                </c:pt>
                <c:pt idx="1485">
                  <c:v>49793</c:v>
                </c:pt>
                <c:pt idx="1486">
                  <c:v>49801</c:v>
                </c:pt>
                <c:pt idx="1487">
                  <c:v>49808</c:v>
                </c:pt>
                <c:pt idx="1488">
                  <c:v>49815</c:v>
                </c:pt>
                <c:pt idx="1489">
                  <c:v>49822</c:v>
                </c:pt>
                <c:pt idx="1490">
                  <c:v>49829</c:v>
                </c:pt>
                <c:pt idx="1491">
                  <c:v>49836</c:v>
                </c:pt>
                <c:pt idx="1492">
                  <c:v>49843</c:v>
                </c:pt>
                <c:pt idx="1493">
                  <c:v>49850</c:v>
                </c:pt>
                <c:pt idx="1494">
                  <c:v>49857</c:v>
                </c:pt>
                <c:pt idx="1495">
                  <c:v>49864</c:v>
                </c:pt>
                <c:pt idx="1496">
                  <c:v>49871</c:v>
                </c:pt>
                <c:pt idx="1497">
                  <c:v>49878</c:v>
                </c:pt>
                <c:pt idx="1498">
                  <c:v>49885</c:v>
                </c:pt>
                <c:pt idx="1499">
                  <c:v>49892</c:v>
                </c:pt>
                <c:pt idx="1500">
                  <c:v>49899</c:v>
                </c:pt>
                <c:pt idx="1501">
                  <c:v>49906</c:v>
                </c:pt>
                <c:pt idx="1502">
                  <c:v>49913</c:v>
                </c:pt>
                <c:pt idx="1503">
                  <c:v>49920</c:v>
                </c:pt>
                <c:pt idx="1504">
                  <c:v>49927</c:v>
                </c:pt>
                <c:pt idx="1505">
                  <c:v>49934</c:v>
                </c:pt>
                <c:pt idx="1506">
                  <c:v>49941</c:v>
                </c:pt>
                <c:pt idx="1507">
                  <c:v>49948</c:v>
                </c:pt>
                <c:pt idx="1508">
                  <c:v>49955</c:v>
                </c:pt>
                <c:pt idx="1509">
                  <c:v>49962</c:v>
                </c:pt>
                <c:pt idx="1510">
                  <c:v>49969</c:v>
                </c:pt>
                <c:pt idx="1511">
                  <c:v>49976</c:v>
                </c:pt>
                <c:pt idx="1512">
                  <c:v>49983</c:v>
                </c:pt>
                <c:pt idx="1513">
                  <c:v>49990</c:v>
                </c:pt>
                <c:pt idx="1514">
                  <c:v>49997</c:v>
                </c:pt>
                <c:pt idx="1515">
                  <c:v>50004</c:v>
                </c:pt>
                <c:pt idx="1516">
                  <c:v>50011</c:v>
                </c:pt>
                <c:pt idx="1517">
                  <c:v>50018</c:v>
                </c:pt>
                <c:pt idx="1518">
                  <c:v>50025</c:v>
                </c:pt>
                <c:pt idx="1519">
                  <c:v>50032</c:v>
                </c:pt>
                <c:pt idx="1520">
                  <c:v>50040</c:v>
                </c:pt>
                <c:pt idx="1521">
                  <c:v>50047</c:v>
                </c:pt>
                <c:pt idx="1522">
                  <c:v>50054</c:v>
                </c:pt>
                <c:pt idx="1523">
                  <c:v>50061</c:v>
                </c:pt>
                <c:pt idx="1524">
                  <c:v>50068</c:v>
                </c:pt>
                <c:pt idx="1525">
                  <c:v>50075</c:v>
                </c:pt>
                <c:pt idx="1526">
                  <c:v>50082</c:v>
                </c:pt>
                <c:pt idx="1527">
                  <c:v>50089</c:v>
                </c:pt>
                <c:pt idx="1528">
                  <c:v>50096</c:v>
                </c:pt>
                <c:pt idx="1529">
                  <c:v>50103</c:v>
                </c:pt>
                <c:pt idx="1530">
                  <c:v>50110</c:v>
                </c:pt>
                <c:pt idx="1531">
                  <c:v>50117</c:v>
                </c:pt>
                <c:pt idx="1532">
                  <c:v>50124</c:v>
                </c:pt>
                <c:pt idx="1533">
                  <c:v>50131</c:v>
                </c:pt>
                <c:pt idx="1534">
                  <c:v>50139</c:v>
                </c:pt>
                <c:pt idx="1535">
                  <c:v>50146</c:v>
                </c:pt>
                <c:pt idx="1536">
                  <c:v>50153</c:v>
                </c:pt>
                <c:pt idx="1537">
                  <c:v>50160</c:v>
                </c:pt>
                <c:pt idx="1538">
                  <c:v>50167</c:v>
                </c:pt>
                <c:pt idx="1539">
                  <c:v>50174</c:v>
                </c:pt>
                <c:pt idx="1540">
                  <c:v>50181</c:v>
                </c:pt>
                <c:pt idx="1541">
                  <c:v>50188</c:v>
                </c:pt>
                <c:pt idx="1542">
                  <c:v>50195</c:v>
                </c:pt>
                <c:pt idx="1543">
                  <c:v>50202</c:v>
                </c:pt>
                <c:pt idx="1544">
                  <c:v>50209</c:v>
                </c:pt>
                <c:pt idx="1545">
                  <c:v>50216</c:v>
                </c:pt>
                <c:pt idx="1546">
                  <c:v>50223</c:v>
                </c:pt>
                <c:pt idx="1547">
                  <c:v>50230</c:v>
                </c:pt>
                <c:pt idx="1548">
                  <c:v>50237</c:v>
                </c:pt>
                <c:pt idx="1549">
                  <c:v>50244</c:v>
                </c:pt>
                <c:pt idx="1550">
                  <c:v>50251</c:v>
                </c:pt>
                <c:pt idx="1551">
                  <c:v>50258</c:v>
                </c:pt>
                <c:pt idx="1552">
                  <c:v>50265</c:v>
                </c:pt>
                <c:pt idx="1553">
                  <c:v>50272</c:v>
                </c:pt>
                <c:pt idx="1554">
                  <c:v>50279</c:v>
                </c:pt>
                <c:pt idx="1555">
                  <c:v>50286</c:v>
                </c:pt>
                <c:pt idx="1556">
                  <c:v>50293</c:v>
                </c:pt>
                <c:pt idx="1557">
                  <c:v>50300</c:v>
                </c:pt>
                <c:pt idx="1558">
                  <c:v>50307</c:v>
                </c:pt>
                <c:pt idx="1559">
                  <c:v>50314</c:v>
                </c:pt>
                <c:pt idx="1560">
                  <c:v>50321</c:v>
                </c:pt>
                <c:pt idx="1561">
                  <c:v>50328</c:v>
                </c:pt>
                <c:pt idx="1562">
                  <c:v>50335</c:v>
                </c:pt>
                <c:pt idx="1563">
                  <c:v>50342</c:v>
                </c:pt>
                <c:pt idx="1564">
                  <c:v>50349</c:v>
                </c:pt>
                <c:pt idx="1565">
                  <c:v>50356</c:v>
                </c:pt>
                <c:pt idx="1566">
                  <c:v>50363</c:v>
                </c:pt>
                <c:pt idx="1567">
                  <c:v>50370</c:v>
                </c:pt>
                <c:pt idx="1568">
                  <c:v>50377</c:v>
                </c:pt>
                <c:pt idx="1569">
                  <c:v>50384</c:v>
                </c:pt>
                <c:pt idx="1570">
                  <c:v>50391</c:v>
                </c:pt>
                <c:pt idx="1571">
                  <c:v>50398</c:v>
                </c:pt>
                <c:pt idx="1572">
                  <c:v>50405</c:v>
                </c:pt>
                <c:pt idx="1573">
                  <c:v>50412</c:v>
                </c:pt>
                <c:pt idx="1574">
                  <c:v>50419</c:v>
                </c:pt>
                <c:pt idx="1575">
                  <c:v>50426</c:v>
                </c:pt>
                <c:pt idx="1576">
                  <c:v>50433</c:v>
                </c:pt>
                <c:pt idx="1577">
                  <c:v>50440</c:v>
                </c:pt>
                <c:pt idx="1578">
                  <c:v>50447</c:v>
                </c:pt>
                <c:pt idx="1579">
                  <c:v>50454</c:v>
                </c:pt>
                <c:pt idx="1580">
                  <c:v>50461</c:v>
                </c:pt>
                <c:pt idx="1581">
                  <c:v>50468</c:v>
                </c:pt>
                <c:pt idx="1582">
                  <c:v>50475</c:v>
                </c:pt>
                <c:pt idx="1583">
                  <c:v>50482</c:v>
                </c:pt>
                <c:pt idx="1584">
                  <c:v>50489</c:v>
                </c:pt>
                <c:pt idx="1585">
                  <c:v>50496</c:v>
                </c:pt>
                <c:pt idx="1586">
                  <c:v>50503</c:v>
                </c:pt>
                <c:pt idx="1587">
                  <c:v>50510</c:v>
                </c:pt>
                <c:pt idx="1588">
                  <c:v>50517</c:v>
                </c:pt>
                <c:pt idx="1589">
                  <c:v>50524</c:v>
                </c:pt>
                <c:pt idx="1590">
                  <c:v>50531</c:v>
                </c:pt>
                <c:pt idx="1591">
                  <c:v>50538</c:v>
                </c:pt>
                <c:pt idx="1592">
                  <c:v>50545</c:v>
                </c:pt>
                <c:pt idx="1593">
                  <c:v>50552</c:v>
                </c:pt>
                <c:pt idx="1594">
                  <c:v>50559</c:v>
                </c:pt>
                <c:pt idx="1595">
                  <c:v>50566</c:v>
                </c:pt>
                <c:pt idx="1596">
                  <c:v>50573</c:v>
                </c:pt>
                <c:pt idx="1597">
                  <c:v>50580</c:v>
                </c:pt>
                <c:pt idx="1598">
                  <c:v>50587</c:v>
                </c:pt>
                <c:pt idx="1599">
                  <c:v>50594</c:v>
                </c:pt>
                <c:pt idx="1600">
                  <c:v>50601</c:v>
                </c:pt>
                <c:pt idx="1601">
                  <c:v>50608</c:v>
                </c:pt>
                <c:pt idx="1602">
                  <c:v>50615</c:v>
                </c:pt>
                <c:pt idx="1603">
                  <c:v>50622</c:v>
                </c:pt>
                <c:pt idx="1604">
                  <c:v>50629</c:v>
                </c:pt>
                <c:pt idx="1605">
                  <c:v>50636</c:v>
                </c:pt>
                <c:pt idx="1606">
                  <c:v>50643</c:v>
                </c:pt>
                <c:pt idx="1607">
                  <c:v>50650</c:v>
                </c:pt>
                <c:pt idx="1608">
                  <c:v>50657</c:v>
                </c:pt>
                <c:pt idx="1609">
                  <c:v>50664</c:v>
                </c:pt>
                <c:pt idx="1610">
                  <c:v>50671</c:v>
                </c:pt>
                <c:pt idx="1611">
                  <c:v>50678</c:v>
                </c:pt>
                <c:pt idx="1612">
                  <c:v>50685</c:v>
                </c:pt>
                <c:pt idx="1613">
                  <c:v>50692</c:v>
                </c:pt>
                <c:pt idx="1614">
                  <c:v>50699</c:v>
                </c:pt>
                <c:pt idx="1615">
                  <c:v>50706</c:v>
                </c:pt>
                <c:pt idx="1616">
                  <c:v>50713</c:v>
                </c:pt>
                <c:pt idx="1617">
                  <c:v>50720</c:v>
                </c:pt>
                <c:pt idx="1618">
                  <c:v>50727</c:v>
                </c:pt>
                <c:pt idx="1619">
                  <c:v>50734</c:v>
                </c:pt>
                <c:pt idx="1620">
                  <c:v>50741</c:v>
                </c:pt>
                <c:pt idx="1621">
                  <c:v>50748</c:v>
                </c:pt>
                <c:pt idx="1622">
                  <c:v>50755</c:v>
                </c:pt>
                <c:pt idx="1623">
                  <c:v>50762</c:v>
                </c:pt>
                <c:pt idx="1624">
                  <c:v>50769</c:v>
                </c:pt>
                <c:pt idx="1625">
                  <c:v>50776</c:v>
                </c:pt>
                <c:pt idx="1626">
                  <c:v>50783</c:v>
                </c:pt>
                <c:pt idx="1627">
                  <c:v>50790</c:v>
                </c:pt>
                <c:pt idx="1628">
                  <c:v>50797</c:v>
                </c:pt>
                <c:pt idx="1629">
                  <c:v>50804</c:v>
                </c:pt>
                <c:pt idx="1630">
                  <c:v>50811</c:v>
                </c:pt>
                <c:pt idx="1631">
                  <c:v>50818</c:v>
                </c:pt>
                <c:pt idx="1632">
                  <c:v>50825</c:v>
                </c:pt>
                <c:pt idx="1633">
                  <c:v>50832</c:v>
                </c:pt>
                <c:pt idx="1634">
                  <c:v>50839</c:v>
                </c:pt>
                <c:pt idx="1635">
                  <c:v>50846</c:v>
                </c:pt>
                <c:pt idx="1636">
                  <c:v>50853</c:v>
                </c:pt>
                <c:pt idx="1637">
                  <c:v>50860</c:v>
                </c:pt>
                <c:pt idx="1638">
                  <c:v>50867</c:v>
                </c:pt>
                <c:pt idx="1639">
                  <c:v>50874</c:v>
                </c:pt>
                <c:pt idx="1640">
                  <c:v>50881</c:v>
                </c:pt>
                <c:pt idx="1641">
                  <c:v>50888</c:v>
                </c:pt>
                <c:pt idx="1642">
                  <c:v>50895</c:v>
                </c:pt>
                <c:pt idx="1643">
                  <c:v>50902</c:v>
                </c:pt>
                <c:pt idx="1644">
                  <c:v>50909</c:v>
                </c:pt>
                <c:pt idx="1645">
                  <c:v>50916</c:v>
                </c:pt>
                <c:pt idx="1646">
                  <c:v>50923</c:v>
                </c:pt>
                <c:pt idx="1647">
                  <c:v>50930</c:v>
                </c:pt>
                <c:pt idx="1648">
                  <c:v>50937</c:v>
                </c:pt>
                <c:pt idx="1649">
                  <c:v>50944</c:v>
                </c:pt>
                <c:pt idx="1650">
                  <c:v>50951</c:v>
                </c:pt>
                <c:pt idx="1651">
                  <c:v>50958</c:v>
                </c:pt>
                <c:pt idx="1652">
                  <c:v>50965</c:v>
                </c:pt>
                <c:pt idx="1653">
                  <c:v>50972</c:v>
                </c:pt>
                <c:pt idx="1654">
                  <c:v>50979</c:v>
                </c:pt>
                <c:pt idx="1655">
                  <c:v>50986</c:v>
                </c:pt>
                <c:pt idx="1656">
                  <c:v>50993</c:v>
                </c:pt>
                <c:pt idx="1657">
                  <c:v>51000</c:v>
                </c:pt>
                <c:pt idx="1658">
                  <c:v>51007</c:v>
                </c:pt>
                <c:pt idx="1659">
                  <c:v>51014</c:v>
                </c:pt>
                <c:pt idx="1660">
                  <c:v>51021</c:v>
                </c:pt>
                <c:pt idx="1661">
                  <c:v>51028</c:v>
                </c:pt>
                <c:pt idx="1662">
                  <c:v>51035</c:v>
                </c:pt>
                <c:pt idx="1663">
                  <c:v>51042</c:v>
                </c:pt>
                <c:pt idx="1664">
                  <c:v>51049</c:v>
                </c:pt>
                <c:pt idx="1665">
                  <c:v>51056</c:v>
                </c:pt>
                <c:pt idx="1666">
                  <c:v>51063</c:v>
                </c:pt>
                <c:pt idx="1667">
                  <c:v>51070</c:v>
                </c:pt>
                <c:pt idx="1668">
                  <c:v>51077</c:v>
                </c:pt>
                <c:pt idx="1669">
                  <c:v>51084</c:v>
                </c:pt>
                <c:pt idx="1670">
                  <c:v>51091</c:v>
                </c:pt>
                <c:pt idx="1671">
                  <c:v>51098</c:v>
                </c:pt>
                <c:pt idx="1672">
                  <c:v>51105</c:v>
                </c:pt>
                <c:pt idx="1673">
                  <c:v>51112</c:v>
                </c:pt>
                <c:pt idx="1674">
                  <c:v>51119</c:v>
                </c:pt>
                <c:pt idx="1675">
                  <c:v>51126</c:v>
                </c:pt>
                <c:pt idx="1676">
                  <c:v>51133</c:v>
                </c:pt>
                <c:pt idx="1677">
                  <c:v>51140</c:v>
                </c:pt>
                <c:pt idx="1678">
                  <c:v>51147</c:v>
                </c:pt>
                <c:pt idx="1679">
                  <c:v>51154</c:v>
                </c:pt>
                <c:pt idx="1680">
                  <c:v>51161</c:v>
                </c:pt>
                <c:pt idx="1681">
                  <c:v>51168</c:v>
                </c:pt>
                <c:pt idx="1682">
                  <c:v>51175</c:v>
                </c:pt>
                <c:pt idx="1683">
                  <c:v>51182</c:v>
                </c:pt>
                <c:pt idx="1684">
                  <c:v>51189</c:v>
                </c:pt>
                <c:pt idx="1685">
                  <c:v>51196</c:v>
                </c:pt>
                <c:pt idx="1686">
                  <c:v>51203</c:v>
                </c:pt>
                <c:pt idx="1687">
                  <c:v>51210</c:v>
                </c:pt>
                <c:pt idx="1688">
                  <c:v>51217</c:v>
                </c:pt>
                <c:pt idx="1689">
                  <c:v>51224</c:v>
                </c:pt>
                <c:pt idx="1690">
                  <c:v>51231</c:v>
                </c:pt>
                <c:pt idx="1691">
                  <c:v>51238</c:v>
                </c:pt>
                <c:pt idx="1692">
                  <c:v>51245</c:v>
                </c:pt>
                <c:pt idx="1693">
                  <c:v>51252</c:v>
                </c:pt>
                <c:pt idx="1694">
                  <c:v>51260</c:v>
                </c:pt>
                <c:pt idx="1695">
                  <c:v>51267</c:v>
                </c:pt>
                <c:pt idx="1696">
                  <c:v>51274</c:v>
                </c:pt>
                <c:pt idx="1697">
                  <c:v>51281</c:v>
                </c:pt>
                <c:pt idx="1698">
                  <c:v>51288</c:v>
                </c:pt>
                <c:pt idx="1699">
                  <c:v>51295</c:v>
                </c:pt>
                <c:pt idx="1700">
                  <c:v>51302</c:v>
                </c:pt>
                <c:pt idx="1701">
                  <c:v>51309</c:v>
                </c:pt>
                <c:pt idx="1702">
                  <c:v>51316</c:v>
                </c:pt>
                <c:pt idx="1703">
                  <c:v>51323</c:v>
                </c:pt>
                <c:pt idx="1704">
                  <c:v>51330</c:v>
                </c:pt>
                <c:pt idx="1705">
                  <c:v>51337</c:v>
                </c:pt>
                <c:pt idx="1706">
                  <c:v>51344</c:v>
                </c:pt>
                <c:pt idx="1707">
                  <c:v>51351</c:v>
                </c:pt>
                <c:pt idx="1708">
                  <c:v>51358</c:v>
                </c:pt>
                <c:pt idx="1709">
                  <c:v>51365</c:v>
                </c:pt>
                <c:pt idx="1710">
                  <c:v>51372</c:v>
                </c:pt>
                <c:pt idx="1711">
                  <c:v>51379</c:v>
                </c:pt>
                <c:pt idx="1712">
                  <c:v>51386</c:v>
                </c:pt>
                <c:pt idx="1713">
                  <c:v>51393</c:v>
                </c:pt>
                <c:pt idx="1714">
                  <c:v>51400</c:v>
                </c:pt>
                <c:pt idx="1715">
                  <c:v>51407</c:v>
                </c:pt>
                <c:pt idx="1716">
                  <c:v>51414</c:v>
                </c:pt>
                <c:pt idx="1717">
                  <c:v>51421</c:v>
                </c:pt>
                <c:pt idx="1718">
                  <c:v>51428</c:v>
                </c:pt>
                <c:pt idx="1719">
                  <c:v>51435</c:v>
                </c:pt>
                <c:pt idx="1720">
                  <c:v>51442</c:v>
                </c:pt>
                <c:pt idx="1721">
                  <c:v>51449</c:v>
                </c:pt>
                <c:pt idx="1722">
                  <c:v>51456</c:v>
                </c:pt>
                <c:pt idx="1723">
                  <c:v>51463</c:v>
                </c:pt>
                <c:pt idx="1724">
                  <c:v>51470</c:v>
                </c:pt>
                <c:pt idx="1725">
                  <c:v>51477</c:v>
                </c:pt>
                <c:pt idx="1726">
                  <c:v>51484</c:v>
                </c:pt>
                <c:pt idx="1727">
                  <c:v>51491</c:v>
                </c:pt>
                <c:pt idx="1728">
                  <c:v>51501</c:v>
                </c:pt>
                <c:pt idx="1729">
                  <c:v>51508</c:v>
                </c:pt>
                <c:pt idx="1730">
                  <c:v>51515</c:v>
                </c:pt>
                <c:pt idx="1731">
                  <c:v>51522</c:v>
                </c:pt>
                <c:pt idx="1732">
                  <c:v>51529</c:v>
                </c:pt>
                <c:pt idx="1733">
                  <c:v>51536</c:v>
                </c:pt>
                <c:pt idx="1734">
                  <c:v>51543</c:v>
                </c:pt>
                <c:pt idx="1735">
                  <c:v>51550</c:v>
                </c:pt>
                <c:pt idx="1736">
                  <c:v>51557</c:v>
                </c:pt>
                <c:pt idx="1737">
                  <c:v>51564</c:v>
                </c:pt>
                <c:pt idx="1738">
                  <c:v>51571</c:v>
                </c:pt>
                <c:pt idx="1739">
                  <c:v>51578</c:v>
                </c:pt>
                <c:pt idx="1740">
                  <c:v>51585</c:v>
                </c:pt>
                <c:pt idx="1741">
                  <c:v>51592</c:v>
                </c:pt>
                <c:pt idx="1742">
                  <c:v>51599</c:v>
                </c:pt>
                <c:pt idx="1743">
                  <c:v>51606</c:v>
                </c:pt>
                <c:pt idx="1744">
                  <c:v>51615</c:v>
                </c:pt>
                <c:pt idx="1745">
                  <c:v>51620</c:v>
                </c:pt>
                <c:pt idx="1746">
                  <c:v>51627</c:v>
                </c:pt>
                <c:pt idx="1747">
                  <c:v>51634</c:v>
                </c:pt>
                <c:pt idx="1748">
                  <c:v>51641</c:v>
                </c:pt>
                <c:pt idx="1749">
                  <c:v>51648</c:v>
                </c:pt>
                <c:pt idx="1750">
                  <c:v>51655</c:v>
                </c:pt>
                <c:pt idx="1751">
                  <c:v>51662</c:v>
                </c:pt>
                <c:pt idx="1752">
                  <c:v>51669</c:v>
                </c:pt>
                <c:pt idx="1753">
                  <c:v>51676</c:v>
                </c:pt>
                <c:pt idx="1754">
                  <c:v>51683</c:v>
                </c:pt>
                <c:pt idx="1755">
                  <c:v>51690</c:v>
                </c:pt>
                <c:pt idx="1756">
                  <c:v>51697</c:v>
                </c:pt>
                <c:pt idx="1757">
                  <c:v>51704</c:v>
                </c:pt>
                <c:pt idx="1758">
                  <c:v>51711</c:v>
                </c:pt>
                <c:pt idx="1759">
                  <c:v>51718</c:v>
                </c:pt>
                <c:pt idx="1760">
                  <c:v>51725</c:v>
                </c:pt>
                <c:pt idx="1761">
                  <c:v>51732</c:v>
                </c:pt>
                <c:pt idx="1762">
                  <c:v>51739</c:v>
                </c:pt>
                <c:pt idx="1763">
                  <c:v>51746</c:v>
                </c:pt>
                <c:pt idx="1764">
                  <c:v>51753</c:v>
                </c:pt>
                <c:pt idx="1765">
                  <c:v>51760</c:v>
                </c:pt>
                <c:pt idx="1766">
                  <c:v>51767</c:v>
                </c:pt>
                <c:pt idx="1767">
                  <c:v>51774</c:v>
                </c:pt>
                <c:pt idx="1768">
                  <c:v>51781</c:v>
                </c:pt>
                <c:pt idx="1769">
                  <c:v>51788</c:v>
                </c:pt>
                <c:pt idx="1770">
                  <c:v>51795</c:v>
                </c:pt>
                <c:pt idx="1771">
                  <c:v>51802</c:v>
                </c:pt>
                <c:pt idx="1772">
                  <c:v>51809</c:v>
                </c:pt>
                <c:pt idx="1773">
                  <c:v>51816</c:v>
                </c:pt>
                <c:pt idx="1774">
                  <c:v>51823</c:v>
                </c:pt>
                <c:pt idx="1775">
                  <c:v>51830</c:v>
                </c:pt>
                <c:pt idx="1776">
                  <c:v>51837</c:v>
                </c:pt>
                <c:pt idx="1777">
                  <c:v>51844</c:v>
                </c:pt>
                <c:pt idx="1778">
                  <c:v>51851</c:v>
                </c:pt>
                <c:pt idx="1779">
                  <c:v>51858</c:v>
                </c:pt>
                <c:pt idx="1780">
                  <c:v>51866</c:v>
                </c:pt>
                <c:pt idx="1781">
                  <c:v>51873</c:v>
                </c:pt>
                <c:pt idx="1782">
                  <c:v>51880</c:v>
                </c:pt>
                <c:pt idx="1783">
                  <c:v>51887</c:v>
                </c:pt>
                <c:pt idx="1784">
                  <c:v>51894</c:v>
                </c:pt>
                <c:pt idx="1785">
                  <c:v>51901</c:v>
                </c:pt>
                <c:pt idx="1786">
                  <c:v>51908</c:v>
                </c:pt>
                <c:pt idx="1787">
                  <c:v>51915</c:v>
                </c:pt>
                <c:pt idx="1788">
                  <c:v>51922</c:v>
                </c:pt>
                <c:pt idx="1789">
                  <c:v>51929</c:v>
                </c:pt>
                <c:pt idx="1790">
                  <c:v>51936</c:v>
                </c:pt>
                <c:pt idx="1791">
                  <c:v>51943</c:v>
                </c:pt>
                <c:pt idx="1792">
                  <c:v>51950</c:v>
                </c:pt>
                <c:pt idx="1793">
                  <c:v>51957</c:v>
                </c:pt>
                <c:pt idx="1794">
                  <c:v>51966</c:v>
                </c:pt>
                <c:pt idx="1795">
                  <c:v>51973</c:v>
                </c:pt>
                <c:pt idx="1796">
                  <c:v>51980</c:v>
                </c:pt>
                <c:pt idx="1797">
                  <c:v>51988</c:v>
                </c:pt>
                <c:pt idx="1798">
                  <c:v>51994</c:v>
                </c:pt>
                <c:pt idx="1799">
                  <c:v>52001</c:v>
                </c:pt>
                <c:pt idx="1800">
                  <c:v>52008</c:v>
                </c:pt>
                <c:pt idx="1801">
                  <c:v>52015</c:v>
                </c:pt>
                <c:pt idx="1802">
                  <c:v>52022</c:v>
                </c:pt>
                <c:pt idx="1803">
                  <c:v>52029</c:v>
                </c:pt>
                <c:pt idx="1804">
                  <c:v>52036</c:v>
                </c:pt>
                <c:pt idx="1805">
                  <c:v>52043</c:v>
                </c:pt>
                <c:pt idx="1806">
                  <c:v>52050</c:v>
                </c:pt>
                <c:pt idx="1807">
                  <c:v>52057</c:v>
                </c:pt>
                <c:pt idx="1808">
                  <c:v>52064</c:v>
                </c:pt>
                <c:pt idx="1809">
                  <c:v>52071</c:v>
                </c:pt>
                <c:pt idx="1810">
                  <c:v>52078</c:v>
                </c:pt>
                <c:pt idx="1811">
                  <c:v>52085</c:v>
                </c:pt>
                <c:pt idx="1812">
                  <c:v>52092</c:v>
                </c:pt>
                <c:pt idx="1813">
                  <c:v>52099</c:v>
                </c:pt>
                <c:pt idx="1814">
                  <c:v>52106</c:v>
                </c:pt>
                <c:pt idx="1815">
                  <c:v>52113</c:v>
                </c:pt>
                <c:pt idx="1816">
                  <c:v>52120</c:v>
                </c:pt>
                <c:pt idx="1817">
                  <c:v>52127</c:v>
                </c:pt>
                <c:pt idx="1818">
                  <c:v>52134</c:v>
                </c:pt>
                <c:pt idx="1819">
                  <c:v>52141</c:v>
                </c:pt>
                <c:pt idx="1820">
                  <c:v>52148</c:v>
                </c:pt>
                <c:pt idx="1821">
                  <c:v>52155</c:v>
                </c:pt>
                <c:pt idx="1822">
                  <c:v>52162</c:v>
                </c:pt>
                <c:pt idx="1823">
                  <c:v>52169</c:v>
                </c:pt>
                <c:pt idx="1824">
                  <c:v>52176</c:v>
                </c:pt>
                <c:pt idx="1825">
                  <c:v>52183</c:v>
                </c:pt>
                <c:pt idx="1826">
                  <c:v>52190</c:v>
                </c:pt>
                <c:pt idx="1827">
                  <c:v>52197</c:v>
                </c:pt>
                <c:pt idx="1828">
                  <c:v>52204</c:v>
                </c:pt>
                <c:pt idx="1829">
                  <c:v>52211</c:v>
                </c:pt>
                <c:pt idx="1830">
                  <c:v>52218</c:v>
                </c:pt>
                <c:pt idx="1831">
                  <c:v>52229</c:v>
                </c:pt>
                <c:pt idx="1832">
                  <c:v>52233</c:v>
                </c:pt>
                <c:pt idx="1833">
                  <c:v>52239</c:v>
                </c:pt>
                <c:pt idx="1834">
                  <c:v>52246</c:v>
                </c:pt>
                <c:pt idx="1835">
                  <c:v>52253</c:v>
                </c:pt>
                <c:pt idx="1836">
                  <c:v>52260</c:v>
                </c:pt>
                <c:pt idx="1837">
                  <c:v>52267</c:v>
                </c:pt>
                <c:pt idx="1838">
                  <c:v>52274</c:v>
                </c:pt>
                <c:pt idx="1839">
                  <c:v>52281</c:v>
                </c:pt>
                <c:pt idx="1840">
                  <c:v>52288</c:v>
                </c:pt>
                <c:pt idx="1841">
                  <c:v>52295</c:v>
                </c:pt>
                <c:pt idx="1842">
                  <c:v>52302</c:v>
                </c:pt>
                <c:pt idx="1843">
                  <c:v>52309</c:v>
                </c:pt>
                <c:pt idx="1844">
                  <c:v>52316</c:v>
                </c:pt>
                <c:pt idx="1845">
                  <c:v>52323</c:v>
                </c:pt>
                <c:pt idx="1846">
                  <c:v>52330</c:v>
                </c:pt>
                <c:pt idx="1847">
                  <c:v>52337</c:v>
                </c:pt>
                <c:pt idx="1848">
                  <c:v>52344</c:v>
                </c:pt>
                <c:pt idx="1849">
                  <c:v>52351</c:v>
                </c:pt>
                <c:pt idx="1850">
                  <c:v>52358</c:v>
                </c:pt>
                <c:pt idx="1851">
                  <c:v>52365</c:v>
                </c:pt>
                <c:pt idx="1852">
                  <c:v>52372</c:v>
                </c:pt>
                <c:pt idx="1853">
                  <c:v>52379</c:v>
                </c:pt>
                <c:pt idx="1854">
                  <c:v>52386</c:v>
                </c:pt>
                <c:pt idx="1855">
                  <c:v>52393</c:v>
                </c:pt>
                <c:pt idx="1856">
                  <c:v>52400</c:v>
                </c:pt>
                <c:pt idx="1857">
                  <c:v>52407</c:v>
                </c:pt>
                <c:pt idx="1858">
                  <c:v>52414</c:v>
                </c:pt>
                <c:pt idx="1859">
                  <c:v>52421</c:v>
                </c:pt>
                <c:pt idx="1860">
                  <c:v>52428</c:v>
                </c:pt>
                <c:pt idx="1861">
                  <c:v>52435</c:v>
                </c:pt>
                <c:pt idx="1862">
                  <c:v>52442</c:v>
                </c:pt>
                <c:pt idx="1863">
                  <c:v>52449</c:v>
                </c:pt>
                <c:pt idx="1864">
                  <c:v>52456</c:v>
                </c:pt>
                <c:pt idx="1865">
                  <c:v>52463</c:v>
                </c:pt>
                <c:pt idx="1866">
                  <c:v>52470</c:v>
                </c:pt>
                <c:pt idx="1867">
                  <c:v>52477</c:v>
                </c:pt>
                <c:pt idx="1868">
                  <c:v>52484</c:v>
                </c:pt>
                <c:pt idx="1869">
                  <c:v>52491</c:v>
                </c:pt>
                <c:pt idx="1870">
                  <c:v>52498</c:v>
                </c:pt>
                <c:pt idx="1871">
                  <c:v>52505</c:v>
                </c:pt>
                <c:pt idx="1872">
                  <c:v>52512</c:v>
                </c:pt>
                <c:pt idx="1873">
                  <c:v>52519</c:v>
                </c:pt>
                <c:pt idx="1874">
                  <c:v>52526</c:v>
                </c:pt>
                <c:pt idx="1875">
                  <c:v>52533</c:v>
                </c:pt>
                <c:pt idx="1876">
                  <c:v>52540</c:v>
                </c:pt>
                <c:pt idx="1877">
                  <c:v>52547</c:v>
                </c:pt>
                <c:pt idx="1878">
                  <c:v>52554</c:v>
                </c:pt>
                <c:pt idx="1879">
                  <c:v>52561</c:v>
                </c:pt>
                <c:pt idx="1880">
                  <c:v>52568</c:v>
                </c:pt>
                <c:pt idx="1881">
                  <c:v>52575</c:v>
                </c:pt>
                <c:pt idx="1882">
                  <c:v>52582</c:v>
                </c:pt>
                <c:pt idx="1883">
                  <c:v>52589</c:v>
                </c:pt>
                <c:pt idx="1884">
                  <c:v>52596</c:v>
                </c:pt>
                <c:pt idx="1885">
                  <c:v>52603</c:v>
                </c:pt>
                <c:pt idx="1886">
                  <c:v>52610</c:v>
                </c:pt>
                <c:pt idx="1887">
                  <c:v>52617</c:v>
                </c:pt>
                <c:pt idx="1888">
                  <c:v>52624</c:v>
                </c:pt>
                <c:pt idx="1889">
                  <c:v>52631</c:v>
                </c:pt>
                <c:pt idx="1890">
                  <c:v>52638</c:v>
                </c:pt>
                <c:pt idx="1891">
                  <c:v>52645</c:v>
                </c:pt>
                <c:pt idx="1892">
                  <c:v>52652</c:v>
                </c:pt>
                <c:pt idx="1893">
                  <c:v>52659</c:v>
                </c:pt>
                <c:pt idx="1894">
                  <c:v>52666</c:v>
                </c:pt>
                <c:pt idx="1895">
                  <c:v>52673</c:v>
                </c:pt>
                <c:pt idx="1896">
                  <c:v>52680</c:v>
                </c:pt>
                <c:pt idx="1897">
                  <c:v>52687</c:v>
                </c:pt>
                <c:pt idx="1898">
                  <c:v>52694</c:v>
                </c:pt>
                <c:pt idx="1899">
                  <c:v>52701</c:v>
                </c:pt>
                <c:pt idx="1900">
                  <c:v>52708</c:v>
                </c:pt>
                <c:pt idx="1901">
                  <c:v>52715</c:v>
                </c:pt>
                <c:pt idx="1902">
                  <c:v>52722</c:v>
                </c:pt>
                <c:pt idx="1903">
                  <c:v>52729</c:v>
                </c:pt>
                <c:pt idx="1904">
                  <c:v>52736</c:v>
                </c:pt>
                <c:pt idx="1905">
                  <c:v>52743</c:v>
                </c:pt>
                <c:pt idx="1906">
                  <c:v>52750</c:v>
                </c:pt>
                <c:pt idx="1907">
                  <c:v>52757</c:v>
                </c:pt>
                <c:pt idx="1908">
                  <c:v>52764</c:v>
                </c:pt>
                <c:pt idx="1909">
                  <c:v>52771</c:v>
                </c:pt>
                <c:pt idx="1910">
                  <c:v>52778</c:v>
                </c:pt>
                <c:pt idx="1911">
                  <c:v>52785</c:v>
                </c:pt>
                <c:pt idx="1912">
                  <c:v>52792</c:v>
                </c:pt>
                <c:pt idx="1913">
                  <c:v>52799</c:v>
                </c:pt>
                <c:pt idx="1914">
                  <c:v>52806</c:v>
                </c:pt>
                <c:pt idx="1915">
                  <c:v>52813</c:v>
                </c:pt>
                <c:pt idx="1916">
                  <c:v>52820</c:v>
                </c:pt>
                <c:pt idx="1917">
                  <c:v>52827</c:v>
                </c:pt>
                <c:pt idx="1918">
                  <c:v>52834</c:v>
                </c:pt>
                <c:pt idx="1919">
                  <c:v>52841</c:v>
                </c:pt>
                <c:pt idx="1920">
                  <c:v>52848</c:v>
                </c:pt>
                <c:pt idx="1921">
                  <c:v>52855</c:v>
                </c:pt>
                <c:pt idx="1922">
                  <c:v>52862</c:v>
                </c:pt>
                <c:pt idx="1923">
                  <c:v>52869</c:v>
                </c:pt>
                <c:pt idx="1924">
                  <c:v>52876</c:v>
                </c:pt>
                <c:pt idx="1925">
                  <c:v>52883</c:v>
                </c:pt>
                <c:pt idx="1926">
                  <c:v>52890</c:v>
                </c:pt>
                <c:pt idx="1927">
                  <c:v>52897</c:v>
                </c:pt>
                <c:pt idx="1928">
                  <c:v>52904</c:v>
                </c:pt>
                <c:pt idx="1929">
                  <c:v>52911</c:v>
                </c:pt>
                <c:pt idx="1930">
                  <c:v>52918</c:v>
                </c:pt>
                <c:pt idx="1931">
                  <c:v>52925</c:v>
                </c:pt>
                <c:pt idx="1932">
                  <c:v>52932</c:v>
                </c:pt>
                <c:pt idx="1933">
                  <c:v>52939</c:v>
                </c:pt>
                <c:pt idx="1934">
                  <c:v>52946</c:v>
                </c:pt>
                <c:pt idx="1935">
                  <c:v>52953</c:v>
                </c:pt>
                <c:pt idx="1936">
                  <c:v>52960</c:v>
                </c:pt>
                <c:pt idx="1937">
                  <c:v>52967</c:v>
                </c:pt>
                <c:pt idx="1938">
                  <c:v>52974</c:v>
                </c:pt>
                <c:pt idx="1939">
                  <c:v>52981</c:v>
                </c:pt>
                <c:pt idx="1940">
                  <c:v>52988</c:v>
                </c:pt>
                <c:pt idx="1941">
                  <c:v>52995</c:v>
                </c:pt>
                <c:pt idx="1942">
                  <c:v>53002</c:v>
                </c:pt>
                <c:pt idx="1943">
                  <c:v>53009</c:v>
                </c:pt>
                <c:pt idx="1944">
                  <c:v>53016</c:v>
                </c:pt>
                <c:pt idx="1945">
                  <c:v>53023</c:v>
                </c:pt>
                <c:pt idx="1946">
                  <c:v>53030</c:v>
                </c:pt>
                <c:pt idx="1947">
                  <c:v>53037</c:v>
                </c:pt>
                <c:pt idx="1948">
                  <c:v>53044</c:v>
                </c:pt>
                <c:pt idx="1949">
                  <c:v>53051</c:v>
                </c:pt>
                <c:pt idx="1950">
                  <c:v>53058</c:v>
                </c:pt>
                <c:pt idx="1951">
                  <c:v>53065</c:v>
                </c:pt>
                <c:pt idx="1952">
                  <c:v>53072</c:v>
                </c:pt>
                <c:pt idx="1953">
                  <c:v>53079</c:v>
                </c:pt>
                <c:pt idx="1954">
                  <c:v>53086</c:v>
                </c:pt>
                <c:pt idx="1955">
                  <c:v>53093</c:v>
                </c:pt>
                <c:pt idx="1956">
                  <c:v>53100</c:v>
                </c:pt>
                <c:pt idx="1957">
                  <c:v>53107</c:v>
                </c:pt>
                <c:pt idx="1958">
                  <c:v>53114</c:v>
                </c:pt>
                <c:pt idx="1959">
                  <c:v>53121</c:v>
                </c:pt>
                <c:pt idx="1960">
                  <c:v>53128</c:v>
                </c:pt>
                <c:pt idx="1961">
                  <c:v>53135</c:v>
                </c:pt>
                <c:pt idx="1962">
                  <c:v>53142</c:v>
                </c:pt>
                <c:pt idx="1963">
                  <c:v>53149</c:v>
                </c:pt>
                <c:pt idx="1964">
                  <c:v>53156</c:v>
                </c:pt>
                <c:pt idx="1965">
                  <c:v>53163</c:v>
                </c:pt>
                <c:pt idx="1966">
                  <c:v>53170</c:v>
                </c:pt>
                <c:pt idx="1967">
                  <c:v>53177</c:v>
                </c:pt>
                <c:pt idx="1968">
                  <c:v>53184</c:v>
                </c:pt>
                <c:pt idx="1969">
                  <c:v>53191</c:v>
                </c:pt>
                <c:pt idx="1970">
                  <c:v>53198</c:v>
                </c:pt>
                <c:pt idx="1971">
                  <c:v>53205</c:v>
                </c:pt>
                <c:pt idx="1972">
                  <c:v>53212</c:v>
                </c:pt>
                <c:pt idx="1973">
                  <c:v>53219</c:v>
                </c:pt>
                <c:pt idx="1974">
                  <c:v>53226</c:v>
                </c:pt>
                <c:pt idx="1975">
                  <c:v>53233</c:v>
                </c:pt>
                <c:pt idx="1976">
                  <c:v>53240</c:v>
                </c:pt>
                <c:pt idx="1977">
                  <c:v>53247</c:v>
                </c:pt>
                <c:pt idx="1978">
                  <c:v>53254</c:v>
                </c:pt>
                <c:pt idx="1979">
                  <c:v>53261</c:v>
                </c:pt>
                <c:pt idx="1980">
                  <c:v>53268</c:v>
                </c:pt>
                <c:pt idx="1981">
                  <c:v>53275</c:v>
                </c:pt>
                <c:pt idx="1982">
                  <c:v>53282</c:v>
                </c:pt>
                <c:pt idx="1983">
                  <c:v>53289</c:v>
                </c:pt>
                <c:pt idx="1984">
                  <c:v>53296</c:v>
                </c:pt>
                <c:pt idx="1985">
                  <c:v>53303</c:v>
                </c:pt>
                <c:pt idx="1986">
                  <c:v>53310</c:v>
                </c:pt>
                <c:pt idx="1987">
                  <c:v>53317</c:v>
                </c:pt>
                <c:pt idx="1988">
                  <c:v>53325</c:v>
                </c:pt>
                <c:pt idx="1989">
                  <c:v>53332</c:v>
                </c:pt>
                <c:pt idx="1990">
                  <c:v>53339</c:v>
                </c:pt>
                <c:pt idx="1991">
                  <c:v>53346</c:v>
                </c:pt>
                <c:pt idx="1992">
                  <c:v>53353</c:v>
                </c:pt>
                <c:pt idx="1993">
                  <c:v>53360</c:v>
                </c:pt>
                <c:pt idx="1994">
                  <c:v>53367</c:v>
                </c:pt>
                <c:pt idx="1995">
                  <c:v>53374</c:v>
                </c:pt>
                <c:pt idx="1996">
                  <c:v>53381</c:v>
                </c:pt>
                <c:pt idx="1997">
                  <c:v>53388</c:v>
                </c:pt>
                <c:pt idx="1998">
                  <c:v>53395</c:v>
                </c:pt>
                <c:pt idx="1999">
                  <c:v>53402</c:v>
                </c:pt>
                <c:pt idx="2000">
                  <c:v>53413</c:v>
                </c:pt>
                <c:pt idx="2001">
                  <c:v>53416</c:v>
                </c:pt>
                <c:pt idx="2002">
                  <c:v>53423</c:v>
                </c:pt>
                <c:pt idx="2003">
                  <c:v>53430</c:v>
                </c:pt>
                <c:pt idx="2004">
                  <c:v>53437</c:v>
                </c:pt>
                <c:pt idx="2005">
                  <c:v>53444</c:v>
                </c:pt>
                <c:pt idx="2006">
                  <c:v>53451</c:v>
                </c:pt>
                <c:pt idx="2007">
                  <c:v>53458</c:v>
                </c:pt>
                <c:pt idx="2008">
                  <c:v>53465</c:v>
                </c:pt>
                <c:pt idx="2009">
                  <c:v>53472</c:v>
                </c:pt>
                <c:pt idx="2010">
                  <c:v>53479</c:v>
                </c:pt>
                <c:pt idx="2011">
                  <c:v>53486</c:v>
                </c:pt>
                <c:pt idx="2012">
                  <c:v>53493</c:v>
                </c:pt>
                <c:pt idx="2013">
                  <c:v>53500</c:v>
                </c:pt>
                <c:pt idx="2014">
                  <c:v>53507</c:v>
                </c:pt>
                <c:pt idx="2015">
                  <c:v>53514</c:v>
                </c:pt>
                <c:pt idx="2016">
                  <c:v>53521</c:v>
                </c:pt>
                <c:pt idx="2017">
                  <c:v>53528</c:v>
                </c:pt>
                <c:pt idx="2018">
                  <c:v>53535</c:v>
                </c:pt>
                <c:pt idx="2019">
                  <c:v>53542</c:v>
                </c:pt>
                <c:pt idx="2020">
                  <c:v>53549</c:v>
                </c:pt>
                <c:pt idx="2021">
                  <c:v>53556</c:v>
                </c:pt>
                <c:pt idx="2022">
                  <c:v>53563</c:v>
                </c:pt>
                <c:pt idx="2023">
                  <c:v>53570</c:v>
                </c:pt>
                <c:pt idx="2024">
                  <c:v>53577</c:v>
                </c:pt>
                <c:pt idx="2025">
                  <c:v>53584</c:v>
                </c:pt>
                <c:pt idx="2026">
                  <c:v>53591</c:v>
                </c:pt>
                <c:pt idx="2027">
                  <c:v>53598</c:v>
                </c:pt>
                <c:pt idx="2028">
                  <c:v>53605</c:v>
                </c:pt>
                <c:pt idx="2029">
                  <c:v>53612</c:v>
                </c:pt>
                <c:pt idx="2030">
                  <c:v>53619</c:v>
                </c:pt>
                <c:pt idx="2031">
                  <c:v>53626</c:v>
                </c:pt>
                <c:pt idx="2032">
                  <c:v>53633</c:v>
                </c:pt>
                <c:pt idx="2033">
                  <c:v>53640</c:v>
                </c:pt>
                <c:pt idx="2034">
                  <c:v>53647</c:v>
                </c:pt>
                <c:pt idx="2035">
                  <c:v>53654</c:v>
                </c:pt>
                <c:pt idx="2036">
                  <c:v>53661</c:v>
                </c:pt>
                <c:pt idx="2037">
                  <c:v>53668</c:v>
                </c:pt>
                <c:pt idx="2038">
                  <c:v>53675</c:v>
                </c:pt>
                <c:pt idx="2039">
                  <c:v>53682</c:v>
                </c:pt>
                <c:pt idx="2040">
                  <c:v>53692</c:v>
                </c:pt>
                <c:pt idx="2041">
                  <c:v>53699</c:v>
                </c:pt>
                <c:pt idx="2042">
                  <c:v>53706</c:v>
                </c:pt>
                <c:pt idx="2043">
                  <c:v>53713</c:v>
                </c:pt>
                <c:pt idx="2044">
                  <c:v>53720</c:v>
                </c:pt>
                <c:pt idx="2045">
                  <c:v>53727</c:v>
                </c:pt>
                <c:pt idx="2046">
                  <c:v>53734</c:v>
                </c:pt>
                <c:pt idx="2047">
                  <c:v>53741</c:v>
                </c:pt>
                <c:pt idx="2048">
                  <c:v>53748</c:v>
                </c:pt>
                <c:pt idx="2049">
                  <c:v>53755</c:v>
                </c:pt>
                <c:pt idx="2050">
                  <c:v>53762</c:v>
                </c:pt>
                <c:pt idx="2051">
                  <c:v>53769</c:v>
                </c:pt>
                <c:pt idx="2052">
                  <c:v>53776</c:v>
                </c:pt>
                <c:pt idx="2053">
                  <c:v>53783</c:v>
                </c:pt>
                <c:pt idx="2054">
                  <c:v>53790</c:v>
                </c:pt>
                <c:pt idx="2055">
                  <c:v>53799</c:v>
                </c:pt>
                <c:pt idx="2056">
                  <c:v>53804</c:v>
                </c:pt>
                <c:pt idx="2057">
                  <c:v>53811</c:v>
                </c:pt>
                <c:pt idx="2058">
                  <c:v>53818</c:v>
                </c:pt>
                <c:pt idx="2059">
                  <c:v>53825</c:v>
                </c:pt>
                <c:pt idx="2060">
                  <c:v>53832</c:v>
                </c:pt>
                <c:pt idx="2061">
                  <c:v>53839</c:v>
                </c:pt>
                <c:pt idx="2062">
                  <c:v>53846</c:v>
                </c:pt>
                <c:pt idx="2063">
                  <c:v>53853</c:v>
                </c:pt>
                <c:pt idx="2064">
                  <c:v>53860</c:v>
                </c:pt>
                <c:pt idx="2065">
                  <c:v>53867</c:v>
                </c:pt>
                <c:pt idx="2066">
                  <c:v>53874</c:v>
                </c:pt>
                <c:pt idx="2067">
                  <c:v>53881</c:v>
                </c:pt>
                <c:pt idx="2068">
                  <c:v>53888</c:v>
                </c:pt>
                <c:pt idx="2069">
                  <c:v>53895</c:v>
                </c:pt>
                <c:pt idx="2070">
                  <c:v>53902</c:v>
                </c:pt>
                <c:pt idx="2071">
                  <c:v>53909</c:v>
                </c:pt>
                <c:pt idx="2072">
                  <c:v>53916</c:v>
                </c:pt>
                <c:pt idx="2073">
                  <c:v>53923</c:v>
                </c:pt>
                <c:pt idx="2074">
                  <c:v>53930</c:v>
                </c:pt>
                <c:pt idx="2075">
                  <c:v>53937</c:v>
                </c:pt>
                <c:pt idx="2076">
                  <c:v>53944</c:v>
                </c:pt>
                <c:pt idx="2077">
                  <c:v>53951</c:v>
                </c:pt>
                <c:pt idx="2078">
                  <c:v>53958</c:v>
                </c:pt>
                <c:pt idx="2079">
                  <c:v>53965</c:v>
                </c:pt>
                <c:pt idx="2080">
                  <c:v>53972</c:v>
                </c:pt>
                <c:pt idx="2081">
                  <c:v>53979</c:v>
                </c:pt>
                <c:pt idx="2082">
                  <c:v>53986</c:v>
                </c:pt>
                <c:pt idx="2083">
                  <c:v>53993</c:v>
                </c:pt>
                <c:pt idx="2084">
                  <c:v>54000</c:v>
                </c:pt>
                <c:pt idx="2085">
                  <c:v>54007</c:v>
                </c:pt>
                <c:pt idx="2086">
                  <c:v>54014</c:v>
                </c:pt>
                <c:pt idx="2087">
                  <c:v>54021</c:v>
                </c:pt>
                <c:pt idx="2088">
                  <c:v>54028</c:v>
                </c:pt>
                <c:pt idx="2089">
                  <c:v>54035</c:v>
                </c:pt>
                <c:pt idx="2090">
                  <c:v>54042</c:v>
                </c:pt>
                <c:pt idx="2091">
                  <c:v>54049</c:v>
                </c:pt>
                <c:pt idx="2092">
                  <c:v>54057</c:v>
                </c:pt>
                <c:pt idx="2093">
                  <c:v>54064</c:v>
                </c:pt>
                <c:pt idx="2094">
                  <c:v>54071</c:v>
                </c:pt>
                <c:pt idx="2095">
                  <c:v>54078</c:v>
                </c:pt>
                <c:pt idx="2096">
                  <c:v>54085</c:v>
                </c:pt>
                <c:pt idx="2097">
                  <c:v>54092</c:v>
                </c:pt>
                <c:pt idx="2098">
                  <c:v>54099</c:v>
                </c:pt>
                <c:pt idx="2099">
                  <c:v>54106</c:v>
                </c:pt>
                <c:pt idx="2100">
                  <c:v>54113</c:v>
                </c:pt>
                <c:pt idx="2101">
                  <c:v>54120</c:v>
                </c:pt>
                <c:pt idx="2102">
                  <c:v>54127</c:v>
                </c:pt>
                <c:pt idx="2103">
                  <c:v>54134</c:v>
                </c:pt>
                <c:pt idx="2104">
                  <c:v>54141</c:v>
                </c:pt>
                <c:pt idx="2105">
                  <c:v>54148</c:v>
                </c:pt>
                <c:pt idx="2106">
                  <c:v>54157</c:v>
                </c:pt>
                <c:pt idx="2107">
                  <c:v>54164</c:v>
                </c:pt>
                <c:pt idx="2108">
                  <c:v>54171</c:v>
                </c:pt>
                <c:pt idx="2109">
                  <c:v>54178</c:v>
                </c:pt>
                <c:pt idx="2110">
                  <c:v>54185</c:v>
                </c:pt>
                <c:pt idx="2111">
                  <c:v>54192</c:v>
                </c:pt>
                <c:pt idx="2112">
                  <c:v>54199</c:v>
                </c:pt>
                <c:pt idx="2113">
                  <c:v>54206</c:v>
                </c:pt>
                <c:pt idx="2114">
                  <c:v>54213</c:v>
                </c:pt>
                <c:pt idx="2115">
                  <c:v>54220</c:v>
                </c:pt>
                <c:pt idx="2116">
                  <c:v>54227</c:v>
                </c:pt>
                <c:pt idx="2117">
                  <c:v>54234</c:v>
                </c:pt>
                <c:pt idx="2118">
                  <c:v>54241</c:v>
                </c:pt>
                <c:pt idx="2119">
                  <c:v>54248</c:v>
                </c:pt>
                <c:pt idx="2120">
                  <c:v>54255</c:v>
                </c:pt>
                <c:pt idx="2121">
                  <c:v>54262</c:v>
                </c:pt>
                <c:pt idx="2122">
                  <c:v>54269</c:v>
                </c:pt>
                <c:pt idx="2123">
                  <c:v>54276</c:v>
                </c:pt>
                <c:pt idx="2124">
                  <c:v>54283</c:v>
                </c:pt>
                <c:pt idx="2125">
                  <c:v>54290</c:v>
                </c:pt>
                <c:pt idx="2126">
                  <c:v>54297</c:v>
                </c:pt>
                <c:pt idx="2127">
                  <c:v>54304</c:v>
                </c:pt>
                <c:pt idx="2128">
                  <c:v>54311</c:v>
                </c:pt>
                <c:pt idx="2129">
                  <c:v>54318</c:v>
                </c:pt>
                <c:pt idx="2130">
                  <c:v>54325</c:v>
                </c:pt>
                <c:pt idx="2131">
                  <c:v>54332</c:v>
                </c:pt>
                <c:pt idx="2132">
                  <c:v>54339</c:v>
                </c:pt>
                <c:pt idx="2133">
                  <c:v>54346</c:v>
                </c:pt>
                <c:pt idx="2134">
                  <c:v>54353</c:v>
                </c:pt>
                <c:pt idx="2135">
                  <c:v>54360</c:v>
                </c:pt>
                <c:pt idx="2136">
                  <c:v>54367</c:v>
                </c:pt>
                <c:pt idx="2137">
                  <c:v>54374</c:v>
                </c:pt>
                <c:pt idx="2138">
                  <c:v>54381</c:v>
                </c:pt>
                <c:pt idx="2139">
                  <c:v>54388</c:v>
                </c:pt>
                <c:pt idx="2140">
                  <c:v>54395</c:v>
                </c:pt>
                <c:pt idx="2141">
                  <c:v>54402</c:v>
                </c:pt>
                <c:pt idx="2142">
                  <c:v>54409</c:v>
                </c:pt>
                <c:pt idx="2143">
                  <c:v>54416</c:v>
                </c:pt>
                <c:pt idx="2144">
                  <c:v>54423</c:v>
                </c:pt>
                <c:pt idx="2145">
                  <c:v>54430</c:v>
                </c:pt>
                <c:pt idx="2146">
                  <c:v>54437</c:v>
                </c:pt>
                <c:pt idx="2147">
                  <c:v>54444</c:v>
                </c:pt>
                <c:pt idx="2148">
                  <c:v>54451</c:v>
                </c:pt>
                <c:pt idx="2149">
                  <c:v>54458</c:v>
                </c:pt>
                <c:pt idx="2150">
                  <c:v>54465</c:v>
                </c:pt>
                <c:pt idx="2151">
                  <c:v>54472</c:v>
                </c:pt>
                <c:pt idx="2152">
                  <c:v>54479</c:v>
                </c:pt>
                <c:pt idx="2153">
                  <c:v>54486</c:v>
                </c:pt>
                <c:pt idx="2154">
                  <c:v>54493</c:v>
                </c:pt>
                <c:pt idx="2155">
                  <c:v>54500</c:v>
                </c:pt>
                <c:pt idx="2156">
                  <c:v>54507</c:v>
                </c:pt>
                <c:pt idx="2157">
                  <c:v>54514</c:v>
                </c:pt>
                <c:pt idx="2158">
                  <c:v>54521</c:v>
                </c:pt>
                <c:pt idx="2159">
                  <c:v>54528</c:v>
                </c:pt>
                <c:pt idx="2160">
                  <c:v>54535</c:v>
                </c:pt>
                <c:pt idx="2161">
                  <c:v>54542</c:v>
                </c:pt>
                <c:pt idx="2162">
                  <c:v>54549</c:v>
                </c:pt>
                <c:pt idx="2163">
                  <c:v>54556</c:v>
                </c:pt>
                <c:pt idx="2164">
                  <c:v>54563</c:v>
                </c:pt>
                <c:pt idx="2165">
                  <c:v>54570</c:v>
                </c:pt>
                <c:pt idx="2166">
                  <c:v>54577</c:v>
                </c:pt>
                <c:pt idx="2167">
                  <c:v>54584</c:v>
                </c:pt>
                <c:pt idx="2168">
                  <c:v>54591</c:v>
                </c:pt>
                <c:pt idx="2169">
                  <c:v>54598</c:v>
                </c:pt>
                <c:pt idx="2170">
                  <c:v>54605</c:v>
                </c:pt>
                <c:pt idx="2171">
                  <c:v>54612</c:v>
                </c:pt>
                <c:pt idx="2172">
                  <c:v>54619</c:v>
                </c:pt>
                <c:pt idx="2173">
                  <c:v>54626</c:v>
                </c:pt>
                <c:pt idx="2174">
                  <c:v>54633</c:v>
                </c:pt>
                <c:pt idx="2175">
                  <c:v>54640</c:v>
                </c:pt>
                <c:pt idx="2176">
                  <c:v>54647</c:v>
                </c:pt>
                <c:pt idx="2177">
                  <c:v>54654</c:v>
                </c:pt>
                <c:pt idx="2178">
                  <c:v>54661</c:v>
                </c:pt>
                <c:pt idx="2179">
                  <c:v>54668</c:v>
                </c:pt>
                <c:pt idx="2180">
                  <c:v>54675</c:v>
                </c:pt>
                <c:pt idx="2181">
                  <c:v>54682</c:v>
                </c:pt>
                <c:pt idx="2182">
                  <c:v>54689</c:v>
                </c:pt>
                <c:pt idx="2183">
                  <c:v>54696</c:v>
                </c:pt>
                <c:pt idx="2184">
                  <c:v>54703</c:v>
                </c:pt>
                <c:pt idx="2185">
                  <c:v>54710</c:v>
                </c:pt>
                <c:pt idx="2186">
                  <c:v>54717</c:v>
                </c:pt>
                <c:pt idx="2187">
                  <c:v>54724</c:v>
                </c:pt>
                <c:pt idx="2188">
                  <c:v>54731</c:v>
                </c:pt>
                <c:pt idx="2189">
                  <c:v>54738</c:v>
                </c:pt>
                <c:pt idx="2190">
                  <c:v>54745</c:v>
                </c:pt>
                <c:pt idx="2191">
                  <c:v>54752</c:v>
                </c:pt>
                <c:pt idx="2192">
                  <c:v>54759</c:v>
                </c:pt>
                <c:pt idx="2193">
                  <c:v>54766</c:v>
                </c:pt>
                <c:pt idx="2194">
                  <c:v>54773</c:v>
                </c:pt>
                <c:pt idx="2195">
                  <c:v>54780</c:v>
                </c:pt>
                <c:pt idx="2196">
                  <c:v>54787</c:v>
                </c:pt>
                <c:pt idx="2197">
                  <c:v>54794</c:v>
                </c:pt>
                <c:pt idx="2198">
                  <c:v>54801</c:v>
                </c:pt>
                <c:pt idx="2199">
                  <c:v>54808</c:v>
                </c:pt>
                <c:pt idx="2200">
                  <c:v>54815</c:v>
                </c:pt>
                <c:pt idx="2201">
                  <c:v>54822</c:v>
                </c:pt>
                <c:pt idx="2202">
                  <c:v>54829</c:v>
                </c:pt>
                <c:pt idx="2203">
                  <c:v>54836</c:v>
                </c:pt>
                <c:pt idx="2204">
                  <c:v>54843</c:v>
                </c:pt>
                <c:pt idx="2205">
                  <c:v>54850</c:v>
                </c:pt>
                <c:pt idx="2206">
                  <c:v>54857</c:v>
                </c:pt>
                <c:pt idx="2207">
                  <c:v>54864</c:v>
                </c:pt>
                <c:pt idx="2208">
                  <c:v>54871</c:v>
                </c:pt>
                <c:pt idx="2209">
                  <c:v>54878</c:v>
                </c:pt>
                <c:pt idx="2210">
                  <c:v>54885</c:v>
                </c:pt>
                <c:pt idx="2211">
                  <c:v>54892</c:v>
                </c:pt>
                <c:pt idx="2212">
                  <c:v>54899</c:v>
                </c:pt>
                <c:pt idx="2213">
                  <c:v>54906</c:v>
                </c:pt>
                <c:pt idx="2214">
                  <c:v>54913</c:v>
                </c:pt>
                <c:pt idx="2215">
                  <c:v>54920</c:v>
                </c:pt>
                <c:pt idx="2216">
                  <c:v>54927</c:v>
                </c:pt>
                <c:pt idx="2217">
                  <c:v>54934</c:v>
                </c:pt>
                <c:pt idx="2218">
                  <c:v>54941</c:v>
                </c:pt>
                <c:pt idx="2219">
                  <c:v>54948</c:v>
                </c:pt>
                <c:pt idx="2220">
                  <c:v>54955</c:v>
                </c:pt>
                <c:pt idx="2221">
                  <c:v>54962</c:v>
                </c:pt>
                <c:pt idx="2222">
                  <c:v>54969</c:v>
                </c:pt>
                <c:pt idx="2223">
                  <c:v>54976</c:v>
                </c:pt>
                <c:pt idx="2224">
                  <c:v>54983</c:v>
                </c:pt>
                <c:pt idx="2225">
                  <c:v>54990</c:v>
                </c:pt>
                <c:pt idx="2226">
                  <c:v>54997</c:v>
                </c:pt>
                <c:pt idx="2227">
                  <c:v>55004</c:v>
                </c:pt>
                <c:pt idx="2228">
                  <c:v>55011</c:v>
                </c:pt>
                <c:pt idx="2229">
                  <c:v>55018</c:v>
                </c:pt>
                <c:pt idx="2230">
                  <c:v>55025</c:v>
                </c:pt>
                <c:pt idx="2231">
                  <c:v>55032</c:v>
                </c:pt>
                <c:pt idx="2232">
                  <c:v>55039</c:v>
                </c:pt>
                <c:pt idx="2233">
                  <c:v>55046</c:v>
                </c:pt>
                <c:pt idx="2234">
                  <c:v>55053</c:v>
                </c:pt>
                <c:pt idx="2235">
                  <c:v>55060</c:v>
                </c:pt>
                <c:pt idx="2236">
                  <c:v>55067</c:v>
                </c:pt>
                <c:pt idx="2237">
                  <c:v>55074</c:v>
                </c:pt>
                <c:pt idx="2238">
                  <c:v>55081</c:v>
                </c:pt>
                <c:pt idx="2239">
                  <c:v>55088</c:v>
                </c:pt>
                <c:pt idx="2240">
                  <c:v>55095</c:v>
                </c:pt>
                <c:pt idx="2241">
                  <c:v>55102</c:v>
                </c:pt>
                <c:pt idx="2242">
                  <c:v>55109</c:v>
                </c:pt>
                <c:pt idx="2243">
                  <c:v>55116</c:v>
                </c:pt>
                <c:pt idx="2244">
                  <c:v>55123</c:v>
                </c:pt>
                <c:pt idx="2245">
                  <c:v>55130</c:v>
                </c:pt>
                <c:pt idx="2246">
                  <c:v>55137</c:v>
                </c:pt>
                <c:pt idx="2247">
                  <c:v>55144</c:v>
                </c:pt>
                <c:pt idx="2248">
                  <c:v>55151</c:v>
                </c:pt>
                <c:pt idx="2249">
                  <c:v>55158</c:v>
                </c:pt>
                <c:pt idx="2250">
                  <c:v>55165</c:v>
                </c:pt>
                <c:pt idx="2251">
                  <c:v>55172</c:v>
                </c:pt>
                <c:pt idx="2252">
                  <c:v>55179</c:v>
                </c:pt>
                <c:pt idx="2253">
                  <c:v>55186</c:v>
                </c:pt>
                <c:pt idx="2254">
                  <c:v>55193</c:v>
                </c:pt>
                <c:pt idx="2255">
                  <c:v>55200</c:v>
                </c:pt>
                <c:pt idx="2256">
                  <c:v>55207</c:v>
                </c:pt>
                <c:pt idx="2257">
                  <c:v>55214</c:v>
                </c:pt>
                <c:pt idx="2258">
                  <c:v>55221</c:v>
                </c:pt>
                <c:pt idx="2259">
                  <c:v>55228</c:v>
                </c:pt>
                <c:pt idx="2260">
                  <c:v>55235</c:v>
                </c:pt>
                <c:pt idx="2261">
                  <c:v>55242</c:v>
                </c:pt>
                <c:pt idx="2262">
                  <c:v>55249</c:v>
                </c:pt>
                <c:pt idx="2263">
                  <c:v>55256</c:v>
                </c:pt>
                <c:pt idx="2264">
                  <c:v>55263</c:v>
                </c:pt>
                <c:pt idx="2265">
                  <c:v>55270</c:v>
                </c:pt>
                <c:pt idx="2266">
                  <c:v>55277</c:v>
                </c:pt>
                <c:pt idx="2267">
                  <c:v>55284</c:v>
                </c:pt>
                <c:pt idx="2268">
                  <c:v>55291</c:v>
                </c:pt>
                <c:pt idx="2269">
                  <c:v>55298</c:v>
                </c:pt>
                <c:pt idx="2270">
                  <c:v>55305</c:v>
                </c:pt>
                <c:pt idx="2271">
                  <c:v>55312</c:v>
                </c:pt>
                <c:pt idx="2272">
                  <c:v>55319</c:v>
                </c:pt>
                <c:pt idx="2273">
                  <c:v>55326</c:v>
                </c:pt>
                <c:pt idx="2274">
                  <c:v>55333</c:v>
                </c:pt>
                <c:pt idx="2275">
                  <c:v>55340</c:v>
                </c:pt>
                <c:pt idx="2276">
                  <c:v>55347</c:v>
                </c:pt>
                <c:pt idx="2277">
                  <c:v>55354</c:v>
                </c:pt>
                <c:pt idx="2278">
                  <c:v>55361</c:v>
                </c:pt>
                <c:pt idx="2279">
                  <c:v>55368</c:v>
                </c:pt>
                <c:pt idx="2280">
                  <c:v>55375</c:v>
                </c:pt>
                <c:pt idx="2281">
                  <c:v>55382</c:v>
                </c:pt>
                <c:pt idx="2282">
                  <c:v>55389</c:v>
                </c:pt>
                <c:pt idx="2283">
                  <c:v>55396</c:v>
                </c:pt>
                <c:pt idx="2284">
                  <c:v>55403</c:v>
                </c:pt>
                <c:pt idx="2285">
                  <c:v>55410</c:v>
                </c:pt>
                <c:pt idx="2286">
                  <c:v>55417</c:v>
                </c:pt>
                <c:pt idx="2287">
                  <c:v>55424</c:v>
                </c:pt>
                <c:pt idx="2288">
                  <c:v>55431</c:v>
                </c:pt>
                <c:pt idx="2289">
                  <c:v>55438</c:v>
                </c:pt>
                <c:pt idx="2290">
                  <c:v>55445</c:v>
                </c:pt>
                <c:pt idx="2291">
                  <c:v>55452</c:v>
                </c:pt>
                <c:pt idx="2292">
                  <c:v>55459</c:v>
                </c:pt>
                <c:pt idx="2293">
                  <c:v>55466</c:v>
                </c:pt>
                <c:pt idx="2294">
                  <c:v>55473</c:v>
                </c:pt>
                <c:pt idx="2295">
                  <c:v>55480</c:v>
                </c:pt>
                <c:pt idx="2296">
                  <c:v>55487</c:v>
                </c:pt>
                <c:pt idx="2297">
                  <c:v>55494</c:v>
                </c:pt>
                <c:pt idx="2298">
                  <c:v>55501</c:v>
                </c:pt>
                <c:pt idx="2299">
                  <c:v>55508</c:v>
                </c:pt>
                <c:pt idx="2300">
                  <c:v>55516</c:v>
                </c:pt>
                <c:pt idx="2301">
                  <c:v>55523</c:v>
                </c:pt>
                <c:pt idx="2302">
                  <c:v>55530</c:v>
                </c:pt>
                <c:pt idx="2303">
                  <c:v>55537</c:v>
                </c:pt>
                <c:pt idx="2304">
                  <c:v>55544</c:v>
                </c:pt>
                <c:pt idx="2305">
                  <c:v>55551</c:v>
                </c:pt>
                <c:pt idx="2306">
                  <c:v>55558</c:v>
                </c:pt>
                <c:pt idx="2307">
                  <c:v>55565</c:v>
                </c:pt>
                <c:pt idx="2308">
                  <c:v>55572</c:v>
                </c:pt>
                <c:pt idx="2309">
                  <c:v>55579</c:v>
                </c:pt>
                <c:pt idx="2310">
                  <c:v>55586</c:v>
                </c:pt>
                <c:pt idx="2311">
                  <c:v>55593</c:v>
                </c:pt>
                <c:pt idx="2312">
                  <c:v>55600</c:v>
                </c:pt>
                <c:pt idx="2313">
                  <c:v>55607</c:v>
                </c:pt>
                <c:pt idx="2314">
                  <c:v>55614</c:v>
                </c:pt>
                <c:pt idx="2315">
                  <c:v>55621</c:v>
                </c:pt>
                <c:pt idx="2316">
                  <c:v>55632</c:v>
                </c:pt>
                <c:pt idx="2317">
                  <c:v>55635</c:v>
                </c:pt>
                <c:pt idx="2318">
                  <c:v>55645</c:v>
                </c:pt>
                <c:pt idx="2319">
                  <c:v>55652</c:v>
                </c:pt>
                <c:pt idx="2320">
                  <c:v>55659</c:v>
                </c:pt>
                <c:pt idx="2321">
                  <c:v>55666</c:v>
                </c:pt>
                <c:pt idx="2322">
                  <c:v>55673</c:v>
                </c:pt>
                <c:pt idx="2323">
                  <c:v>55680</c:v>
                </c:pt>
                <c:pt idx="2324">
                  <c:v>55687</c:v>
                </c:pt>
                <c:pt idx="2325">
                  <c:v>55694</c:v>
                </c:pt>
                <c:pt idx="2326">
                  <c:v>55701</c:v>
                </c:pt>
                <c:pt idx="2327">
                  <c:v>55708</c:v>
                </c:pt>
                <c:pt idx="2328">
                  <c:v>55715</c:v>
                </c:pt>
                <c:pt idx="2329">
                  <c:v>55722</c:v>
                </c:pt>
                <c:pt idx="2330">
                  <c:v>55729</c:v>
                </c:pt>
                <c:pt idx="2331">
                  <c:v>55736</c:v>
                </c:pt>
                <c:pt idx="2332">
                  <c:v>55743</c:v>
                </c:pt>
                <c:pt idx="2333">
                  <c:v>55750</c:v>
                </c:pt>
                <c:pt idx="2334">
                  <c:v>55757</c:v>
                </c:pt>
                <c:pt idx="2335">
                  <c:v>55764</c:v>
                </c:pt>
                <c:pt idx="2336">
                  <c:v>55771</c:v>
                </c:pt>
                <c:pt idx="2337">
                  <c:v>55778</c:v>
                </c:pt>
                <c:pt idx="2338">
                  <c:v>55785</c:v>
                </c:pt>
                <c:pt idx="2339">
                  <c:v>55792</c:v>
                </c:pt>
                <c:pt idx="2340">
                  <c:v>55799</c:v>
                </c:pt>
                <c:pt idx="2341">
                  <c:v>55806</c:v>
                </c:pt>
                <c:pt idx="2342">
                  <c:v>55813</c:v>
                </c:pt>
                <c:pt idx="2343">
                  <c:v>55820</c:v>
                </c:pt>
                <c:pt idx="2344">
                  <c:v>55827</c:v>
                </c:pt>
                <c:pt idx="2345">
                  <c:v>55834</c:v>
                </c:pt>
                <c:pt idx="2346">
                  <c:v>55841</c:v>
                </c:pt>
                <c:pt idx="2347">
                  <c:v>55848</c:v>
                </c:pt>
                <c:pt idx="2348">
                  <c:v>55855</c:v>
                </c:pt>
                <c:pt idx="2349">
                  <c:v>55862</c:v>
                </c:pt>
                <c:pt idx="2350">
                  <c:v>55869</c:v>
                </c:pt>
                <c:pt idx="2351">
                  <c:v>55876</c:v>
                </c:pt>
                <c:pt idx="2352">
                  <c:v>55884</c:v>
                </c:pt>
                <c:pt idx="2353">
                  <c:v>55891</c:v>
                </c:pt>
                <c:pt idx="2354">
                  <c:v>55898</c:v>
                </c:pt>
                <c:pt idx="2355">
                  <c:v>55905</c:v>
                </c:pt>
                <c:pt idx="2356">
                  <c:v>55912</c:v>
                </c:pt>
                <c:pt idx="2357">
                  <c:v>55919</c:v>
                </c:pt>
                <c:pt idx="2358">
                  <c:v>55926</c:v>
                </c:pt>
                <c:pt idx="2359">
                  <c:v>55933</c:v>
                </c:pt>
                <c:pt idx="2360">
                  <c:v>55940</c:v>
                </c:pt>
                <c:pt idx="2361">
                  <c:v>55947</c:v>
                </c:pt>
                <c:pt idx="2362">
                  <c:v>55954</c:v>
                </c:pt>
                <c:pt idx="2363">
                  <c:v>55961</c:v>
                </c:pt>
                <c:pt idx="2364">
                  <c:v>55968</c:v>
                </c:pt>
                <c:pt idx="2365">
                  <c:v>55975</c:v>
                </c:pt>
                <c:pt idx="2366">
                  <c:v>55984</c:v>
                </c:pt>
                <c:pt idx="2367">
                  <c:v>55991</c:v>
                </c:pt>
                <c:pt idx="2368">
                  <c:v>55998</c:v>
                </c:pt>
                <c:pt idx="2369">
                  <c:v>56006</c:v>
                </c:pt>
                <c:pt idx="2370">
                  <c:v>56012</c:v>
                </c:pt>
                <c:pt idx="2371">
                  <c:v>56019</c:v>
                </c:pt>
                <c:pt idx="2372">
                  <c:v>56026</c:v>
                </c:pt>
                <c:pt idx="2373">
                  <c:v>56033</c:v>
                </c:pt>
                <c:pt idx="2374">
                  <c:v>56040</c:v>
                </c:pt>
                <c:pt idx="2375">
                  <c:v>56047</c:v>
                </c:pt>
                <c:pt idx="2376">
                  <c:v>56054</c:v>
                </c:pt>
                <c:pt idx="2377">
                  <c:v>56061</c:v>
                </c:pt>
                <c:pt idx="2378">
                  <c:v>56068</c:v>
                </c:pt>
                <c:pt idx="2379">
                  <c:v>56075</c:v>
                </c:pt>
                <c:pt idx="2380">
                  <c:v>56082</c:v>
                </c:pt>
                <c:pt idx="2381">
                  <c:v>56089</c:v>
                </c:pt>
                <c:pt idx="2382">
                  <c:v>56096</c:v>
                </c:pt>
                <c:pt idx="2383">
                  <c:v>56103</c:v>
                </c:pt>
                <c:pt idx="2384">
                  <c:v>56110</c:v>
                </c:pt>
                <c:pt idx="2385">
                  <c:v>56117</c:v>
                </c:pt>
                <c:pt idx="2386">
                  <c:v>56124</c:v>
                </c:pt>
                <c:pt idx="2387">
                  <c:v>56131</c:v>
                </c:pt>
                <c:pt idx="2388">
                  <c:v>56138</c:v>
                </c:pt>
                <c:pt idx="2389">
                  <c:v>56145</c:v>
                </c:pt>
                <c:pt idx="2390">
                  <c:v>56152</c:v>
                </c:pt>
                <c:pt idx="2391">
                  <c:v>56159</c:v>
                </c:pt>
                <c:pt idx="2392">
                  <c:v>56166</c:v>
                </c:pt>
                <c:pt idx="2393">
                  <c:v>56173</c:v>
                </c:pt>
                <c:pt idx="2394">
                  <c:v>56180</c:v>
                </c:pt>
                <c:pt idx="2395">
                  <c:v>56187</c:v>
                </c:pt>
                <c:pt idx="2396">
                  <c:v>56194</c:v>
                </c:pt>
                <c:pt idx="2397">
                  <c:v>56201</c:v>
                </c:pt>
                <c:pt idx="2398">
                  <c:v>56208</c:v>
                </c:pt>
                <c:pt idx="2399">
                  <c:v>56215</c:v>
                </c:pt>
                <c:pt idx="2400">
                  <c:v>56222</c:v>
                </c:pt>
                <c:pt idx="2401">
                  <c:v>56229</c:v>
                </c:pt>
                <c:pt idx="2402">
                  <c:v>56236</c:v>
                </c:pt>
                <c:pt idx="2403">
                  <c:v>56247</c:v>
                </c:pt>
                <c:pt idx="2404">
                  <c:v>56251</c:v>
                </c:pt>
                <c:pt idx="2405">
                  <c:v>56257</c:v>
                </c:pt>
                <c:pt idx="2406">
                  <c:v>56264</c:v>
                </c:pt>
                <c:pt idx="2407">
                  <c:v>56271</c:v>
                </c:pt>
                <c:pt idx="2408">
                  <c:v>56278</c:v>
                </c:pt>
                <c:pt idx="2409">
                  <c:v>56285</c:v>
                </c:pt>
                <c:pt idx="2410">
                  <c:v>56292</c:v>
                </c:pt>
                <c:pt idx="2411">
                  <c:v>56299</c:v>
                </c:pt>
                <c:pt idx="2412">
                  <c:v>56306</c:v>
                </c:pt>
                <c:pt idx="2413">
                  <c:v>56313</c:v>
                </c:pt>
                <c:pt idx="2414">
                  <c:v>56320</c:v>
                </c:pt>
                <c:pt idx="2415">
                  <c:v>56327</c:v>
                </c:pt>
                <c:pt idx="2416">
                  <c:v>56334</c:v>
                </c:pt>
                <c:pt idx="2417">
                  <c:v>56341</c:v>
                </c:pt>
                <c:pt idx="2418">
                  <c:v>56348</c:v>
                </c:pt>
                <c:pt idx="2419">
                  <c:v>56355</c:v>
                </c:pt>
                <c:pt idx="2420">
                  <c:v>56362</c:v>
                </c:pt>
                <c:pt idx="2421">
                  <c:v>56369</c:v>
                </c:pt>
                <c:pt idx="2422">
                  <c:v>56376</c:v>
                </c:pt>
                <c:pt idx="2423">
                  <c:v>56383</c:v>
                </c:pt>
                <c:pt idx="2424">
                  <c:v>56390</c:v>
                </c:pt>
                <c:pt idx="2425">
                  <c:v>56397</c:v>
                </c:pt>
                <c:pt idx="2426">
                  <c:v>56404</c:v>
                </c:pt>
                <c:pt idx="2427">
                  <c:v>56411</c:v>
                </c:pt>
                <c:pt idx="2428">
                  <c:v>56418</c:v>
                </c:pt>
                <c:pt idx="2429">
                  <c:v>56425</c:v>
                </c:pt>
                <c:pt idx="2430">
                  <c:v>56432</c:v>
                </c:pt>
                <c:pt idx="2431">
                  <c:v>56439</c:v>
                </c:pt>
                <c:pt idx="2432">
                  <c:v>56446</c:v>
                </c:pt>
                <c:pt idx="2433">
                  <c:v>56453</c:v>
                </c:pt>
                <c:pt idx="2434">
                  <c:v>56460</c:v>
                </c:pt>
                <c:pt idx="2435">
                  <c:v>56467</c:v>
                </c:pt>
                <c:pt idx="2436">
                  <c:v>56474</c:v>
                </c:pt>
                <c:pt idx="2437">
                  <c:v>56481</c:v>
                </c:pt>
                <c:pt idx="2438">
                  <c:v>56488</c:v>
                </c:pt>
                <c:pt idx="2439">
                  <c:v>56495</c:v>
                </c:pt>
                <c:pt idx="2440">
                  <c:v>56502</c:v>
                </c:pt>
                <c:pt idx="2441">
                  <c:v>56509</c:v>
                </c:pt>
                <c:pt idx="2442">
                  <c:v>56516</c:v>
                </c:pt>
                <c:pt idx="2443">
                  <c:v>56523</c:v>
                </c:pt>
                <c:pt idx="2444">
                  <c:v>56530</c:v>
                </c:pt>
                <c:pt idx="2445">
                  <c:v>56537</c:v>
                </c:pt>
                <c:pt idx="2446">
                  <c:v>56544</c:v>
                </c:pt>
                <c:pt idx="2447">
                  <c:v>56551</c:v>
                </c:pt>
                <c:pt idx="2448">
                  <c:v>56558</c:v>
                </c:pt>
                <c:pt idx="2449">
                  <c:v>56565</c:v>
                </c:pt>
                <c:pt idx="2450">
                  <c:v>56572</c:v>
                </c:pt>
                <c:pt idx="2451">
                  <c:v>56579</c:v>
                </c:pt>
                <c:pt idx="2452">
                  <c:v>56586</c:v>
                </c:pt>
                <c:pt idx="2453">
                  <c:v>56593</c:v>
                </c:pt>
                <c:pt idx="2454">
                  <c:v>56600</c:v>
                </c:pt>
                <c:pt idx="2455">
                  <c:v>56607</c:v>
                </c:pt>
                <c:pt idx="2456">
                  <c:v>56614</c:v>
                </c:pt>
                <c:pt idx="2457">
                  <c:v>56621</c:v>
                </c:pt>
                <c:pt idx="2458">
                  <c:v>56628</c:v>
                </c:pt>
                <c:pt idx="2459">
                  <c:v>56635</c:v>
                </c:pt>
                <c:pt idx="2460">
                  <c:v>56642</c:v>
                </c:pt>
                <c:pt idx="2461">
                  <c:v>56649</c:v>
                </c:pt>
                <c:pt idx="2462">
                  <c:v>56656</c:v>
                </c:pt>
                <c:pt idx="2463">
                  <c:v>56663</c:v>
                </c:pt>
                <c:pt idx="2464">
                  <c:v>56670</c:v>
                </c:pt>
                <c:pt idx="2465">
                  <c:v>56677</c:v>
                </c:pt>
                <c:pt idx="2466">
                  <c:v>56684</c:v>
                </c:pt>
                <c:pt idx="2467">
                  <c:v>56691</c:v>
                </c:pt>
                <c:pt idx="2468">
                  <c:v>56698</c:v>
                </c:pt>
                <c:pt idx="2469">
                  <c:v>56705</c:v>
                </c:pt>
                <c:pt idx="2470">
                  <c:v>56712</c:v>
                </c:pt>
                <c:pt idx="2471">
                  <c:v>56719</c:v>
                </c:pt>
                <c:pt idx="2472">
                  <c:v>56726</c:v>
                </c:pt>
                <c:pt idx="2473">
                  <c:v>56733</c:v>
                </c:pt>
                <c:pt idx="2474">
                  <c:v>56740</c:v>
                </c:pt>
                <c:pt idx="2475">
                  <c:v>56747</c:v>
                </c:pt>
                <c:pt idx="2476">
                  <c:v>56754</c:v>
                </c:pt>
                <c:pt idx="2477">
                  <c:v>56761</c:v>
                </c:pt>
                <c:pt idx="2478">
                  <c:v>56768</c:v>
                </c:pt>
                <c:pt idx="2479">
                  <c:v>56775</c:v>
                </c:pt>
                <c:pt idx="2480">
                  <c:v>56782</c:v>
                </c:pt>
                <c:pt idx="2481">
                  <c:v>56789</c:v>
                </c:pt>
                <c:pt idx="2482">
                  <c:v>56796</c:v>
                </c:pt>
                <c:pt idx="2483">
                  <c:v>56803</c:v>
                </c:pt>
                <c:pt idx="2484">
                  <c:v>56810</c:v>
                </c:pt>
                <c:pt idx="2485">
                  <c:v>56817</c:v>
                </c:pt>
                <c:pt idx="2486">
                  <c:v>56824</c:v>
                </c:pt>
                <c:pt idx="2487">
                  <c:v>56831</c:v>
                </c:pt>
                <c:pt idx="2488">
                  <c:v>56838</c:v>
                </c:pt>
                <c:pt idx="2489">
                  <c:v>56845</c:v>
                </c:pt>
                <c:pt idx="2490">
                  <c:v>56852</c:v>
                </c:pt>
                <c:pt idx="2491">
                  <c:v>56859</c:v>
                </c:pt>
                <c:pt idx="2492">
                  <c:v>56866</c:v>
                </c:pt>
                <c:pt idx="2493">
                  <c:v>56873</c:v>
                </c:pt>
                <c:pt idx="2494">
                  <c:v>56880</c:v>
                </c:pt>
                <c:pt idx="2495">
                  <c:v>56887</c:v>
                </c:pt>
                <c:pt idx="2496">
                  <c:v>56894</c:v>
                </c:pt>
                <c:pt idx="2497">
                  <c:v>56901</c:v>
                </c:pt>
                <c:pt idx="2498">
                  <c:v>56908</c:v>
                </c:pt>
                <c:pt idx="2499">
                  <c:v>56915</c:v>
                </c:pt>
                <c:pt idx="2500">
                  <c:v>56922</c:v>
                </c:pt>
                <c:pt idx="2501">
                  <c:v>56929</c:v>
                </c:pt>
                <c:pt idx="2502">
                  <c:v>56936</c:v>
                </c:pt>
                <c:pt idx="2503">
                  <c:v>56943</c:v>
                </c:pt>
                <c:pt idx="2504">
                  <c:v>56950</c:v>
                </c:pt>
                <c:pt idx="2505">
                  <c:v>56957</c:v>
                </c:pt>
                <c:pt idx="2506">
                  <c:v>56964</c:v>
                </c:pt>
                <c:pt idx="2507">
                  <c:v>56971</c:v>
                </c:pt>
                <c:pt idx="2508">
                  <c:v>56978</c:v>
                </c:pt>
                <c:pt idx="2509">
                  <c:v>56985</c:v>
                </c:pt>
                <c:pt idx="2510">
                  <c:v>56992</c:v>
                </c:pt>
                <c:pt idx="2511">
                  <c:v>56999</c:v>
                </c:pt>
                <c:pt idx="2512">
                  <c:v>57006</c:v>
                </c:pt>
                <c:pt idx="2513">
                  <c:v>57013</c:v>
                </c:pt>
                <c:pt idx="2514">
                  <c:v>57020</c:v>
                </c:pt>
                <c:pt idx="2515">
                  <c:v>57027</c:v>
                </c:pt>
                <c:pt idx="2516">
                  <c:v>57034</c:v>
                </c:pt>
                <c:pt idx="2517">
                  <c:v>57041</c:v>
                </c:pt>
                <c:pt idx="2518">
                  <c:v>57048</c:v>
                </c:pt>
                <c:pt idx="2519">
                  <c:v>57055</c:v>
                </c:pt>
                <c:pt idx="2520">
                  <c:v>57062</c:v>
                </c:pt>
                <c:pt idx="2521">
                  <c:v>57069</c:v>
                </c:pt>
                <c:pt idx="2522">
                  <c:v>57076</c:v>
                </c:pt>
                <c:pt idx="2523">
                  <c:v>57083</c:v>
                </c:pt>
                <c:pt idx="2524">
                  <c:v>57090</c:v>
                </c:pt>
                <c:pt idx="2525">
                  <c:v>57097</c:v>
                </c:pt>
                <c:pt idx="2526">
                  <c:v>57104</c:v>
                </c:pt>
                <c:pt idx="2527">
                  <c:v>57111</c:v>
                </c:pt>
                <c:pt idx="2528">
                  <c:v>57118</c:v>
                </c:pt>
                <c:pt idx="2529">
                  <c:v>57125</c:v>
                </c:pt>
                <c:pt idx="2530">
                  <c:v>57132</c:v>
                </c:pt>
                <c:pt idx="2531">
                  <c:v>57139</c:v>
                </c:pt>
                <c:pt idx="2532">
                  <c:v>57146</c:v>
                </c:pt>
                <c:pt idx="2533">
                  <c:v>57153</c:v>
                </c:pt>
                <c:pt idx="2534">
                  <c:v>57160</c:v>
                </c:pt>
                <c:pt idx="2535">
                  <c:v>57167</c:v>
                </c:pt>
                <c:pt idx="2536">
                  <c:v>57174</c:v>
                </c:pt>
                <c:pt idx="2537">
                  <c:v>57181</c:v>
                </c:pt>
                <c:pt idx="2538">
                  <c:v>57188</c:v>
                </c:pt>
                <c:pt idx="2539">
                  <c:v>57195</c:v>
                </c:pt>
                <c:pt idx="2540">
                  <c:v>57202</c:v>
                </c:pt>
                <c:pt idx="2541">
                  <c:v>57209</c:v>
                </c:pt>
                <c:pt idx="2542">
                  <c:v>57216</c:v>
                </c:pt>
                <c:pt idx="2543">
                  <c:v>57223</c:v>
                </c:pt>
                <c:pt idx="2544">
                  <c:v>57230</c:v>
                </c:pt>
                <c:pt idx="2545">
                  <c:v>57237</c:v>
                </c:pt>
                <c:pt idx="2546">
                  <c:v>57244</c:v>
                </c:pt>
                <c:pt idx="2547">
                  <c:v>57251</c:v>
                </c:pt>
                <c:pt idx="2548">
                  <c:v>57258</c:v>
                </c:pt>
                <c:pt idx="2549">
                  <c:v>57265</c:v>
                </c:pt>
                <c:pt idx="2550">
                  <c:v>57272</c:v>
                </c:pt>
                <c:pt idx="2551">
                  <c:v>57279</c:v>
                </c:pt>
                <c:pt idx="2552">
                  <c:v>57286</c:v>
                </c:pt>
                <c:pt idx="2553">
                  <c:v>57293</c:v>
                </c:pt>
                <c:pt idx="2554">
                  <c:v>57300</c:v>
                </c:pt>
                <c:pt idx="2555">
                  <c:v>57307</c:v>
                </c:pt>
                <c:pt idx="2556">
                  <c:v>57314</c:v>
                </c:pt>
                <c:pt idx="2557">
                  <c:v>57321</c:v>
                </c:pt>
                <c:pt idx="2558">
                  <c:v>57328</c:v>
                </c:pt>
                <c:pt idx="2559">
                  <c:v>57335</c:v>
                </c:pt>
                <c:pt idx="2560">
                  <c:v>57343</c:v>
                </c:pt>
                <c:pt idx="2561">
                  <c:v>57350</c:v>
                </c:pt>
                <c:pt idx="2562">
                  <c:v>57357</c:v>
                </c:pt>
                <c:pt idx="2563">
                  <c:v>57364</c:v>
                </c:pt>
                <c:pt idx="2564">
                  <c:v>57371</c:v>
                </c:pt>
                <c:pt idx="2565">
                  <c:v>57378</c:v>
                </c:pt>
                <c:pt idx="2566">
                  <c:v>57385</c:v>
                </c:pt>
                <c:pt idx="2567">
                  <c:v>57392</c:v>
                </c:pt>
                <c:pt idx="2568">
                  <c:v>57399</c:v>
                </c:pt>
                <c:pt idx="2569">
                  <c:v>57406</c:v>
                </c:pt>
                <c:pt idx="2570">
                  <c:v>57413</c:v>
                </c:pt>
                <c:pt idx="2571">
                  <c:v>57420</c:v>
                </c:pt>
                <c:pt idx="2572">
                  <c:v>57427</c:v>
                </c:pt>
                <c:pt idx="2573">
                  <c:v>57434</c:v>
                </c:pt>
                <c:pt idx="2574">
                  <c:v>57441</c:v>
                </c:pt>
                <c:pt idx="2575">
                  <c:v>57448</c:v>
                </c:pt>
                <c:pt idx="2576">
                  <c:v>57459</c:v>
                </c:pt>
                <c:pt idx="2577">
                  <c:v>57462</c:v>
                </c:pt>
                <c:pt idx="2578">
                  <c:v>57469</c:v>
                </c:pt>
                <c:pt idx="2579">
                  <c:v>57476</c:v>
                </c:pt>
                <c:pt idx="2580">
                  <c:v>57483</c:v>
                </c:pt>
                <c:pt idx="2581">
                  <c:v>57490</c:v>
                </c:pt>
                <c:pt idx="2582">
                  <c:v>57497</c:v>
                </c:pt>
                <c:pt idx="2583">
                  <c:v>57504</c:v>
                </c:pt>
                <c:pt idx="2584">
                  <c:v>57511</c:v>
                </c:pt>
                <c:pt idx="2585">
                  <c:v>57518</c:v>
                </c:pt>
                <c:pt idx="2586">
                  <c:v>57525</c:v>
                </c:pt>
                <c:pt idx="2587">
                  <c:v>57532</c:v>
                </c:pt>
                <c:pt idx="2588">
                  <c:v>57539</c:v>
                </c:pt>
                <c:pt idx="2589">
                  <c:v>57546</c:v>
                </c:pt>
                <c:pt idx="2590">
                  <c:v>57553</c:v>
                </c:pt>
                <c:pt idx="2591">
                  <c:v>57560</c:v>
                </c:pt>
                <c:pt idx="2592">
                  <c:v>57567</c:v>
                </c:pt>
                <c:pt idx="2593">
                  <c:v>57574</c:v>
                </c:pt>
                <c:pt idx="2594">
                  <c:v>57581</c:v>
                </c:pt>
                <c:pt idx="2595">
                  <c:v>57588</c:v>
                </c:pt>
                <c:pt idx="2596">
                  <c:v>57595</c:v>
                </c:pt>
                <c:pt idx="2597">
                  <c:v>57602</c:v>
                </c:pt>
                <c:pt idx="2598">
                  <c:v>57609</c:v>
                </c:pt>
                <c:pt idx="2599">
                  <c:v>57616</c:v>
                </c:pt>
                <c:pt idx="2600">
                  <c:v>57623</c:v>
                </c:pt>
                <c:pt idx="2601">
                  <c:v>57630</c:v>
                </c:pt>
                <c:pt idx="2602">
                  <c:v>57637</c:v>
                </c:pt>
                <c:pt idx="2603">
                  <c:v>57644</c:v>
                </c:pt>
                <c:pt idx="2604">
                  <c:v>57651</c:v>
                </c:pt>
                <c:pt idx="2605">
                  <c:v>57658</c:v>
                </c:pt>
                <c:pt idx="2606">
                  <c:v>57665</c:v>
                </c:pt>
                <c:pt idx="2607">
                  <c:v>57672</c:v>
                </c:pt>
                <c:pt idx="2608">
                  <c:v>57679</c:v>
                </c:pt>
                <c:pt idx="2609">
                  <c:v>57686</c:v>
                </c:pt>
                <c:pt idx="2610">
                  <c:v>57693</c:v>
                </c:pt>
                <c:pt idx="2611">
                  <c:v>57700</c:v>
                </c:pt>
                <c:pt idx="2612">
                  <c:v>57710</c:v>
                </c:pt>
                <c:pt idx="2613">
                  <c:v>57717</c:v>
                </c:pt>
                <c:pt idx="2614">
                  <c:v>57724</c:v>
                </c:pt>
                <c:pt idx="2615">
                  <c:v>57731</c:v>
                </c:pt>
                <c:pt idx="2616">
                  <c:v>57738</c:v>
                </c:pt>
                <c:pt idx="2617">
                  <c:v>57745</c:v>
                </c:pt>
                <c:pt idx="2618">
                  <c:v>57752</c:v>
                </c:pt>
                <c:pt idx="2619">
                  <c:v>57759</c:v>
                </c:pt>
                <c:pt idx="2620">
                  <c:v>57766</c:v>
                </c:pt>
                <c:pt idx="2621">
                  <c:v>57773</c:v>
                </c:pt>
                <c:pt idx="2622">
                  <c:v>57780</c:v>
                </c:pt>
                <c:pt idx="2623">
                  <c:v>57787</c:v>
                </c:pt>
                <c:pt idx="2624">
                  <c:v>57794</c:v>
                </c:pt>
                <c:pt idx="2625">
                  <c:v>57801</c:v>
                </c:pt>
                <c:pt idx="2626">
                  <c:v>57808</c:v>
                </c:pt>
                <c:pt idx="2627">
                  <c:v>57817</c:v>
                </c:pt>
                <c:pt idx="2628">
                  <c:v>57822</c:v>
                </c:pt>
                <c:pt idx="2629">
                  <c:v>57829</c:v>
                </c:pt>
                <c:pt idx="2630">
                  <c:v>57836</c:v>
                </c:pt>
                <c:pt idx="2631">
                  <c:v>57843</c:v>
                </c:pt>
                <c:pt idx="2632">
                  <c:v>57850</c:v>
                </c:pt>
                <c:pt idx="2633">
                  <c:v>57857</c:v>
                </c:pt>
                <c:pt idx="2634">
                  <c:v>57864</c:v>
                </c:pt>
                <c:pt idx="2635">
                  <c:v>57871</c:v>
                </c:pt>
                <c:pt idx="2636">
                  <c:v>57878</c:v>
                </c:pt>
                <c:pt idx="2637">
                  <c:v>57885</c:v>
                </c:pt>
                <c:pt idx="2638">
                  <c:v>57892</c:v>
                </c:pt>
                <c:pt idx="2639">
                  <c:v>57899</c:v>
                </c:pt>
                <c:pt idx="2640">
                  <c:v>57906</c:v>
                </c:pt>
                <c:pt idx="2641">
                  <c:v>57913</c:v>
                </c:pt>
                <c:pt idx="2642">
                  <c:v>57920</c:v>
                </c:pt>
                <c:pt idx="2643">
                  <c:v>57927</c:v>
                </c:pt>
                <c:pt idx="2644">
                  <c:v>57934</c:v>
                </c:pt>
                <c:pt idx="2645">
                  <c:v>57941</c:v>
                </c:pt>
                <c:pt idx="2646">
                  <c:v>57948</c:v>
                </c:pt>
                <c:pt idx="2647">
                  <c:v>57955</c:v>
                </c:pt>
                <c:pt idx="2648">
                  <c:v>57962</c:v>
                </c:pt>
                <c:pt idx="2649">
                  <c:v>57969</c:v>
                </c:pt>
                <c:pt idx="2650">
                  <c:v>57976</c:v>
                </c:pt>
                <c:pt idx="2651">
                  <c:v>57983</c:v>
                </c:pt>
                <c:pt idx="2652">
                  <c:v>57990</c:v>
                </c:pt>
                <c:pt idx="2653">
                  <c:v>57997</c:v>
                </c:pt>
                <c:pt idx="2654">
                  <c:v>58004</c:v>
                </c:pt>
                <c:pt idx="2655">
                  <c:v>58011</c:v>
                </c:pt>
                <c:pt idx="2656">
                  <c:v>58018</c:v>
                </c:pt>
                <c:pt idx="2657">
                  <c:v>58025</c:v>
                </c:pt>
                <c:pt idx="2658">
                  <c:v>58032</c:v>
                </c:pt>
                <c:pt idx="2659">
                  <c:v>58039</c:v>
                </c:pt>
                <c:pt idx="2660">
                  <c:v>58046</c:v>
                </c:pt>
                <c:pt idx="2661">
                  <c:v>58053</c:v>
                </c:pt>
                <c:pt idx="2662">
                  <c:v>58060</c:v>
                </c:pt>
                <c:pt idx="2663">
                  <c:v>58067</c:v>
                </c:pt>
                <c:pt idx="2664">
                  <c:v>58075</c:v>
                </c:pt>
                <c:pt idx="2665">
                  <c:v>58082</c:v>
                </c:pt>
                <c:pt idx="2666">
                  <c:v>58089</c:v>
                </c:pt>
                <c:pt idx="2667">
                  <c:v>58096</c:v>
                </c:pt>
                <c:pt idx="2668">
                  <c:v>58103</c:v>
                </c:pt>
                <c:pt idx="2669">
                  <c:v>58110</c:v>
                </c:pt>
                <c:pt idx="2670">
                  <c:v>58117</c:v>
                </c:pt>
                <c:pt idx="2671">
                  <c:v>58124</c:v>
                </c:pt>
                <c:pt idx="2672">
                  <c:v>58131</c:v>
                </c:pt>
                <c:pt idx="2673">
                  <c:v>58138</c:v>
                </c:pt>
                <c:pt idx="2674">
                  <c:v>58145</c:v>
                </c:pt>
                <c:pt idx="2675">
                  <c:v>58152</c:v>
                </c:pt>
                <c:pt idx="2676">
                  <c:v>58159</c:v>
                </c:pt>
                <c:pt idx="2677">
                  <c:v>58168</c:v>
                </c:pt>
                <c:pt idx="2678">
                  <c:v>58175</c:v>
                </c:pt>
                <c:pt idx="2679">
                  <c:v>58182</c:v>
                </c:pt>
                <c:pt idx="2680">
                  <c:v>58189</c:v>
                </c:pt>
                <c:pt idx="2681">
                  <c:v>58197</c:v>
                </c:pt>
                <c:pt idx="2682">
                  <c:v>58203</c:v>
                </c:pt>
                <c:pt idx="2683">
                  <c:v>58210</c:v>
                </c:pt>
                <c:pt idx="2684">
                  <c:v>58217</c:v>
                </c:pt>
                <c:pt idx="2685">
                  <c:v>58224</c:v>
                </c:pt>
                <c:pt idx="2686">
                  <c:v>58231</c:v>
                </c:pt>
                <c:pt idx="2687">
                  <c:v>58238</c:v>
                </c:pt>
                <c:pt idx="2688">
                  <c:v>58245</c:v>
                </c:pt>
                <c:pt idx="2689">
                  <c:v>58252</c:v>
                </c:pt>
                <c:pt idx="2690">
                  <c:v>58259</c:v>
                </c:pt>
                <c:pt idx="2691">
                  <c:v>58266</c:v>
                </c:pt>
                <c:pt idx="2692">
                  <c:v>58273</c:v>
                </c:pt>
                <c:pt idx="2693">
                  <c:v>58280</c:v>
                </c:pt>
                <c:pt idx="2694">
                  <c:v>58287</c:v>
                </c:pt>
                <c:pt idx="2695">
                  <c:v>58294</c:v>
                </c:pt>
                <c:pt idx="2696">
                  <c:v>58301</c:v>
                </c:pt>
                <c:pt idx="2697">
                  <c:v>58308</c:v>
                </c:pt>
                <c:pt idx="2698">
                  <c:v>58315</c:v>
                </c:pt>
                <c:pt idx="2699">
                  <c:v>58322</c:v>
                </c:pt>
                <c:pt idx="2700">
                  <c:v>58329</c:v>
                </c:pt>
                <c:pt idx="2701">
                  <c:v>58336</c:v>
                </c:pt>
                <c:pt idx="2702">
                  <c:v>58343</c:v>
                </c:pt>
                <c:pt idx="2703">
                  <c:v>58350</c:v>
                </c:pt>
                <c:pt idx="2704">
                  <c:v>58357</c:v>
                </c:pt>
                <c:pt idx="2705">
                  <c:v>58364</c:v>
                </c:pt>
                <c:pt idx="2706">
                  <c:v>58371</c:v>
                </c:pt>
                <c:pt idx="2707">
                  <c:v>58378</c:v>
                </c:pt>
                <c:pt idx="2708">
                  <c:v>58385</c:v>
                </c:pt>
                <c:pt idx="2709">
                  <c:v>58392</c:v>
                </c:pt>
                <c:pt idx="2710">
                  <c:v>58399</c:v>
                </c:pt>
                <c:pt idx="2711">
                  <c:v>58406</c:v>
                </c:pt>
                <c:pt idx="2712">
                  <c:v>58413</c:v>
                </c:pt>
                <c:pt idx="2713">
                  <c:v>58420</c:v>
                </c:pt>
                <c:pt idx="2714">
                  <c:v>58427</c:v>
                </c:pt>
                <c:pt idx="2715">
                  <c:v>58438</c:v>
                </c:pt>
                <c:pt idx="2716">
                  <c:v>58442</c:v>
                </c:pt>
                <c:pt idx="2717">
                  <c:v>58448</c:v>
                </c:pt>
                <c:pt idx="2718">
                  <c:v>58455</c:v>
                </c:pt>
                <c:pt idx="2719">
                  <c:v>58462</c:v>
                </c:pt>
                <c:pt idx="2720">
                  <c:v>58469</c:v>
                </c:pt>
                <c:pt idx="2721">
                  <c:v>58476</c:v>
                </c:pt>
                <c:pt idx="2722">
                  <c:v>58483</c:v>
                </c:pt>
                <c:pt idx="2723">
                  <c:v>58490</c:v>
                </c:pt>
                <c:pt idx="2724">
                  <c:v>58497</c:v>
                </c:pt>
                <c:pt idx="2725">
                  <c:v>58504</c:v>
                </c:pt>
                <c:pt idx="2726">
                  <c:v>58511</c:v>
                </c:pt>
                <c:pt idx="2727">
                  <c:v>58518</c:v>
                </c:pt>
                <c:pt idx="2728">
                  <c:v>58525</c:v>
                </c:pt>
                <c:pt idx="2729">
                  <c:v>58532</c:v>
                </c:pt>
                <c:pt idx="2730">
                  <c:v>58539</c:v>
                </c:pt>
                <c:pt idx="2731">
                  <c:v>58546</c:v>
                </c:pt>
                <c:pt idx="2732">
                  <c:v>58553</c:v>
                </c:pt>
                <c:pt idx="2733">
                  <c:v>58560</c:v>
                </c:pt>
                <c:pt idx="2734">
                  <c:v>58567</c:v>
                </c:pt>
                <c:pt idx="2735">
                  <c:v>58574</c:v>
                </c:pt>
                <c:pt idx="2736">
                  <c:v>58581</c:v>
                </c:pt>
                <c:pt idx="2737">
                  <c:v>58588</c:v>
                </c:pt>
                <c:pt idx="2738">
                  <c:v>58595</c:v>
                </c:pt>
                <c:pt idx="2739">
                  <c:v>58602</c:v>
                </c:pt>
                <c:pt idx="2740">
                  <c:v>58609</c:v>
                </c:pt>
                <c:pt idx="2741">
                  <c:v>58616</c:v>
                </c:pt>
                <c:pt idx="2742">
                  <c:v>58623</c:v>
                </c:pt>
                <c:pt idx="2743">
                  <c:v>58630</c:v>
                </c:pt>
                <c:pt idx="2744">
                  <c:v>58637</c:v>
                </c:pt>
                <c:pt idx="2745">
                  <c:v>58644</c:v>
                </c:pt>
                <c:pt idx="2746">
                  <c:v>58651</c:v>
                </c:pt>
                <c:pt idx="2747">
                  <c:v>58658</c:v>
                </c:pt>
                <c:pt idx="2748">
                  <c:v>58665</c:v>
                </c:pt>
                <c:pt idx="2749">
                  <c:v>58672</c:v>
                </c:pt>
                <c:pt idx="2750">
                  <c:v>58679</c:v>
                </c:pt>
                <c:pt idx="2751">
                  <c:v>58686</c:v>
                </c:pt>
                <c:pt idx="2752">
                  <c:v>58693</c:v>
                </c:pt>
                <c:pt idx="2753">
                  <c:v>58700</c:v>
                </c:pt>
                <c:pt idx="2754">
                  <c:v>58707</c:v>
                </c:pt>
                <c:pt idx="2755">
                  <c:v>58714</c:v>
                </c:pt>
                <c:pt idx="2756">
                  <c:v>58721</c:v>
                </c:pt>
                <c:pt idx="2757">
                  <c:v>58728</c:v>
                </c:pt>
                <c:pt idx="2758">
                  <c:v>58735</c:v>
                </c:pt>
                <c:pt idx="2759">
                  <c:v>58742</c:v>
                </c:pt>
                <c:pt idx="2760">
                  <c:v>58749</c:v>
                </c:pt>
                <c:pt idx="2761">
                  <c:v>58756</c:v>
                </c:pt>
                <c:pt idx="2762">
                  <c:v>58763</c:v>
                </c:pt>
                <c:pt idx="2763">
                  <c:v>58770</c:v>
                </c:pt>
                <c:pt idx="2764">
                  <c:v>58777</c:v>
                </c:pt>
                <c:pt idx="2765">
                  <c:v>58784</c:v>
                </c:pt>
                <c:pt idx="2766">
                  <c:v>58791</c:v>
                </c:pt>
                <c:pt idx="2767">
                  <c:v>58798</c:v>
                </c:pt>
                <c:pt idx="2768">
                  <c:v>58805</c:v>
                </c:pt>
                <c:pt idx="2769">
                  <c:v>58812</c:v>
                </c:pt>
                <c:pt idx="2770">
                  <c:v>58819</c:v>
                </c:pt>
                <c:pt idx="2771">
                  <c:v>58826</c:v>
                </c:pt>
                <c:pt idx="2772">
                  <c:v>58833</c:v>
                </c:pt>
                <c:pt idx="2773">
                  <c:v>58840</c:v>
                </c:pt>
                <c:pt idx="2774">
                  <c:v>58847</c:v>
                </c:pt>
                <c:pt idx="2775">
                  <c:v>58854</c:v>
                </c:pt>
                <c:pt idx="2776">
                  <c:v>58861</c:v>
                </c:pt>
                <c:pt idx="2777">
                  <c:v>58868</c:v>
                </c:pt>
                <c:pt idx="2778">
                  <c:v>58875</c:v>
                </c:pt>
                <c:pt idx="2779">
                  <c:v>58882</c:v>
                </c:pt>
                <c:pt idx="2780">
                  <c:v>58889</c:v>
                </c:pt>
                <c:pt idx="2781">
                  <c:v>58896</c:v>
                </c:pt>
                <c:pt idx="2782">
                  <c:v>58903</c:v>
                </c:pt>
                <c:pt idx="2783">
                  <c:v>58910</c:v>
                </c:pt>
                <c:pt idx="2784">
                  <c:v>58917</c:v>
                </c:pt>
                <c:pt idx="2785">
                  <c:v>58924</c:v>
                </c:pt>
                <c:pt idx="2786">
                  <c:v>58931</c:v>
                </c:pt>
                <c:pt idx="2787">
                  <c:v>58938</c:v>
                </c:pt>
                <c:pt idx="2788">
                  <c:v>58945</c:v>
                </c:pt>
                <c:pt idx="2789">
                  <c:v>58952</c:v>
                </c:pt>
                <c:pt idx="2790">
                  <c:v>58959</c:v>
                </c:pt>
                <c:pt idx="2791">
                  <c:v>58966</c:v>
                </c:pt>
                <c:pt idx="2792">
                  <c:v>58973</c:v>
                </c:pt>
                <c:pt idx="2793">
                  <c:v>58980</c:v>
                </c:pt>
                <c:pt idx="2794">
                  <c:v>58987</c:v>
                </c:pt>
                <c:pt idx="2795">
                  <c:v>58994</c:v>
                </c:pt>
                <c:pt idx="2796">
                  <c:v>59001</c:v>
                </c:pt>
                <c:pt idx="2797">
                  <c:v>59008</c:v>
                </c:pt>
                <c:pt idx="2798">
                  <c:v>59015</c:v>
                </c:pt>
                <c:pt idx="2799">
                  <c:v>59022</c:v>
                </c:pt>
                <c:pt idx="2800">
                  <c:v>59029</c:v>
                </c:pt>
                <c:pt idx="2801">
                  <c:v>59036</c:v>
                </c:pt>
                <c:pt idx="2802">
                  <c:v>59043</c:v>
                </c:pt>
                <c:pt idx="2803">
                  <c:v>59050</c:v>
                </c:pt>
                <c:pt idx="2804">
                  <c:v>59057</c:v>
                </c:pt>
                <c:pt idx="2805">
                  <c:v>59064</c:v>
                </c:pt>
                <c:pt idx="2806">
                  <c:v>59071</c:v>
                </c:pt>
                <c:pt idx="2807">
                  <c:v>59078</c:v>
                </c:pt>
                <c:pt idx="2808">
                  <c:v>59085</c:v>
                </c:pt>
                <c:pt idx="2809">
                  <c:v>59092</c:v>
                </c:pt>
                <c:pt idx="2810">
                  <c:v>59099</c:v>
                </c:pt>
                <c:pt idx="2811">
                  <c:v>59106</c:v>
                </c:pt>
                <c:pt idx="2812">
                  <c:v>59113</c:v>
                </c:pt>
                <c:pt idx="2813">
                  <c:v>59120</c:v>
                </c:pt>
                <c:pt idx="2814">
                  <c:v>59127</c:v>
                </c:pt>
                <c:pt idx="2815">
                  <c:v>59134</c:v>
                </c:pt>
                <c:pt idx="2816">
                  <c:v>59141</c:v>
                </c:pt>
                <c:pt idx="2817">
                  <c:v>59148</c:v>
                </c:pt>
                <c:pt idx="2818">
                  <c:v>59155</c:v>
                </c:pt>
                <c:pt idx="2819">
                  <c:v>59162</c:v>
                </c:pt>
                <c:pt idx="2820">
                  <c:v>59169</c:v>
                </c:pt>
                <c:pt idx="2821">
                  <c:v>59176</c:v>
                </c:pt>
                <c:pt idx="2822">
                  <c:v>59183</c:v>
                </c:pt>
                <c:pt idx="2823">
                  <c:v>59190</c:v>
                </c:pt>
                <c:pt idx="2824">
                  <c:v>59197</c:v>
                </c:pt>
                <c:pt idx="2825">
                  <c:v>59204</c:v>
                </c:pt>
                <c:pt idx="2826">
                  <c:v>59211</c:v>
                </c:pt>
                <c:pt idx="2827">
                  <c:v>59218</c:v>
                </c:pt>
                <c:pt idx="2828">
                  <c:v>59225</c:v>
                </c:pt>
                <c:pt idx="2829">
                  <c:v>59232</c:v>
                </c:pt>
                <c:pt idx="2830">
                  <c:v>59239</c:v>
                </c:pt>
                <c:pt idx="2831">
                  <c:v>59246</c:v>
                </c:pt>
                <c:pt idx="2832">
                  <c:v>59253</c:v>
                </c:pt>
                <c:pt idx="2833">
                  <c:v>59260</c:v>
                </c:pt>
                <c:pt idx="2834">
                  <c:v>59267</c:v>
                </c:pt>
                <c:pt idx="2835">
                  <c:v>59274</c:v>
                </c:pt>
                <c:pt idx="2836">
                  <c:v>59281</c:v>
                </c:pt>
                <c:pt idx="2837">
                  <c:v>59288</c:v>
                </c:pt>
                <c:pt idx="2838">
                  <c:v>59295</c:v>
                </c:pt>
                <c:pt idx="2839">
                  <c:v>59302</c:v>
                </c:pt>
                <c:pt idx="2840">
                  <c:v>59309</c:v>
                </c:pt>
                <c:pt idx="2841">
                  <c:v>59316</c:v>
                </c:pt>
                <c:pt idx="2842">
                  <c:v>59323</c:v>
                </c:pt>
                <c:pt idx="2843">
                  <c:v>59330</c:v>
                </c:pt>
                <c:pt idx="2844">
                  <c:v>59337</c:v>
                </c:pt>
                <c:pt idx="2845">
                  <c:v>59344</c:v>
                </c:pt>
                <c:pt idx="2846">
                  <c:v>59351</c:v>
                </c:pt>
                <c:pt idx="2847">
                  <c:v>59358</c:v>
                </c:pt>
                <c:pt idx="2848">
                  <c:v>59365</c:v>
                </c:pt>
                <c:pt idx="2849">
                  <c:v>59372</c:v>
                </c:pt>
                <c:pt idx="2850">
                  <c:v>59379</c:v>
                </c:pt>
                <c:pt idx="2851">
                  <c:v>59386</c:v>
                </c:pt>
                <c:pt idx="2852">
                  <c:v>59393</c:v>
                </c:pt>
                <c:pt idx="2853">
                  <c:v>59400</c:v>
                </c:pt>
                <c:pt idx="2854">
                  <c:v>59407</c:v>
                </c:pt>
                <c:pt idx="2855">
                  <c:v>59414</c:v>
                </c:pt>
                <c:pt idx="2856">
                  <c:v>59421</c:v>
                </c:pt>
                <c:pt idx="2857">
                  <c:v>59428</c:v>
                </c:pt>
                <c:pt idx="2858">
                  <c:v>59435</c:v>
                </c:pt>
                <c:pt idx="2859">
                  <c:v>59442</c:v>
                </c:pt>
                <c:pt idx="2860">
                  <c:v>59449</c:v>
                </c:pt>
                <c:pt idx="2861">
                  <c:v>59456</c:v>
                </c:pt>
                <c:pt idx="2862">
                  <c:v>59463</c:v>
                </c:pt>
                <c:pt idx="2863">
                  <c:v>59470</c:v>
                </c:pt>
                <c:pt idx="2864">
                  <c:v>59477</c:v>
                </c:pt>
                <c:pt idx="2865">
                  <c:v>59484</c:v>
                </c:pt>
                <c:pt idx="2866">
                  <c:v>59491</c:v>
                </c:pt>
                <c:pt idx="2867">
                  <c:v>59498</c:v>
                </c:pt>
                <c:pt idx="2868">
                  <c:v>59505</c:v>
                </c:pt>
                <c:pt idx="2869">
                  <c:v>59512</c:v>
                </c:pt>
                <c:pt idx="2870">
                  <c:v>59519</c:v>
                </c:pt>
                <c:pt idx="2871">
                  <c:v>59526</c:v>
                </c:pt>
                <c:pt idx="2872">
                  <c:v>59534</c:v>
                </c:pt>
                <c:pt idx="2873">
                  <c:v>59541</c:v>
                </c:pt>
                <c:pt idx="2874">
                  <c:v>59548</c:v>
                </c:pt>
                <c:pt idx="2875">
                  <c:v>59555</c:v>
                </c:pt>
                <c:pt idx="2876">
                  <c:v>59562</c:v>
                </c:pt>
                <c:pt idx="2877">
                  <c:v>59569</c:v>
                </c:pt>
                <c:pt idx="2878">
                  <c:v>59576</c:v>
                </c:pt>
                <c:pt idx="2879">
                  <c:v>59583</c:v>
                </c:pt>
                <c:pt idx="2880">
                  <c:v>59590</c:v>
                </c:pt>
                <c:pt idx="2881">
                  <c:v>59597</c:v>
                </c:pt>
                <c:pt idx="2882">
                  <c:v>59604</c:v>
                </c:pt>
                <c:pt idx="2883">
                  <c:v>59611</c:v>
                </c:pt>
                <c:pt idx="2884">
                  <c:v>59618</c:v>
                </c:pt>
                <c:pt idx="2885">
                  <c:v>59625</c:v>
                </c:pt>
                <c:pt idx="2886">
                  <c:v>59632</c:v>
                </c:pt>
                <c:pt idx="2887">
                  <c:v>59643</c:v>
                </c:pt>
                <c:pt idx="2888">
                  <c:v>59646</c:v>
                </c:pt>
                <c:pt idx="2889">
                  <c:v>59653</c:v>
                </c:pt>
                <c:pt idx="2890">
                  <c:v>59660</c:v>
                </c:pt>
                <c:pt idx="2891">
                  <c:v>59667</c:v>
                </c:pt>
                <c:pt idx="2892">
                  <c:v>59674</c:v>
                </c:pt>
                <c:pt idx="2893">
                  <c:v>59681</c:v>
                </c:pt>
                <c:pt idx="2894">
                  <c:v>59688</c:v>
                </c:pt>
                <c:pt idx="2895">
                  <c:v>59695</c:v>
                </c:pt>
                <c:pt idx="2896">
                  <c:v>59702</c:v>
                </c:pt>
                <c:pt idx="2897">
                  <c:v>59709</c:v>
                </c:pt>
                <c:pt idx="2898">
                  <c:v>59716</c:v>
                </c:pt>
                <c:pt idx="2899">
                  <c:v>59723</c:v>
                </c:pt>
                <c:pt idx="2900">
                  <c:v>59730</c:v>
                </c:pt>
                <c:pt idx="2901">
                  <c:v>59737</c:v>
                </c:pt>
                <c:pt idx="2902">
                  <c:v>59744</c:v>
                </c:pt>
                <c:pt idx="2903">
                  <c:v>59751</c:v>
                </c:pt>
                <c:pt idx="2904">
                  <c:v>59758</c:v>
                </c:pt>
                <c:pt idx="2905">
                  <c:v>59765</c:v>
                </c:pt>
                <c:pt idx="2906">
                  <c:v>59772</c:v>
                </c:pt>
                <c:pt idx="2907">
                  <c:v>59779</c:v>
                </c:pt>
                <c:pt idx="2908">
                  <c:v>59786</c:v>
                </c:pt>
                <c:pt idx="2909">
                  <c:v>59793</c:v>
                </c:pt>
                <c:pt idx="2910">
                  <c:v>59800</c:v>
                </c:pt>
                <c:pt idx="2911">
                  <c:v>59807</c:v>
                </c:pt>
                <c:pt idx="2912">
                  <c:v>59814</c:v>
                </c:pt>
                <c:pt idx="2913">
                  <c:v>59821</c:v>
                </c:pt>
                <c:pt idx="2914">
                  <c:v>59828</c:v>
                </c:pt>
                <c:pt idx="2915">
                  <c:v>59835</c:v>
                </c:pt>
                <c:pt idx="2916">
                  <c:v>59842</c:v>
                </c:pt>
                <c:pt idx="2917">
                  <c:v>59849</c:v>
                </c:pt>
                <c:pt idx="2918">
                  <c:v>59856</c:v>
                </c:pt>
                <c:pt idx="2919">
                  <c:v>59863</c:v>
                </c:pt>
                <c:pt idx="2920">
                  <c:v>59870</c:v>
                </c:pt>
                <c:pt idx="2921">
                  <c:v>59877</c:v>
                </c:pt>
                <c:pt idx="2922">
                  <c:v>59884</c:v>
                </c:pt>
                <c:pt idx="2923">
                  <c:v>59891</c:v>
                </c:pt>
                <c:pt idx="2924">
                  <c:v>59901</c:v>
                </c:pt>
                <c:pt idx="2925">
                  <c:v>59908</c:v>
                </c:pt>
                <c:pt idx="2926">
                  <c:v>59915</c:v>
                </c:pt>
                <c:pt idx="2927">
                  <c:v>59922</c:v>
                </c:pt>
                <c:pt idx="2928">
                  <c:v>59929</c:v>
                </c:pt>
                <c:pt idx="2929">
                  <c:v>59936</c:v>
                </c:pt>
                <c:pt idx="2930">
                  <c:v>59943</c:v>
                </c:pt>
                <c:pt idx="2931">
                  <c:v>59950</c:v>
                </c:pt>
                <c:pt idx="2932">
                  <c:v>59957</c:v>
                </c:pt>
                <c:pt idx="2933">
                  <c:v>59964</c:v>
                </c:pt>
                <c:pt idx="2934">
                  <c:v>59971</c:v>
                </c:pt>
                <c:pt idx="2935">
                  <c:v>59978</c:v>
                </c:pt>
                <c:pt idx="2936">
                  <c:v>59985</c:v>
                </c:pt>
                <c:pt idx="2937">
                  <c:v>59992</c:v>
                </c:pt>
                <c:pt idx="2938">
                  <c:v>60001</c:v>
                </c:pt>
                <c:pt idx="2939">
                  <c:v>60006</c:v>
                </c:pt>
                <c:pt idx="2940">
                  <c:v>60013</c:v>
                </c:pt>
                <c:pt idx="2941">
                  <c:v>60020</c:v>
                </c:pt>
                <c:pt idx="2942">
                  <c:v>60028</c:v>
                </c:pt>
                <c:pt idx="2943">
                  <c:v>60035</c:v>
                </c:pt>
                <c:pt idx="2944">
                  <c:v>60042</c:v>
                </c:pt>
                <c:pt idx="2945">
                  <c:v>60049</c:v>
                </c:pt>
                <c:pt idx="2946">
                  <c:v>60056</c:v>
                </c:pt>
                <c:pt idx="2947">
                  <c:v>60063</c:v>
                </c:pt>
                <c:pt idx="2948">
                  <c:v>60070</c:v>
                </c:pt>
                <c:pt idx="2949">
                  <c:v>60077</c:v>
                </c:pt>
                <c:pt idx="2950">
                  <c:v>60084</c:v>
                </c:pt>
                <c:pt idx="2951">
                  <c:v>60091</c:v>
                </c:pt>
                <c:pt idx="2952">
                  <c:v>60098</c:v>
                </c:pt>
                <c:pt idx="2953">
                  <c:v>60105</c:v>
                </c:pt>
                <c:pt idx="2954">
                  <c:v>60112</c:v>
                </c:pt>
                <c:pt idx="2955">
                  <c:v>60119</c:v>
                </c:pt>
                <c:pt idx="2956">
                  <c:v>60126</c:v>
                </c:pt>
                <c:pt idx="2957">
                  <c:v>60133</c:v>
                </c:pt>
                <c:pt idx="2958">
                  <c:v>60140</c:v>
                </c:pt>
                <c:pt idx="2959">
                  <c:v>60147</c:v>
                </c:pt>
                <c:pt idx="2960">
                  <c:v>60154</c:v>
                </c:pt>
                <c:pt idx="2961">
                  <c:v>60161</c:v>
                </c:pt>
                <c:pt idx="2962">
                  <c:v>60168</c:v>
                </c:pt>
                <c:pt idx="2963">
                  <c:v>60175</c:v>
                </c:pt>
                <c:pt idx="2964">
                  <c:v>60182</c:v>
                </c:pt>
                <c:pt idx="2965">
                  <c:v>60189</c:v>
                </c:pt>
                <c:pt idx="2966">
                  <c:v>60196</c:v>
                </c:pt>
                <c:pt idx="2967">
                  <c:v>60203</c:v>
                </c:pt>
                <c:pt idx="2968">
                  <c:v>60210</c:v>
                </c:pt>
                <c:pt idx="2969">
                  <c:v>60217</c:v>
                </c:pt>
                <c:pt idx="2970">
                  <c:v>60224</c:v>
                </c:pt>
                <c:pt idx="2971">
                  <c:v>60231</c:v>
                </c:pt>
                <c:pt idx="2972">
                  <c:v>60238</c:v>
                </c:pt>
                <c:pt idx="2973">
                  <c:v>60245</c:v>
                </c:pt>
                <c:pt idx="2974">
                  <c:v>60252</c:v>
                </c:pt>
                <c:pt idx="2975">
                  <c:v>60259</c:v>
                </c:pt>
                <c:pt idx="2976">
                  <c:v>60267</c:v>
                </c:pt>
                <c:pt idx="2977">
                  <c:v>60274</c:v>
                </c:pt>
                <c:pt idx="2978">
                  <c:v>60281</c:v>
                </c:pt>
                <c:pt idx="2979">
                  <c:v>60288</c:v>
                </c:pt>
                <c:pt idx="2980">
                  <c:v>60295</c:v>
                </c:pt>
                <c:pt idx="2981">
                  <c:v>60302</c:v>
                </c:pt>
                <c:pt idx="2982">
                  <c:v>60309</c:v>
                </c:pt>
                <c:pt idx="2983">
                  <c:v>60316</c:v>
                </c:pt>
                <c:pt idx="2984">
                  <c:v>60323</c:v>
                </c:pt>
                <c:pt idx="2985">
                  <c:v>60330</c:v>
                </c:pt>
                <c:pt idx="2986">
                  <c:v>60337</c:v>
                </c:pt>
                <c:pt idx="2987">
                  <c:v>60344</c:v>
                </c:pt>
                <c:pt idx="2988">
                  <c:v>60351</c:v>
                </c:pt>
                <c:pt idx="2989">
                  <c:v>60359</c:v>
                </c:pt>
                <c:pt idx="2990">
                  <c:v>60366</c:v>
                </c:pt>
                <c:pt idx="2991">
                  <c:v>60373</c:v>
                </c:pt>
                <c:pt idx="2992">
                  <c:v>60380</c:v>
                </c:pt>
                <c:pt idx="2993">
                  <c:v>60387</c:v>
                </c:pt>
                <c:pt idx="2994">
                  <c:v>60394</c:v>
                </c:pt>
                <c:pt idx="2995">
                  <c:v>60401</c:v>
                </c:pt>
                <c:pt idx="2996">
                  <c:v>60408</c:v>
                </c:pt>
                <c:pt idx="2997">
                  <c:v>60415</c:v>
                </c:pt>
                <c:pt idx="2998">
                  <c:v>60422</c:v>
                </c:pt>
                <c:pt idx="2999">
                  <c:v>60429</c:v>
                </c:pt>
                <c:pt idx="3000">
                  <c:v>60436</c:v>
                </c:pt>
                <c:pt idx="3001">
                  <c:v>60443</c:v>
                </c:pt>
                <c:pt idx="3002">
                  <c:v>60450</c:v>
                </c:pt>
                <c:pt idx="3003">
                  <c:v>60457</c:v>
                </c:pt>
                <c:pt idx="3004">
                  <c:v>60464</c:v>
                </c:pt>
                <c:pt idx="3005">
                  <c:v>60471</c:v>
                </c:pt>
                <c:pt idx="3006">
                  <c:v>60478</c:v>
                </c:pt>
                <c:pt idx="3007">
                  <c:v>60485</c:v>
                </c:pt>
                <c:pt idx="3008">
                  <c:v>60492</c:v>
                </c:pt>
                <c:pt idx="3009">
                  <c:v>60499</c:v>
                </c:pt>
                <c:pt idx="3010">
                  <c:v>60506</c:v>
                </c:pt>
                <c:pt idx="3011">
                  <c:v>60513</c:v>
                </c:pt>
                <c:pt idx="3012">
                  <c:v>60520</c:v>
                </c:pt>
                <c:pt idx="3013">
                  <c:v>60527</c:v>
                </c:pt>
                <c:pt idx="3014">
                  <c:v>60534</c:v>
                </c:pt>
                <c:pt idx="3015">
                  <c:v>60541</c:v>
                </c:pt>
                <c:pt idx="3016">
                  <c:v>60548</c:v>
                </c:pt>
                <c:pt idx="3017">
                  <c:v>60555</c:v>
                </c:pt>
                <c:pt idx="3018">
                  <c:v>60562</c:v>
                </c:pt>
                <c:pt idx="3019">
                  <c:v>60569</c:v>
                </c:pt>
                <c:pt idx="3020">
                  <c:v>60576</c:v>
                </c:pt>
                <c:pt idx="3021">
                  <c:v>60583</c:v>
                </c:pt>
                <c:pt idx="3022">
                  <c:v>60590</c:v>
                </c:pt>
                <c:pt idx="3023">
                  <c:v>60597</c:v>
                </c:pt>
                <c:pt idx="3024">
                  <c:v>60604</c:v>
                </c:pt>
                <c:pt idx="3025">
                  <c:v>60611</c:v>
                </c:pt>
                <c:pt idx="3026">
                  <c:v>60618</c:v>
                </c:pt>
                <c:pt idx="3027">
                  <c:v>60625</c:v>
                </c:pt>
                <c:pt idx="3028">
                  <c:v>60632</c:v>
                </c:pt>
                <c:pt idx="3029">
                  <c:v>60639</c:v>
                </c:pt>
                <c:pt idx="3030">
                  <c:v>60646</c:v>
                </c:pt>
                <c:pt idx="3031">
                  <c:v>60653</c:v>
                </c:pt>
                <c:pt idx="3032">
                  <c:v>60660</c:v>
                </c:pt>
                <c:pt idx="3033">
                  <c:v>60667</c:v>
                </c:pt>
                <c:pt idx="3034">
                  <c:v>60674</c:v>
                </c:pt>
                <c:pt idx="3035">
                  <c:v>60681</c:v>
                </c:pt>
                <c:pt idx="3036">
                  <c:v>60688</c:v>
                </c:pt>
                <c:pt idx="3037">
                  <c:v>60695</c:v>
                </c:pt>
                <c:pt idx="3038">
                  <c:v>60702</c:v>
                </c:pt>
                <c:pt idx="3039">
                  <c:v>60709</c:v>
                </c:pt>
                <c:pt idx="3040">
                  <c:v>60716</c:v>
                </c:pt>
                <c:pt idx="3041">
                  <c:v>60723</c:v>
                </c:pt>
                <c:pt idx="3042">
                  <c:v>60730</c:v>
                </c:pt>
                <c:pt idx="3043">
                  <c:v>60737</c:v>
                </c:pt>
                <c:pt idx="3044">
                  <c:v>60744</c:v>
                </c:pt>
                <c:pt idx="3045">
                  <c:v>60751</c:v>
                </c:pt>
                <c:pt idx="3046">
                  <c:v>60758</c:v>
                </c:pt>
                <c:pt idx="3047">
                  <c:v>60765</c:v>
                </c:pt>
                <c:pt idx="3048">
                  <c:v>60772</c:v>
                </c:pt>
                <c:pt idx="3049">
                  <c:v>60779</c:v>
                </c:pt>
                <c:pt idx="3050">
                  <c:v>60786</c:v>
                </c:pt>
                <c:pt idx="3051">
                  <c:v>60793</c:v>
                </c:pt>
                <c:pt idx="3052">
                  <c:v>60800</c:v>
                </c:pt>
                <c:pt idx="3053">
                  <c:v>60807</c:v>
                </c:pt>
                <c:pt idx="3054">
                  <c:v>60814</c:v>
                </c:pt>
                <c:pt idx="3055">
                  <c:v>60821</c:v>
                </c:pt>
                <c:pt idx="3056">
                  <c:v>60828</c:v>
                </c:pt>
                <c:pt idx="3057">
                  <c:v>60835</c:v>
                </c:pt>
                <c:pt idx="3058">
                  <c:v>60842</c:v>
                </c:pt>
                <c:pt idx="3059">
                  <c:v>60849</c:v>
                </c:pt>
                <c:pt idx="3060">
                  <c:v>60856</c:v>
                </c:pt>
                <c:pt idx="3061">
                  <c:v>60863</c:v>
                </c:pt>
                <c:pt idx="3062">
                  <c:v>60870</c:v>
                </c:pt>
                <c:pt idx="3063">
                  <c:v>60877</c:v>
                </c:pt>
                <c:pt idx="3064">
                  <c:v>60884</c:v>
                </c:pt>
                <c:pt idx="3065">
                  <c:v>60891</c:v>
                </c:pt>
                <c:pt idx="3066">
                  <c:v>60898</c:v>
                </c:pt>
                <c:pt idx="3067">
                  <c:v>60905</c:v>
                </c:pt>
                <c:pt idx="3068">
                  <c:v>60912</c:v>
                </c:pt>
                <c:pt idx="3069">
                  <c:v>60919</c:v>
                </c:pt>
                <c:pt idx="3070">
                  <c:v>60926</c:v>
                </c:pt>
                <c:pt idx="3071">
                  <c:v>60933</c:v>
                </c:pt>
                <c:pt idx="3072">
                  <c:v>60940</c:v>
                </c:pt>
                <c:pt idx="3073">
                  <c:v>60947</c:v>
                </c:pt>
                <c:pt idx="3074">
                  <c:v>60954</c:v>
                </c:pt>
                <c:pt idx="3075">
                  <c:v>60961</c:v>
                </c:pt>
                <c:pt idx="3076">
                  <c:v>60968</c:v>
                </c:pt>
                <c:pt idx="3077">
                  <c:v>60975</c:v>
                </c:pt>
                <c:pt idx="3078">
                  <c:v>60982</c:v>
                </c:pt>
                <c:pt idx="3079">
                  <c:v>60989</c:v>
                </c:pt>
                <c:pt idx="3080">
                  <c:v>60996</c:v>
                </c:pt>
                <c:pt idx="3081">
                  <c:v>61003</c:v>
                </c:pt>
                <c:pt idx="3082">
                  <c:v>61010</c:v>
                </c:pt>
                <c:pt idx="3083">
                  <c:v>61017</c:v>
                </c:pt>
                <c:pt idx="3084">
                  <c:v>61024</c:v>
                </c:pt>
                <c:pt idx="3085">
                  <c:v>61031</c:v>
                </c:pt>
                <c:pt idx="3086">
                  <c:v>61038</c:v>
                </c:pt>
                <c:pt idx="3087">
                  <c:v>61045</c:v>
                </c:pt>
                <c:pt idx="3088">
                  <c:v>61052</c:v>
                </c:pt>
                <c:pt idx="3089">
                  <c:v>61059</c:v>
                </c:pt>
                <c:pt idx="3090">
                  <c:v>61066</c:v>
                </c:pt>
                <c:pt idx="3091">
                  <c:v>61073</c:v>
                </c:pt>
                <c:pt idx="3092">
                  <c:v>61080</c:v>
                </c:pt>
                <c:pt idx="3093">
                  <c:v>61087</c:v>
                </c:pt>
                <c:pt idx="3094">
                  <c:v>61094</c:v>
                </c:pt>
                <c:pt idx="3095">
                  <c:v>61101</c:v>
                </c:pt>
                <c:pt idx="3096">
                  <c:v>61108</c:v>
                </c:pt>
                <c:pt idx="3097">
                  <c:v>61115</c:v>
                </c:pt>
                <c:pt idx="3098">
                  <c:v>61122</c:v>
                </c:pt>
                <c:pt idx="3099">
                  <c:v>61129</c:v>
                </c:pt>
                <c:pt idx="3100">
                  <c:v>61136</c:v>
                </c:pt>
                <c:pt idx="3101">
                  <c:v>61143</c:v>
                </c:pt>
                <c:pt idx="3102">
                  <c:v>61150</c:v>
                </c:pt>
                <c:pt idx="3103">
                  <c:v>61157</c:v>
                </c:pt>
                <c:pt idx="3104">
                  <c:v>61164</c:v>
                </c:pt>
                <c:pt idx="3105">
                  <c:v>61171</c:v>
                </c:pt>
                <c:pt idx="3106">
                  <c:v>61178</c:v>
                </c:pt>
                <c:pt idx="3107">
                  <c:v>61185</c:v>
                </c:pt>
                <c:pt idx="3108">
                  <c:v>61192</c:v>
                </c:pt>
                <c:pt idx="3109">
                  <c:v>61199</c:v>
                </c:pt>
                <c:pt idx="3110">
                  <c:v>61206</c:v>
                </c:pt>
                <c:pt idx="3111">
                  <c:v>61213</c:v>
                </c:pt>
                <c:pt idx="3112">
                  <c:v>61220</c:v>
                </c:pt>
                <c:pt idx="3113">
                  <c:v>61227</c:v>
                </c:pt>
                <c:pt idx="3114">
                  <c:v>61234</c:v>
                </c:pt>
                <c:pt idx="3115">
                  <c:v>61241</c:v>
                </c:pt>
                <c:pt idx="3116">
                  <c:v>61248</c:v>
                </c:pt>
                <c:pt idx="3117">
                  <c:v>61255</c:v>
                </c:pt>
                <c:pt idx="3118">
                  <c:v>61262</c:v>
                </c:pt>
                <c:pt idx="3119">
                  <c:v>61269</c:v>
                </c:pt>
                <c:pt idx="3120">
                  <c:v>61276</c:v>
                </c:pt>
                <c:pt idx="3121">
                  <c:v>61283</c:v>
                </c:pt>
                <c:pt idx="3122">
                  <c:v>61290</c:v>
                </c:pt>
                <c:pt idx="3123">
                  <c:v>61297</c:v>
                </c:pt>
                <c:pt idx="3124">
                  <c:v>61304</c:v>
                </c:pt>
                <c:pt idx="3125">
                  <c:v>61311</c:v>
                </c:pt>
                <c:pt idx="3126">
                  <c:v>61318</c:v>
                </c:pt>
                <c:pt idx="3127">
                  <c:v>61325</c:v>
                </c:pt>
                <c:pt idx="3128">
                  <c:v>61332</c:v>
                </c:pt>
                <c:pt idx="3129">
                  <c:v>61339</c:v>
                </c:pt>
                <c:pt idx="3130">
                  <c:v>61346</c:v>
                </c:pt>
                <c:pt idx="3131">
                  <c:v>61353</c:v>
                </c:pt>
                <c:pt idx="3132">
                  <c:v>61360</c:v>
                </c:pt>
                <c:pt idx="3133">
                  <c:v>61367</c:v>
                </c:pt>
                <c:pt idx="3134">
                  <c:v>61374</c:v>
                </c:pt>
                <c:pt idx="3135">
                  <c:v>61381</c:v>
                </c:pt>
                <c:pt idx="3136">
                  <c:v>61388</c:v>
                </c:pt>
                <c:pt idx="3137">
                  <c:v>61395</c:v>
                </c:pt>
                <c:pt idx="3138">
                  <c:v>61402</c:v>
                </c:pt>
                <c:pt idx="3139">
                  <c:v>61409</c:v>
                </c:pt>
                <c:pt idx="3140">
                  <c:v>61416</c:v>
                </c:pt>
                <c:pt idx="3141">
                  <c:v>61423</c:v>
                </c:pt>
                <c:pt idx="3142">
                  <c:v>61430</c:v>
                </c:pt>
                <c:pt idx="3143">
                  <c:v>61437</c:v>
                </c:pt>
                <c:pt idx="3144">
                  <c:v>61444</c:v>
                </c:pt>
                <c:pt idx="3145">
                  <c:v>61451</c:v>
                </c:pt>
                <c:pt idx="3146">
                  <c:v>61458</c:v>
                </c:pt>
                <c:pt idx="3147">
                  <c:v>61465</c:v>
                </c:pt>
                <c:pt idx="3148">
                  <c:v>61472</c:v>
                </c:pt>
                <c:pt idx="3149">
                  <c:v>61479</c:v>
                </c:pt>
                <c:pt idx="3150">
                  <c:v>61487</c:v>
                </c:pt>
                <c:pt idx="3151">
                  <c:v>61494</c:v>
                </c:pt>
                <c:pt idx="3152">
                  <c:v>61501</c:v>
                </c:pt>
                <c:pt idx="3153">
                  <c:v>61508</c:v>
                </c:pt>
                <c:pt idx="3154">
                  <c:v>61515</c:v>
                </c:pt>
                <c:pt idx="3155">
                  <c:v>61522</c:v>
                </c:pt>
                <c:pt idx="3156">
                  <c:v>61529</c:v>
                </c:pt>
                <c:pt idx="3157">
                  <c:v>61536</c:v>
                </c:pt>
                <c:pt idx="3158">
                  <c:v>61543</c:v>
                </c:pt>
                <c:pt idx="3159">
                  <c:v>61550</c:v>
                </c:pt>
                <c:pt idx="3160">
                  <c:v>61557</c:v>
                </c:pt>
                <c:pt idx="3161">
                  <c:v>61564</c:v>
                </c:pt>
                <c:pt idx="3162">
                  <c:v>61571</c:v>
                </c:pt>
                <c:pt idx="3163">
                  <c:v>61578</c:v>
                </c:pt>
                <c:pt idx="3164">
                  <c:v>61585</c:v>
                </c:pt>
                <c:pt idx="3165">
                  <c:v>61592</c:v>
                </c:pt>
                <c:pt idx="3166">
                  <c:v>61599</c:v>
                </c:pt>
                <c:pt idx="3167">
                  <c:v>61606</c:v>
                </c:pt>
                <c:pt idx="3168">
                  <c:v>61613</c:v>
                </c:pt>
                <c:pt idx="3169">
                  <c:v>61620</c:v>
                </c:pt>
                <c:pt idx="3170">
                  <c:v>61627</c:v>
                </c:pt>
                <c:pt idx="3171">
                  <c:v>61634</c:v>
                </c:pt>
                <c:pt idx="3172">
                  <c:v>61641</c:v>
                </c:pt>
                <c:pt idx="3173">
                  <c:v>61648</c:v>
                </c:pt>
                <c:pt idx="3174">
                  <c:v>61655</c:v>
                </c:pt>
                <c:pt idx="3175">
                  <c:v>61662</c:v>
                </c:pt>
                <c:pt idx="3176">
                  <c:v>61669</c:v>
                </c:pt>
                <c:pt idx="3177">
                  <c:v>61676</c:v>
                </c:pt>
                <c:pt idx="3178">
                  <c:v>61683</c:v>
                </c:pt>
                <c:pt idx="3179">
                  <c:v>61690</c:v>
                </c:pt>
                <c:pt idx="3180">
                  <c:v>61697</c:v>
                </c:pt>
                <c:pt idx="3181">
                  <c:v>61704</c:v>
                </c:pt>
                <c:pt idx="3182">
                  <c:v>61711</c:v>
                </c:pt>
                <c:pt idx="3183">
                  <c:v>61718</c:v>
                </c:pt>
                <c:pt idx="3184">
                  <c:v>61728</c:v>
                </c:pt>
                <c:pt idx="3185">
                  <c:v>61735</c:v>
                </c:pt>
                <c:pt idx="3186">
                  <c:v>61742</c:v>
                </c:pt>
                <c:pt idx="3187">
                  <c:v>61749</c:v>
                </c:pt>
                <c:pt idx="3188">
                  <c:v>61756</c:v>
                </c:pt>
                <c:pt idx="3189">
                  <c:v>61763</c:v>
                </c:pt>
                <c:pt idx="3190">
                  <c:v>61770</c:v>
                </c:pt>
                <c:pt idx="3191">
                  <c:v>61777</c:v>
                </c:pt>
                <c:pt idx="3192">
                  <c:v>61784</c:v>
                </c:pt>
                <c:pt idx="3193">
                  <c:v>61791</c:v>
                </c:pt>
                <c:pt idx="3194">
                  <c:v>61798</c:v>
                </c:pt>
                <c:pt idx="3195">
                  <c:v>61805</c:v>
                </c:pt>
                <c:pt idx="3196">
                  <c:v>61812</c:v>
                </c:pt>
                <c:pt idx="3197">
                  <c:v>61819</c:v>
                </c:pt>
                <c:pt idx="3198">
                  <c:v>61826</c:v>
                </c:pt>
                <c:pt idx="3199">
                  <c:v>61835</c:v>
                </c:pt>
                <c:pt idx="3200">
                  <c:v>61840</c:v>
                </c:pt>
                <c:pt idx="3201">
                  <c:v>61847</c:v>
                </c:pt>
                <c:pt idx="3202">
                  <c:v>61854</c:v>
                </c:pt>
                <c:pt idx="3203">
                  <c:v>61861</c:v>
                </c:pt>
                <c:pt idx="3204">
                  <c:v>61868</c:v>
                </c:pt>
                <c:pt idx="3205">
                  <c:v>61875</c:v>
                </c:pt>
                <c:pt idx="3206">
                  <c:v>61882</c:v>
                </c:pt>
                <c:pt idx="3207">
                  <c:v>61889</c:v>
                </c:pt>
                <c:pt idx="3208">
                  <c:v>61896</c:v>
                </c:pt>
                <c:pt idx="3209">
                  <c:v>61903</c:v>
                </c:pt>
                <c:pt idx="3210">
                  <c:v>61910</c:v>
                </c:pt>
                <c:pt idx="3211">
                  <c:v>61917</c:v>
                </c:pt>
                <c:pt idx="3212">
                  <c:v>61924</c:v>
                </c:pt>
                <c:pt idx="3213">
                  <c:v>61931</c:v>
                </c:pt>
                <c:pt idx="3214">
                  <c:v>61938</c:v>
                </c:pt>
                <c:pt idx="3215">
                  <c:v>61945</c:v>
                </c:pt>
                <c:pt idx="3216">
                  <c:v>61952</c:v>
                </c:pt>
                <c:pt idx="3217">
                  <c:v>61959</c:v>
                </c:pt>
                <c:pt idx="3218">
                  <c:v>61966</c:v>
                </c:pt>
                <c:pt idx="3219">
                  <c:v>61973</c:v>
                </c:pt>
                <c:pt idx="3220">
                  <c:v>61980</c:v>
                </c:pt>
                <c:pt idx="3221">
                  <c:v>61987</c:v>
                </c:pt>
                <c:pt idx="3222">
                  <c:v>61994</c:v>
                </c:pt>
                <c:pt idx="3223">
                  <c:v>62001</c:v>
                </c:pt>
                <c:pt idx="3224">
                  <c:v>62008</c:v>
                </c:pt>
                <c:pt idx="3225">
                  <c:v>62015</c:v>
                </c:pt>
                <c:pt idx="3226">
                  <c:v>62022</c:v>
                </c:pt>
                <c:pt idx="3227">
                  <c:v>62029</c:v>
                </c:pt>
                <c:pt idx="3228">
                  <c:v>62036</c:v>
                </c:pt>
                <c:pt idx="3229">
                  <c:v>62043</c:v>
                </c:pt>
                <c:pt idx="3230">
                  <c:v>62050</c:v>
                </c:pt>
                <c:pt idx="3231">
                  <c:v>62057</c:v>
                </c:pt>
                <c:pt idx="3232">
                  <c:v>62064</c:v>
                </c:pt>
                <c:pt idx="3233">
                  <c:v>62071</c:v>
                </c:pt>
                <c:pt idx="3234">
                  <c:v>62078</c:v>
                </c:pt>
                <c:pt idx="3235">
                  <c:v>62085</c:v>
                </c:pt>
                <c:pt idx="3236">
                  <c:v>62093</c:v>
                </c:pt>
                <c:pt idx="3237">
                  <c:v>62100</c:v>
                </c:pt>
                <c:pt idx="3238">
                  <c:v>62107</c:v>
                </c:pt>
                <c:pt idx="3239">
                  <c:v>62114</c:v>
                </c:pt>
                <c:pt idx="3240">
                  <c:v>62121</c:v>
                </c:pt>
                <c:pt idx="3241">
                  <c:v>62128</c:v>
                </c:pt>
                <c:pt idx="3242">
                  <c:v>62135</c:v>
                </c:pt>
                <c:pt idx="3243">
                  <c:v>62142</c:v>
                </c:pt>
                <c:pt idx="3244">
                  <c:v>62149</c:v>
                </c:pt>
                <c:pt idx="3245">
                  <c:v>62156</c:v>
                </c:pt>
                <c:pt idx="3246">
                  <c:v>62163</c:v>
                </c:pt>
                <c:pt idx="3247">
                  <c:v>62170</c:v>
                </c:pt>
                <c:pt idx="3248">
                  <c:v>62177</c:v>
                </c:pt>
                <c:pt idx="3249">
                  <c:v>62186</c:v>
                </c:pt>
                <c:pt idx="3250">
                  <c:v>62193</c:v>
                </c:pt>
                <c:pt idx="3251">
                  <c:v>62200</c:v>
                </c:pt>
                <c:pt idx="3252">
                  <c:v>62207</c:v>
                </c:pt>
                <c:pt idx="3253">
                  <c:v>62215</c:v>
                </c:pt>
                <c:pt idx="3254">
                  <c:v>62221</c:v>
                </c:pt>
                <c:pt idx="3255">
                  <c:v>62228</c:v>
                </c:pt>
                <c:pt idx="3256">
                  <c:v>62235</c:v>
                </c:pt>
                <c:pt idx="3257">
                  <c:v>62242</c:v>
                </c:pt>
                <c:pt idx="3258">
                  <c:v>62249</c:v>
                </c:pt>
                <c:pt idx="3259">
                  <c:v>62256</c:v>
                </c:pt>
                <c:pt idx="3260">
                  <c:v>62263</c:v>
                </c:pt>
                <c:pt idx="3261">
                  <c:v>62270</c:v>
                </c:pt>
                <c:pt idx="3262">
                  <c:v>62277</c:v>
                </c:pt>
                <c:pt idx="3263">
                  <c:v>62284</c:v>
                </c:pt>
                <c:pt idx="3264">
                  <c:v>62291</c:v>
                </c:pt>
                <c:pt idx="3265">
                  <c:v>62298</c:v>
                </c:pt>
                <c:pt idx="3266">
                  <c:v>62305</c:v>
                </c:pt>
                <c:pt idx="3267">
                  <c:v>62312</c:v>
                </c:pt>
                <c:pt idx="3268">
                  <c:v>62319</c:v>
                </c:pt>
                <c:pt idx="3269">
                  <c:v>62326</c:v>
                </c:pt>
                <c:pt idx="3270">
                  <c:v>62333</c:v>
                </c:pt>
                <c:pt idx="3271">
                  <c:v>62340</c:v>
                </c:pt>
                <c:pt idx="3272">
                  <c:v>62347</c:v>
                </c:pt>
                <c:pt idx="3273">
                  <c:v>62354</c:v>
                </c:pt>
                <c:pt idx="3274">
                  <c:v>62361</c:v>
                </c:pt>
                <c:pt idx="3275">
                  <c:v>62368</c:v>
                </c:pt>
                <c:pt idx="3276">
                  <c:v>62375</c:v>
                </c:pt>
                <c:pt idx="3277">
                  <c:v>62382</c:v>
                </c:pt>
                <c:pt idx="3278">
                  <c:v>62389</c:v>
                </c:pt>
                <c:pt idx="3279">
                  <c:v>62396</c:v>
                </c:pt>
                <c:pt idx="3280">
                  <c:v>62403</c:v>
                </c:pt>
                <c:pt idx="3281">
                  <c:v>62410</c:v>
                </c:pt>
                <c:pt idx="3282">
                  <c:v>62417</c:v>
                </c:pt>
                <c:pt idx="3283">
                  <c:v>62424</c:v>
                </c:pt>
                <c:pt idx="3284">
                  <c:v>62431</c:v>
                </c:pt>
                <c:pt idx="3285">
                  <c:v>62438</c:v>
                </c:pt>
                <c:pt idx="3286">
                  <c:v>62445</c:v>
                </c:pt>
                <c:pt idx="3287">
                  <c:v>62456</c:v>
                </c:pt>
                <c:pt idx="3288">
                  <c:v>62460</c:v>
                </c:pt>
                <c:pt idx="3289">
                  <c:v>62466</c:v>
                </c:pt>
                <c:pt idx="3290">
                  <c:v>62473</c:v>
                </c:pt>
                <c:pt idx="3291">
                  <c:v>62480</c:v>
                </c:pt>
                <c:pt idx="3292">
                  <c:v>62487</c:v>
                </c:pt>
                <c:pt idx="3293">
                  <c:v>62494</c:v>
                </c:pt>
                <c:pt idx="3294">
                  <c:v>62501</c:v>
                </c:pt>
                <c:pt idx="3295">
                  <c:v>62508</c:v>
                </c:pt>
                <c:pt idx="3296">
                  <c:v>62515</c:v>
                </c:pt>
                <c:pt idx="3297">
                  <c:v>62522</c:v>
                </c:pt>
                <c:pt idx="3298">
                  <c:v>62529</c:v>
                </c:pt>
                <c:pt idx="3299">
                  <c:v>62536</c:v>
                </c:pt>
                <c:pt idx="3300">
                  <c:v>62543</c:v>
                </c:pt>
                <c:pt idx="3301">
                  <c:v>62550</c:v>
                </c:pt>
                <c:pt idx="3302">
                  <c:v>62557</c:v>
                </c:pt>
                <c:pt idx="3303">
                  <c:v>62564</c:v>
                </c:pt>
                <c:pt idx="3304">
                  <c:v>62571</c:v>
                </c:pt>
                <c:pt idx="3305">
                  <c:v>62578</c:v>
                </c:pt>
                <c:pt idx="3306">
                  <c:v>62585</c:v>
                </c:pt>
                <c:pt idx="3307">
                  <c:v>62592</c:v>
                </c:pt>
                <c:pt idx="3308">
                  <c:v>62599</c:v>
                </c:pt>
                <c:pt idx="3309">
                  <c:v>62606</c:v>
                </c:pt>
                <c:pt idx="3310">
                  <c:v>62613</c:v>
                </c:pt>
                <c:pt idx="3311">
                  <c:v>62620</c:v>
                </c:pt>
                <c:pt idx="3312">
                  <c:v>62627</c:v>
                </c:pt>
                <c:pt idx="3313">
                  <c:v>62634</c:v>
                </c:pt>
                <c:pt idx="3314">
                  <c:v>62641</c:v>
                </c:pt>
                <c:pt idx="3315">
                  <c:v>62648</c:v>
                </c:pt>
                <c:pt idx="3316">
                  <c:v>62655</c:v>
                </c:pt>
                <c:pt idx="3317">
                  <c:v>62662</c:v>
                </c:pt>
                <c:pt idx="3318">
                  <c:v>62669</c:v>
                </c:pt>
                <c:pt idx="3319">
                  <c:v>62676</c:v>
                </c:pt>
                <c:pt idx="3320">
                  <c:v>62683</c:v>
                </c:pt>
                <c:pt idx="3321">
                  <c:v>62690</c:v>
                </c:pt>
                <c:pt idx="3322">
                  <c:v>62697</c:v>
                </c:pt>
                <c:pt idx="3323">
                  <c:v>62704</c:v>
                </c:pt>
                <c:pt idx="3324">
                  <c:v>62711</c:v>
                </c:pt>
                <c:pt idx="3325">
                  <c:v>62718</c:v>
                </c:pt>
                <c:pt idx="3326">
                  <c:v>62725</c:v>
                </c:pt>
                <c:pt idx="3327">
                  <c:v>62732</c:v>
                </c:pt>
                <c:pt idx="3328">
                  <c:v>62739</c:v>
                </c:pt>
                <c:pt idx="3329">
                  <c:v>62746</c:v>
                </c:pt>
                <c:pt idx="3330">
                  <c:v>62753</c:v>
                </c:pt>
                <c:pt idx="3331">
                  <c:v>62760</c:v>
                </c:pt>
                <c:pt idx="3332">
                  <c:v>62767</c:v>
                </c:pt>
                <c:pt idx="3333">
                  <c:v>62774</c:v>
                </c:pt>
                <c:pt idx="3334">
                  <c:v>62781</c:v>
                </c:pt>
                <c:pt idx="3335">
                  <c:v>62788</c:v>
                </c:pt>
                <c:pt idx="3336">
                  <c:v>62795</c:v>
                </c:pt>
                <c:pt idx="3337">
                  <c:v>62802</c:v>
                </c:pt>
                <c:pt idx="3338">
                  <c:v>62809</c:v>
                </c:pt>
                <c:pt idx="3339">
                  <c:v>62816</c:v>
                </c:pt>
                <c:pt idx="3340">
                  <c:v>62823</c:v>
                </c:pt>
                <c:pt idx="3341">
                  <c:v>62830</c:v>
                </c:pt>
                <c:pt idx="3342">
                  <c:v>62837</c:v>
                </c:pt>
                <c:pt idx="3343">
                  <c:v>62844</c:v>
                </c:pt>
                <c:pt idx="3344">
                  <c:v>62851</c:v>
                </c:pt>
                <c:pt idx="3345">
                  <c:v>62858</c:v>
                </c:pt>
                <c:pt idx="3346">
                  <c:v>62865</c:v>
                </c:pt>
                <c:pt idx="3347">
                  <c:v>62872</c:v>
                </c:pt>
                <c:pt idx="3348">
                  <c:v>62879</c:v>
                </c:pt>
                <c:pt idx="3349">
                  <c:v>62886</c:v>
                </c:pt>
                <c:pt idx="3350">
                  <c:v>62893</c:v>
                </c:pt>
                <c:pt idx="3351">
                  <c:v>62900</c:v>
                </c:pt>
                <c:pt idx="3352">
                  <c:v>62907</c:v>
                </c:pt>
                <c:pt idx="3353">
                  <c:v>62914</c:v>
                </c:pt>
                <c:pt idx="3354">
                  <c:v>62921</c:v>
                </c:pt>
                <c:pt idx="3355">
                  <c:v>62928</c:v>
                </c:pt>
                <c:pt idx="3356">
                  <c:v>62935</c:v>
                </c:pt>
                <c:pt idx="3357">
                  <c:v>62942</c:v>
                </c:pt>
                <c:pt idx="3358">
                  <c:v>62949</c:v>
                </c:pt>
                <c:pt idx="3359">
                  <c:v>62956</c:v>
                </c:pt>
                <c:pt idx="3360">
                  <c:v>62963</c:v>
                </c:pt>
                <c:pt idx="3361">
                  <c:v>62970</c:v>
                </c:pt>
                <c:pt idx="3362">
                  <c:v>62977</c:v>
                </c:pt>
                <c:pt idx="3363">
                  <c:v>62984</c:v>
                </c:pt>
                <c:pt idx="3364">
                  <c:v>62991</c:v>
                </c:pt>
                <c:pt idx="3365">
                  <c:v>62998</c:v>
                </c:pt>
                <c:pt idx="3366">
                  <c:v>63005</c:v>
                </c:pt>
                <c:pt idx="3367">
                  <c:v>63012</c:v>
                </c:pt>
                <c:pt idx="3368">
                  <c:v>63019</c:v>
                </c:pt>
                <c:pt idx="3369">
                  <c:v>63026</c:v>
                </c:pt>
                <c:pt idx="3370">
                  <c:v>63033</c:v>
                </c:pt>
                <c:pt idx="3371">
                  <c:v>63040</c:v>
                </c:pt>
                <c:pt idx="3372">
                  <c:v>63047</c:v>
                </c:pt>
                <c:pt idx="3373">
                  <c:v>63054</c:v>
                </c:pt>
                <c:pt idx="3374">
                  <c:v>63061</c:v>
                </c:pt>
                <c:pt idx="3375">
                  <c:v>63068</c:v>
                </c:pt>
                <c:pt idx="3376">
                  <c:v>63075</c:v>
                </c:pt>
                <c:pt idx="3377">
                  <c:v>63082</c:v>
                </c:pt>
                <c:pt idx="3378">
                  <c:v>63089</c:v>
                </c:pt>
                <c:pt idx="3379">
                  <c:v>63096</c:v>
                </c:pt>
                <c:pt idx="3380">
                  <c:v>63103</c:v>
                </c:pt>
                <c:pt idx="3381">
                  <c:v>63110</c:v>
                </c:pt>
                <c:pt idx="3382">
                  <c:v>63117</c:v>
                </c:pt>
                <c:pt idx="3383">
                  <c:v>63124</c:v>
                </c:pt>
                <c:pt idx="3384">
                  <c:v>63131</c:v>
                </c:pt>
                <c:pt idx="3385">
                  <c:v>63138</c:v>
                </c:pt>
                <c:pt idx="3386">
                  <c:v>63145</c:v>
                </c:pt>
                <c:pt idx="3387">
                  <c:v>63152</c:v>
                </c:pt>
                <c:pt idx="3388">
                  <c:v>63159</c:v>
                </c:pt>
                <c:pt idx="3389">
                  <c:v>63166</c:v>
                </c:pt>
                <c:pt idx="3390">
                  <c:v>63173</c:v>
                </c:pt>
                <c:pt idx="3391">
                  <c:v>63180</c:v>
                </c:pt>
                <c:pt idx="3392">
                  <c:v>63187</c:v>
                </c:pt>
                <c:pt idx="3393">
                  <c:v>63194</c:v>
                </c:pt>
                <c:pt idx="3394">
                  <c:v>63201</c:v>
                </c:pt>
                <c:pt idx="3395">
                  <c:v>63208</c:v>
                </c:pt>
                <c:pt idx="3396">
                  <c:v>63215</c:v>
                </c:pt>
                <c:pt idx="3397">
                  <c:v>63222</c:v>
                </c:pt>
                <c:pt idx="3398">
                  <c:v>63229</c:v>
                </c:pt>
                <c:pt idx="3399">
                  <c:v>63236</c:v>
                </c:pt>
                <c:pt idx="3400">
                  <c:v>63243</c:v>
                </c:pt>
                <c:pt idx="3401">
                  <c:v>63250</c:v>
                </c:pt>
                <c:pt idx="3402">
                  <c:v>63257</c:v>
                </c:pt>
                <c:pt idx="3403">
                  <c:v>63264</c:v>
                </c:pt>
                <c:pt idx="3404">
                  <c:v>63271</c:v>
                </c:pt>
                <c:pt idx="3405">
                  <c:v>63278</c:v>
                </c:pt>
                <c:pt idx="3406">
                  <c:v>63285</c:v>
                </c:pt>
                <c:pt idx="3407">
                  <c:v>63292</c:v>
                </c:pt>
                <c:pt idx="3408">
                  <c:v>63299</c:v>
                </c:pt>
                <c:pt idx="3409">
                  <c:v>63306</c:v>
                </c:pt>
                <c:pt idx="3410">
                  <c:v>63313</c:v>
                </c:pt>
                <c:pt idx="3411">
                  <c:v>63320</c:v>
                </c:pt>
                <c:pt idx="3412">
                  <c:v>63327</c:v>
                </c:pt>
                <c:pt idx="3413">
                  <c:v>63334</c:v>
                </c:pt>
                <c:pt idx="3414">
                  <c:v>63341</c:v>
                </c:pt>
                <c:pt idx="3415">
                  <c:v>63348</c:v>
                </c:pt>
                <c:pt idx="3416">
                  <c:v>63355</c:v>
                </c:pt>
                <c:pt idx="3417">
                  <c:v>63362</c:v>
                </c:pt>
                <c:pt idx="3418">
                  <c:v>63369</c:v>
                </c:pt>
                <c:pt idx="3419">
                  <c:v>63376</c:v>
                </c:pt>
                <c:pt idx="3420">
                  <c:v>63383</c:v>
                </c:pt>
                <c:pt idx="3421">
                  <c:v>63390</c:v>
                </c:pt>
                <c:pt idx="3422">
                  <c:v>63397</c:v>
                </c:pt>
                <c:pt idx="3423">
                  <c:v>63404</c:v>
                </c:pt>
                <c:pt idx="3424">
                  <c:v>63411</c:v>
                </c:pt>
                <c:pt idx="3425">
                  <c:v>63418</c:v>
                </c:pt>
                <c:pt idx="3426">
                  <c:v>63425</c:v>
                </c:pt>
                <c:pt idx="3427">
                  <c:v>63432</c:v>
                </c:pt>
                <c:pt idx="3428">
                  <c:v>63439</c:v>
                </c:pt>
                <c:pt idx="3429">
                  <c:v>63446</c:v>
                </c:pt>
                <c:pt idx="3430">
                  <c:v>63453</c:v>
                </c:pt>
                <c:pt idx="3431">
                  <c:v>63460</c:v>
                </c:pt>
                <c:pt idx="3432">
                  <c:v>63467</c:v>
                </c:pt>
                <c:pt idx="3433">
                  <c:v>63474</c:v>
                </c:pt>
                <c:pt idx="3434">
                  <c:v>63481</c:v>
                </c:pt>
                <c:pt idx="3435">
                  <c:v>63488</c:v>
                </c:pt>
                <c:pt idx="3436">
                  <c:v>63495</c:v>
                </c:pt>
                <c:pt idx="3437">
                  <c:v>63502</c:v>
                </c:pt>
                <c:pt idx="3438">
                  <c:v>63509</c:v>
                </c:pt>
                <c:pt idx="3439">
                  <c:v>63516</c:v>
                </c:pt>
                <c:pt idx="3440">
                  <c:v>63523</c:v>
                </c:pt>
                <c:pt idx="3441">
                  <c:v>63530</c:v>
                </c:pt>
                <c:pt idx="3442">
                  <c:v>63537</c:v>
                </c:pt>
                <c:pt idx="3443">
                  <c:v>63544</c:v>
                </c:pt>
                <c:pt idx="3444">
                  <c:v>63552</c:v>
                </c:pt>
                <c:pt idx="3445">
                  <c:v>63559</c:v>
                </c:pt>
                <c:pt idx="3446">
                  <c:v>63566</c:v>
                </c:pt>
                <c:pt idx="3447">
                  <c:v>63573</c:v>
                </c:pt>
                <c:pt idx="3448">
                  <c:v>63580</c:v>
                </c:pt>
                <c:pt idx="3449">
                  <c:v>63587</c:v>
                </c:pt>
                <c:pt idx="3450">
                  <c:v>63594</c:v>
                </c:pt>
                <c:pt idx="3451">
                  <c:v>63601</c:v>
                </c:pt>
                <c:pt idx="3452">
                  <c:v>63608</c:v>
                </c:pt>
                <c:pt idx="3453">
                  <c:v>63615</c:v>
                </c:pt>
                <c:pt idx="3454">
                  <c:v>63622</c:v>
                </c:pt>
                <c:pt idx="3455">
                  <c:v>63629</c:v>
                </c:pt>
                <c:pt idx="3456">
                  <c:v>63636</c:v>
                </c:pt>
                <c:pt idx="3457">
                  <c:v>63643</c:v>
                </c:pt>
                <c:pt idx="3458">
                  <c:v>63650</c:v>
                </c:pt>
                <c:pt idx="3459">
                  <c:v>63661</c:v>
                </c:pt>
                <c:pt idx="3460">
                  <c:v>63664</c:v>
                </c:pt>
                <c:pt idx="3461">
                  <c:v>63671</c:v>
                </c:pt>
                <c:pt idx="3462">
                  <c:v>63678</c:v>
                </c:pt>
                <c:pt idx="3463">
                  <c:v>63685</c:v>
                </c:pt>
                <c:pt idx="3464">
                  <c:v>63692</c:v>
                </c:pt>
                <c:pt idx="3465">
                  <c:v>63699</c:v>
                </c:pt>
                <c:pt idx="3466">
                  <c:v>63706</c:v>
                </c:pt>
                <c:pt idx="3467">
                  <c:v>63713</c:v>
                </c:pt>
                <c:pt idx="3468">
                  <c:v>63720</c:v>
                </c:pt>
                <c:pt idx="3469">
                  <c:v>63727</c:v>
                </c:pt>
                <c:pt idx="3470">
                  <c:v>63734</c:v>
                </c:pt>
                <c:pt idx="3471">
                  <c:v>63741</c:v>
                </c:pt>
                <c:pt idx="3472">
                  <c:v>63748</c:v>
                </c:pt>
                <c:pt idx="3473">
                  <c:v>63755</c:v>
                </c:pt>
                <c:pt idx="3474">
                  <c:v>63762</c:v>
                </c:pt>
                <c:pt idx="3475">
                  <c:v>63769</c:v>
                </c:pt>
                <c:pt idx="3476">
                  <c:v>63776</c:v>
                </c:pt>
                <c:pt idx="3477">
                  <c:v>63783</c:v>
                </c:pt>
                <c:pt idx="3478">
                  <c:v>63790</c:v>
                </c:pt>
                <c:pt idx="3479">
                  <c:v>63797</c:v>
                </c:pt>
                <c:pt idx="3480">
                  <c:v>63804</c:v>
                </c:pt>
                <c:pt idx="3481">
                  <c:v>63811</c:v>
                </c:pt>
                <c:pt idx="3482">
                  <c:v>63818</c:v>
                </c:pt>
                <c:pt idx="3483">
                  <c:v>63825</c:v>
                </c:pt>
                <c:pt idx="3484">
                  <c:v>63832</c:v>
                </c:pt>
                <c:pt idx="3485">
                  <c:v>63839</c:v>
                </c:pt>
                <c:pt idx="3486">
                  <c:v>63846</c:v>
                </c:pt>
                <c:pt idx="3487">
                  <c:v>63853</c:v>
                </c:pt>
                <c:pt idx="3488">
                  <c:v>63860</c:v>
                </c:pt>
                <c:pt idx="3489">
                  <c:v>63867</c:v>
                </c:pt>
                <c:pt idx="3490">
                  <c:v>63874</c:v>
                </c:pt>
                <c:pt idx="3491">
                  <c:v>63881</c:v>
                </c:pt>
                <c:pt idx="3492">
                  <c:v>63888</c:v>
                </c:pt>
                <c:pt idx="3493">
                  <c:v>63895</c:v>
                </c:pt>
                <c:pt idx="3494">
                  <c:v>63902</c:v>
                </c:pt>
                <c:pt idx="3495">
                  <c:v>63909</c:v>
                </c:pt>
                <c:pt idx="3496">
                  <c:v>63919</c:v>
                </c:pt>
                <c:pt idx="3497">
                  <c:v>63926</c:v>
                </c:pt>
                <c:pt idx="3498">
                  <c:v>63933</c:v>
                </c:pt>
                <c:pt idx="3499">
                  <c:v>63940</c:v>
                </c:pt>
                <c:pt idx="3500">
                  <c:v>63947</c:v>
                </c:pt>
                <c:pt idx="3501">
                  <c:v>63954</c:v>
                </c:pt>
                <c:pt idx="3502">
                  <c:v>63961</c:v>
                </c:pt>
                <c:pt idx="3503">
                  <c:v>63968</c:v>
                </c:pt>
                <c:pt idx="3504">
                  <c:v>63975</c:v>
                </c:pt>
                <c:pt idx="3505">
                  <c:v>63982</c:v>
                </c:pt>
                <c:pt idx="3506">
                  <c:v>63989</c:v>
                </c:pt>
                <c:pt idx="3507">
                  <c:v>63996</c:v>
                </c:pt>
                <c:pt idx="3508">
                  <c:v>64003</c:v>
                </c:pt>
                <c:pt idx="3509">
                  <c:v>64010</c:v>
                </c:pt>
                <c:pt idx="3510">
                  <c:v>64019</c:v>
                </c:pt>
                <c:pt idx="3511">
                  <c:v>64024</c:v>
                </c:pt>
                <c:pt idx="3512">
                  <c:v>64031</c:v>
                </c:pt>
                <c:pt idx="3513">
                  <c:v>64038</c:v>
                </c:pt>
                <c:pt idx="3514">
                  <c:v>64045</c:v>
                </c:pt>
                <c:pt idx="3515">
                  <c:v>64052</c:v>
                </c:pt>
                <c:pt idx="3516">
                  <c:v>64059</c:v>
                </c:pt>
                <c:pt idx="3517">
                  <c:v>64066</c:v>
                </c:pt>
                <c:pt idx="3518">
                  <c:v>64073</c:v>
                </c:pt>
                <c:pt idx="3519">
                  <c:v>64080</c:v>
                </c:pt>
                <c:pt idx="3520">
                  <c:v>64087</c:v>
                </c:pt>
                <c:pt idx="3521">
                  <c:v>64094</c:v>
                </c:pt>
                <c:pt idx="3522">
                  <c:v>64101</c:v>
                </c:pt>
                <c:pt idx="3523">
                  <c:v>64108</c:v>
                </c:pt>
                <c:pt idx="3524">
                  <c:v>64115</c:v>
                </c:pt>
                <c:pt idx="3525">
                  <c:v>64122</c:v>
                </c:pt>
                <c:pt idx="3526">
                  <c:v>64129</c:v>
                </c:pt>
                <c:pt idx="3527">
                  <c:v>64136</c:v>
                </c:pt>
                <c:pt idx="3528">
                  <c:v>64143</c:v>
                </c:pt>
                <c:pt idx="3529">
                  <c:v>64150</c:v>
                </c:pt>
                <c:pt idx="3530">
                  <c:v>64157</c:v>
                </c:pt>
                <c:pt idx="3531">
                  <c:v>64164</c:v>
                </c:pt>
                <c:pt idx="3532">
                  <c:v>64171</c:v>
                </c:pt>
                <c:pt idx="3533">
                  <c:v>64178</c:v>
                </c:pt>
              </c:numCache>
            </c:numRef>
          </c:cat>
          <c:val>
            <c:numRef>
              <c:f>Monitor!$AA$19:$AA$3552</c:f>
              <c:numCache>
                <c:formatCode>0.0000%</c:formatCode>
                <c:ptCount val="3534"/>
                <c:pt idx="0">
                  <c:v>-3.6886837331273625E-4</c:v>
                </c:pt>
                <c:pt idx="1">
                  <c:v>-3.690663160282881E-4</c:v>
                </c:pt>
                <c:pt idx="2">
                  <c:v>-3.6923565716939777E-4</c:v>
                </c:pt>
                <c:pt idx="3">
                  <c:v>-3.6944733372568095E-4</c:v>
                </c:pt>
                <c:pt idx="4">
                  <c:v>-3.6970134537739341E-4</c:v>
                </c:pt>
                <c:pt idx="5">
                  <c:v>-3.703501056762093E-4</c:v>
                </c:pt>
                <c:pt idx="6">
                  <c:v>-3.7114074553645793E-4</c:v>
                </c:pt>
                <c:pt idx="7">
                  <c:v>-3.7160643370448554E-4</c:v>
                </c:pt>
                <c:pt idx="8">
                  <c:v>-3.7211445732765469E-4</c:v>
                </c:pt>
                <c:pt idx="9">
                  <c:v>-3.7266481620612524E-4</c:v>
                </c:pt>
                <c:pt idx="10">
                  <c:v>-3.7390626319133702E-4</c:v>
                </c:pt>
                <c:pt idx="11">
                  <c:v>-3.7528960451282956E-4</c:v>
                </c:pt>
                <c:pt idx="12">
                  <c:v>-3.7605163986764722E-4</c:v>
                </c:pt>
                <c:pt idx="13">
                  <c:v>1.9914430816392326E-4</c:v>
                </c:pt>
                <c:pt idx="14">
                  <c:v>-3.7770271638315478E-4</c:v>
                </c:pt>
                <c:pt idx="15">
                  <c:v>-3.7953684571156998E-4</c:v>
                </c:pt>
                <c:pt idx="16">
                  <c:v>-3.8151289299737101E-4</c:v>
                </c:pt>
                <c:pt idx="17">
                  <c:v>-3.8257127525920254E-4</c:v>
                </c:pt>
                <c:pt idx="18">
                  <c:v>-3.8367199301614363E-4</c:v>
                </c:pt>
                <c:pt idx="19">
                  <c:v>-3.8481504594845006E-4</c:v>
                </c:pt>
                <c:pt idx="20">
                  <c:v>-3.8724185298377733E-4</c:v>
                </c:pt>
                <c:pt idx="21">
                  <c:v>-3.898091270571058E-4</c:v>
                </c:pt>
                <c:pt idx="22">
                  <c:v>-3.9115495482633378E-4</c:v>
                </c:pt>
                <c:pt idx="23">
                  <c:v>-3.9253421613150152E-4</c:v>
                </c:pt>
                <c:pt idx="24">
                  <c:v>-3.9394691105254509E-4</c:v>
                </c:pt>
                <c:pt idx="25">
                  <c:v>-3.9688330876419542E-4</c:v>
                </c:pt>
                <c:pt idx="26">
                  <c:v>-3.9993202697541363E-4</c:v>
                </c:pt>
                <c:pt idx="27">
                  <c:v>-4.015118898159642E-4</c:v>
                </c:pt>
                <c:pt idx="28">
                  <c:v>-4.0312518647223072E-4</c:v>
                </c:pt>
                <c:pt idx="29">
                  <c:v>-4.0477191662446899E-4</c:v>
                </c:pt>
                <c:pt idx="30">
                  <c:v>-4.0817635947210107E-4</c:v>
                </c:pt>
                <c:pt idx="31">
                  <c:v>-4.116931733122442E-4</c:v>
                </c:pt>
                <c:pt idx="32">
                  <c:v>-4.1350707146392551E-4</c:v>
                </c:pt>
                <c:pt idx="33">
                  <c:v>-4.1535440327145068E-4</c:v>
                </c:pt>
                <c:pt idx="34">
                  <c:v>-4.1723516869485167E-4</c:v>
                </c:pt>
                <c:pt idx="35">
                  <c:v>3.7089479572927075E-4</c:v>
                </c:pt>
                <c:pt idx="36">
                  <c:v>-4.2509256614753355E-4</c:v>
                </c:pt>
                <c:pt idx="37">
                  <c:v>-4.2714049965031364E-4</c:v>
                </c:pt>
                <c:pt idx="38">
                  <c:v>-4.2922186644922533E-4</c:v>
                </c:pt>
                <c:pt idx="39">
                  <c:v>-4.3133666710382101E-4</c:v>
                </c:pt>
                <c:pt idx="40">
                  <c:v>-4.3567718627457452E-4</c:v>
                </c:pt>
                <c:pt idx="41">
                  <c:v>-4.4013020536137759E-4</c:v>
                </c:pt>
                <c:pt idx="42">
                  <c:v>-4.4241217377560815E-4</c:v>
                </c:pt>
                <c:pt idx="43">
                  <c:v>-4.4472182104904334E-4</c:v>
                </c:pt>
                <c:pt idx="44">
                  <c:v>-4.4703612687602146E-4</c:v>
                </c:pt>
                <c:pt idx="45">
                  <c:v>-4.5166051762635107E-4</c:v>
                </c:pt>
                <c:pt idx="46">
                  <c:v>-4.5628238751316275E-4</c:v>
                </c:pt>
                <c:pt idx="47">
                  <c:v>-4.5859121200475528E-4</c:v>
                </c:pt>
                <c:pt idx="48">
                  <c:v>-4.6089894009337939E-4</c:v>
                </c:pt>
                <c:pt idx="49">
                  <c:v>-4.632055720588113E-4</c:v>
                </c:pt>
                <c:pt idx="50">
                  <c:v>-4.6781457370581592E-4</c:v>
                </c:pt>
                <c:pt idx="51">
                  <c:v>-4.7242113689005549E-4</c:v>
                </c:pt>
                <c:pt idx="52">
                  <c:v>-4.7472228748013379E-4</c:v>
                </c:pt>
                <c:pt idx="53">
                  <c:v>-4.7702234166724367E-4</c:v>
                </c:pt>
                <c:pt idx="54">
                  <c:v>-4.7932129965122527E-4</c:v>
                </c:pt>
                <c:pt idx="55">
                  <c:v>-4.8391491086263727E-4</c:v>
                </c:pt>
                <c:pt idx="56">
                  <c:v>1.5635027431937232E-3</c:v>
                </c:pt>
                <c:pt idx="57">
                  <c:v>-4.9079964540510446E-4</c:v>
                </c:pt>
                <c:pt idx="58">
                  <c:v>-4.9309202561076404E-4</c:v>
                </c:pt>
                <c:pt idx="59">
                  <c:v>-4.9538330961329535E-4</c:v>
                </c:pt>
                <c:pt idx="60">
                  <c:v>-4.9996152916342851E-4</c:v>
                </c:pt>
                <c:pt idx="61">
                  <c:v>-5.0453748295264944E-4</c:v>
                </c:pt>
                <c:pt idx="62">
                  <c:v>-5.0682328561979517E-4</c:v>
                </c:pt>
                <c:pt idx="63">
                  <c:v>-5.0910799200387657E-4</c:v>
                </c:pt>
                <c:pt idx="64">
                  <c:v>-5.1139160206492562E-4</c:v>
                </c:pt>
                <c:pt idx="65">
                  <c:v>-5.1464417063940004E-4</c:v>
                </c:pt>
                <c:pt idx="66">
                  <c:v>-5.1512844845724715E-4</c:v>
                </c:pt>
                <c:pt idx="67">
                  <c:v>-5.1391254611843351E-4</c:v>
                </c:pt>
                <c:pt idx="68">
                  <c:v>-5.1197175391148875E-4</c:v>
                </c:pt>
                <c:pt idx="69">
                  <c:v>-5.0990492828084655E-4</c:v>
                </c:pt>
                <c:pt idx="70">
                  <c:v>-5.0584950208598656E-4</c:v>
                </c:pt>
                <c:pt idx="71">
                  <c:v>-5.0187443345173222E-4</c:v>
                </c:pt>
                <c:pt idx="72">
                  <c:v>-4.9992601154791316E-4</c:v>
                </c:pt>
                <c:pt idx="73">
                  <c:v>-4.9800127050136922E-4</c:v>
                </c:pt>
                <c:pt idx="74">
                  <c:v>-4.933068076828917E-4</c:v>
                </c:pt>
                <c:pt idx="75">
                  <c:v>-4.8873277660899106E-4</c:v>
                </c:pt>
                <c:pt idx="76">
                  <c:v>-4.8695012014654537E-4</c:v>
                </c:pt>
                <c:pt idx="77">
                  <c:v>-4.8519114442147071E-4</c:v>
                </c:pt>
                <c:pt idx="78">
                  <c:v>8.9610256517103082E-4</c:v>
                </c:pt>
                <c:pt idx="79">
                  <c:v>-4.7675147717640698E-4</c:v>
                </c:pt>
                <c:pt idx="80">
                  <c:v>-4.7513458599546254E-4</c:v>
                </c:pt>
                <c:pt idx="81">
                  <c:v>-4.7354137567179322E-4</c:v>
                </c:pt>
                <c:pt idx="82">
                  <c:v>-4.7197184604552689E-4</c:v>
                </c:pt>
                <c:pt idx="83">
                  <c:v>-4.6891111189939494E-4</c:v>
                </c:pt>
                <c:pt idx="84">
                  <c:v>-4.6593053523391603E-4</c:v>
                </c:pt>
                <c:pt idx="85">
                  <c:v>-4.6447940945437693E-4</c:v>
                </c:pt>
                <c:pt idx="86">
                  <c:v>-4.6305196429230477E-4</c:v>
                </c:pt>
                <c:pt idx="87">
                  <c:v>-4.6164820014737984E-4</c:v>
                </c:pt>
                <c:pt idx="88">
                  <c:v>-4.5891902253014649E-4</c:v>
                </c:pt>
                <c:pt idx="89">
                  <c:v>-4.5626995082148625E-4</c:v>
                </c:pt>
                <c:pt idx="90">
                  <c:v>-4.5498459048332052E-4</c:v>
                </c:pt>
                <c:pt idx="91">
                  <c:v>-4.5372291072265369E-4</c:v>
                </c:pt>
                <c:pt idx="92">
                  <c:v>-4.524849119791341E-4</c:v>
                </c:pt>
                <c:pt idx="93">
                  <c:v>-4.5008728730699943E-4</c:v>
                </c:pt>
                <c:pt idx="94">
                  <c:v>-4.4776972413895777E-4</c:v>
                </c:pt>
                <c:pt idx="95">
                  <c:v>-4.4665012904232526E-4</c:v>
                </c:pt>
                <c:pt idx="96">
                  <c:v>-4.4555421484293589E-4</c:v>
                </c:pt>
                <c:pt idx="97">
                  <c:v>-4.4448198138091755E-4</c:v>
                </c:pt>
                <c:pt idx="98">
                  <c:v>1.3584145008849191E-5</c:v>
                </c:pt>
                <c:pt idx="99">
                  <c:v>-4.4042985506642651E-4</c:v>
                </c:pt>
                <c:pt idx="100">
                  <c:v>-4.3947602557103949E-4</c:v>
                </c:pt>
                <c:pt idx="101">
                  <c:v>-4.385458766931194E-4</c:v>
                </c:pt>
                <c:pt idx="102">
                  <c:v>-4.3763940855257033E-4</c:v>
                </c:pt>
                <c:pt idx="103">
                  <c:v>-4.3590488053801835E-4</c:v>
                </c:pt>
                <c:pt idx="104">
                  <c:v>-4.3425034392363671E-4</c:v>
                </c:pt>
                <c:pt idx="105">
                  <c:v>-4.3346227982965502E-4</c:v>
                </c:pt>
                <c:pt idx="106">
                  <c:v>-4.3269789631317224E-4</c:v>
                </c:pt>
                <c:pt idx="107">
                  <c:v>-4.3195719365396457E-4</c:v>
                </c:pt>
                <c:pt idx="108">
                  <c:v>-4.3055420931192856E-4</c:v>
                </c:pt>
                <c:pt idx="109">
                  <c:v>-4.2923119067062032E-4</c:v>
                </c:pt>
                <c:pt idx="110">
                  <c:v>-4.2860889193807594E-4</c:v>
                </c:pt>
                <c:pt idx="111">
                  <c:v>-4.2801027390293456E-4</c:v>
                </c:pt>
                <c:pt idx="112">
                  <c:v>-4.2743533664513222E-4</c:v>
                </c:pt>
                <c:pt idx="113">
                  <c:v>-4.2636389309791412E-4</c:v>
                </c:pt>
                <c:pt idx="114">
                  <c:v>-4.2537239534734539E-4</c:v>
                </c:pt>
                <c:pt idx="115">
                  <c:v>-4.2491586193627029E-4</c:v>
                </c:pt>
                <c:pt idx="116">
                  <c:v>-4.2448300946240636E-4</c:v>
                </c:pt>
                <c:pt idx="117">
                  <c:v>-4.2407383756604133E-4</c:v>
                </c:pt>
                <c:pt idx="118">
                  <c:v>-4.2333393198923375E-4</c:v>
                </c:pt>
                <c:pt idx="119">
                  <c:v>-4.2267395803374797E-4</c:v>
                </c:pt>
                <c:pt idx="120">
                  <c:v>-4.223831900240782E-4</c:v>
                </c:pt>
                <c:pt idx="121">
                  <c:v>-4.2211610287168355E-4</c:v>
                </c:pt>
                <c:pt idx="122">
                  <c:v>-4.2187269645665992E-4</c:v>
                </c:pt>
                <c:pt idx="123">
                  <c:v>-4.2146432615908225E-4</c:v>
                </c:pt>
                <c:pt idx="124">
                  <c:v>-4.2113587868986002E-4</c:v>
                </c:pt>
                <c:pt idx="125">
                  <c:v>-4.2101087612156363E-4</c:v>
                </c:pt>
                <c:pt idx="126">
                  <c:v>-4.2090955429063825E-4</c:v>
                </c:pt>
                <c:pt idx="127">
                  <c:v>-4.2083191343689208E-4</c:v>
                </c:pt>
                <c:pt idx="128">
                  <c:v>-4.2075507556749159E-4</c:v>
                </c:pt>
                <c:pt idx="129">
                  <c:v>-4.2075815719577747E-4</c:v>
                </c:pt>
                <c:pt idx="130">
                  <c:v>-4.2079892018875853E-4</c:v>
                </c:pt>
                <c:pt idx="131">
                  <c:v>-4.208604968924945E-4</c:v>
                </c:pt>
                <c:pt idx="132">
                  <c:v>-4.2093141936039302E-4</c:v>
                </c:pt>
                <c:pt idx="133">
                  <c:v>-4.21094367668573E-4</c:v>
                </c:pt>
                <c:pt idx="134">
                  <c:v>-4.2127989704709989E-4</c:v>
                </c:pt>
                <c:pt idx="135">
                  <c:v>-4.2138321352247488E-4</c:v>
                </c:pt>
                <c:pt idx="136">
                  <c:v>-4.214930087353963E-4</c:v>
                </c:pt>
                <c:pt idx="137">
                  <c:v>-4.2186675718358657E-4</c:v>
                </c:pt>
                <c:pt idx="138">
                  <c:v>-4.2228783470044107E-4</c:v>
                </c:pt>
                <c:pt idx="139">
                  <c:v>-4.2244298135596381E-4</c:v>
                </c:pt>
                <c:pt idx="140">
                  <c:v>-4.2260460694887314E-4</c:v>
                </c:pt>
                <c:pt idx="141">
                  <c:v>-4.2294895705730085E-4</c:v>
                </c:pt>
                <c:pt idx="142">
                  <c:v>-4.2331589701571914E-4</c:v>
                </c:pt>
                <c:pt idx="143">
                  <c:v>-4.2350991637629676E-4</c:v>
                </c:pt>
                <c:pt idx="144">
                  <c:v>-4.2371041471422899E-4</c:v>
                </c:pt>
                <c:pt idx="145">
                  <c:v>-4.2391739182967569E-4</c:v>
                </c:pt>
                <c:pt idx="146">
                  <c:v>-4.2435244170579978E-4</c:v>
                </c:pt>
                <c:pt idx="147">
                  <c:v>-4.2481008794670316E-4</c:v>
                </c:pt>
                <c:pt idx="148">
                  <c:v>-4.2504945906962632E-4</c:v>
                </c:pt>
                <c:pt idx="149">
                  <c:v>-4.252953088901279E-4</c:v>
                </c:pt>
                <c:pt idx="150">
                  <c:v>-4.2554763740820789E-4</c:v>
                </c:pt>
                <c:pt idx="151">
                  <c:v>-4.2607338633260383E-4</c:v>
                </c:pt>
                <c:pt idx="152">
                  <c:v>-4.2662173969532091E-4</c:v>
                </c:pt>
                <c:pt idx="153">
                  <c:v>-4.2690646226084539E-4</c:v>
                </c:pt>
                <c:pt idx="154">
                  <c:v>-4.2719766368382039E-4</c:v>
                </c:pt>
                <c:pt idx="155">
                  <c:v>-4.2749534372443776E-4</c:v>
                </c:pt>
                <c:pt idx="156">
                  <c:v>-4.2811179087109963E-4</c:v>
                </c:pt>
                <c:pt idx="157">
                  <c:v>-4.287508521416683E-4</c:v>
                </c:pt>
                <c:pt idx="158">
                  <c:v>-4.2908092634963424E-4</c:v>
                </c:pt>
                <c:pt idx="159">
                  <c:v>-4.2941747909530648E-4</c:v>
                </c:pt>
                <c:pt idx="160">
                  <c:v>-4.297605107783653E-4</c:v>
                </c:pt>
                <c:pt idx="161">
                  <c:v>8.8954212960956625E-4</c:v>
                </c:pt>
                <c:pt idx="162">
                  <c:v>-4.311974253656814E-4</c:v>
                </c:pt>
                <c:pt idx="163">
                  <c:v>-4.3157285097628062E-4</c:v>
                </c:pt>
                <c:pt idx="164">
                  <c:v>-4.3195475532442629E-4</c:v>
                </c:pt>
                <c:pt idx="165">
                  <c:v>-4.3234313860995854E-4</c:v>
                </c:pt>
                <c:pt idx="166">
                  <c:v>-4.3314097973645715E-4</c:v>
                </c:pt>
                <c:pt idx="167">
                  <c:v>-4.3396145912755202E-4</c:v>
                </c:pt>
                <c:pt idx="168">
                  <c:v>-4.3438223646052876E-4</c:v>
                </c:pt>
                <c:pt idx="169">
                  <c:v>-4.3480949221130771E-4</c:v>
                </c:pt>
                <c:pt idx="170">
                  <c:v>-4.3524322693944129E-4</c:v>
                </c:pt>
                <c:pt idx="171">
                  <c:v>-4.3613176402335085E-4</c:v>
                </c:pt>
                <c:pt idx="172">
                  <c:v>-4.3704295382696046E-4</c:v>
                </c:pt>
                <c:pt idx="173">
                  <c:v>-4.375090824426664E-4</c:v>
                </c:pt>
                <c:pt idx="174">
                  <c:v>-4.3798168983588681E-4</c:v>
                </c:pt>
                <c:pt idx="175">
                  <c:v>-4.3846077612652579E-4</c:v>
                </c:pt>
                <c:pt idx="176">
                  <c:v>-4.3944000814200024E-4</c:v>
                </c:pt>
                <c:pt idx="177">
                  <c:v>-4.4044190906422642E-4</c:v>
                </c:pt>
                <c:pt idx="178">
                  <c:v>-4.4095338920246974E-4</c:v>
                </c:pt>
                <c:pt idx="179">
                  <c:v>-4.4147134823813161E-4</c:v>
                </c:pt>
                <c:pt idx="180">
                  <c:v>-4.4199578585146782E-4</c:v>
                </c:pt>
                <c:pt idx="181">
                  <c:v>-4.4306571213237333E-4</c:v>
                </c:pt>
                <c:pt idx="182">
                  <c:v>-4.44158324959254E-4</c:v>
                </c:pt>
                <c:pt idx="183">
                  <c:v>9.2328835185284674E-4</c:v>
                </c:pt>
                <c:pt idx="184">
                  <c:v>-4.4527846717823394E-4</c:v>
                </c:pt>
                <c:pt idx="185">
                  <c:v>-4.4584825639404357E-4</c:v>
                </c:pt>
                <c:pt idx="186">
                  <c:v>-4.4700887592785676E-4</c:v>
                </c:pt>
                <c:pt idx="187">
                  <c:v>-4.4819220155201123E-4</c:v>
                </c:pt>
                <c:pt idx="188">
                  <c:v>-4.4879438477529732E-4</c:v>
                </c:pt>
                <c:pt idx="189">
                  <c:v>-4.4940304673612985E-4</c:v>
                </c:pt>
                <c:pt idx="190">
                  <c:v>-4.5001818755441292E-4</c:v>
                </c:pt>
                <c:pt idx="191">
                  <c:v>-4.5126949952845052E-4</c:v>
                </c:pt>
                <c:pt idx="192">
                  <c:v>-4.5254353868262598E-4</c:v>
                </c:pt>
                <c:pt idx="193">
                  <c:v>-4.5319107354835353E-4</c:v>
                </c:pt>
                <c:pt idx="194">
                  <c:v>-4.538450871116595E-4</c:v>
                </c:pt>
                <c:pt idx="195">
                  <c:v>-4.5449599447966449E-4</c:v>
                </c:pt>
                <c:pt idx="196">
                  <c:v>-4.5564630030359154E-4</c:v>
                </c:pt>
                <c:pt idx="197">
                  <c:v>-4.5662765732590316E-4</c:v>
                </c:pt>
                <c:pt idx="198">
                  <c:v>-4.5703299644817008E-4</c:v>
                </c:pt>
                <c:pt idx="199">
                  <c:v>-4.5738730487077106E-4</c:v>
                </c:pt>
                <c:pt idx="200">
                  <c:v>-4.5769058267364215E-4</c:v>
                </c:pt>
                <c:pt idx="201">
                  <c:v>-4.581264530800766E-4</c:v>
                </c:pt>
                <c:pt idx="202">
                  <c:v>-4.5839338740805147E-4</c:v>
                </c:pt>
                <c:pt idx="203">
                  <c:v>-4.5844151191243299E-4</c:v>
                </c:pt>
                <c:pt idx="204">
                  <c:v>-4.5843860579708462E-4</c:v>
                </c:pt>
                <c:pt idx="205">
                  <c:v>4.2576711063180284E-3</c:v>
                </c:pt>
                <c:pt idx="206">
                  <c:v>-4.581061104591555E-4</c:v>
                </c:pt>
                <c:pt idx="207">
                  <c:v>-4.5765861564461829E-4</c:v>
                </c:pt>
                <c:pt idx="208">
                  <c:v>-4.5734952557108244E-4</c:v>
                </c:pt>
                <c:pt idx="209">
                  <c:v>-4.5698940507765684E-4</c:v>
                </c:pt>
                <c:pt idx="210">
                  <c:v>-4.5657825368472515E-4</c:v>
                </c:pt>
                <c:pt idx="211">
                  <c:v>-4.5558527238753754E-4</c:v>
                </c:pt>
                <c:pt idx="212">
                  <c:v>-4.544233421155397E-4</c:v>
                </c:pt>
                <c:pt idx="213">
                  <c:v>-4.5375703754402252E-4</c:v>
                </c:pt>
                <c:pt idx="214">
                  <c:v>-4.5303970231280744E-4</c:v>
                </c:pt>
                <c:pt idx="215">
                  <c:v>-4.5227133650183049E-4</c:v>
                </c:pt>
                <c:pt idx="216">
                  <c:v>-4.5056393874531864E-4</c:v>
                </c:pt>
                <c:pt idx="217">
                  <c:v>-4.4868756666094356E-4</c:v>
                </c:pt>
                <c:pt idx="218">
                  <c:v>-4.4766404755147704E-4</c:v>
                </c:pt>
                <c:pt idx="219">
                  <c:v>-4.4658949774234458E-4</c:v>
                </c:pt>
                <c:pt idx="220">
                  <c:v>-4.4546391747335434E-4</c:v>
                </c:pt>
                <c:pt idx="221">
                  <c:v>-4.430421091861092E-4</c:v>
                </c:pt>
                <c:pt idx="222">
                  <c:v>-4.4045128924086185E-4</c:v>
                </c:pt>
                <c:pt idx="223">
                  <c:v>-4.3907055563341402E-4</c:v>
                </c:pt>
                <c:pt idx="224">
                  <c:v>-4.3763879128633221E-4</c:v>
                </c:pt>
                <c:pt idx="225">
                  <c:v>-4.3615599623958445E-4</c:v>
                </c:pt>
                <c:pt idx="226">
                  <c:v>7.3098730729803663E-4</c:v>
                </c:pt>
                <c:pt idx="227">
                  <c:v>-4.2971450977535852E-4</c:v>
                </c:pt>
                <c:pt idx="228">
                  <c:v>-4.2797656147008922E-4</c:v>
                </c:pt>
                <c:pt idx="229">
                  <c:v>-4.2618758246515398E-4</c:v>
                </c:pt>
                <c:pt idx="230">
                  <c:v>-4.2434757296039294E-4</c:v>
                </c:pt>
                <c:pt idx="231">
                  <c:v>-4.2049696035828532E-4</c:v>
                </c:pt>
                <c:pt idx="232">
                  <c:v>-4.1647722778481722E-4</c:v>
                </c:pt>
                <c:pt idx="233">
                  <c:v>-4.143820649815666E-4</c:v>
                </c:pt>
                <c:pt idx="234">
                  <c:v>-4.122358712788099E-4</c:v>
                </c:pt>
                <c:pt idx="235">
                  <c:v>-4.1003864711619542E-4</c:v>
                </c:pt>
                <c:pt idx="236">
                  <c:v>-4.0547363961085381E-4</c:v>
                </c:pt>
                <c:pt idx="237">
                  <c:v>-4.0073944330920597E-4</c:v>
                </c:pt>
                <c:pt idx="238">
                  <c:v>-3.9828706564826177E-4</c:v>
                </c:pt>
                <c:pt idx="239">
                  <c:v>-3.9578365744752375E-4</c:v>
                </c:pt>
                <c:pt idx="240">
                  <c:v>-3.932292184272157E-4</c:v>
                </c:pt>
                <c:pt idx="241">
                  <c:v>-3.8794982018863777E-4</c:v>
                </c:pt>
                <c:pt idx="242">
                  <c:v>-3.8250115574900434E-4</c:v>
                </c:pt>
                <c:pt idx="243">
                  <c:v>-3.7969156351014277E-4</c:v>
                </c:pt>
                <c:pt idx="244">
                  <c:v>-3.7683094037177511E-4</c:v>
                </c:pt>
                <c:pt idx="245">
                  <c:v>-3.7391928669361363E-4</c:v>
                </c:pt>
                <c:pt idx="246">
                  <c:v>-3.679255009192417E-4</c:v>
                </c:pt>
                <c:pt idx="247">
                  <c:v>-3.6176236498430825E-4</c:v>
                </c:pt>
                <c:pt idx="248">
                  <c:v>-3.5859555776784902E-4</c:v>
                </c:pt>
                <c:pt idx="249">
                  <c:v>-3.5537771997162793E-4</c:v>
                </c:pt>
                <c:pt idx="250">
                  <c:v>-3.5210885127590075E-4</c:v>
                </c:pt>
                <c:pt idx="251">
                  <c:v>-3.454006806169474E-4</c:v>
                </c:pt>
                <c:pt idx="252">
                  <c:v>-3.3852307029569317E-4</c:v>
                </c:pt>
                <c:pt idx="253">
                  <c:v>-3.3499904822154036E-4</c:v>
                </c:pt>
                <c:pt idx="254">
                  <c:v>-3.3142399548768964E-4</c:v>
                </c:pt>
                <c:pt idx="255">
                  <c:v>-3.2779791217407706E-4</c:v>
                </c:pt>
                <c:pt idx="256">
                  <c:v>-3.2037535781626048E-4</c:v>
                </c:pt>
                <c:pt idx="257">
                  <c:v>-3.1278327132344685E-4</c:v>
                </c:pt>
                <c:pt idx="258">
                  <c:v>-3.089020344315685E-4</c:v>
                </c:pt>
                <c:pt idx="259">
                  <c:v>-3.0496976660021602E-4</c:v>
                </c:pt>
                <c:pt idx="260">
                  <c:v>-3.0100266839028222E-4</c:v>
                </c:pt>
                <c:pt idx="261">
                  <c:v>-2.9318973135961102E-4</c:v>
                </c:pt>
                <c:pt idx="262">
                  <c:v>-2.85531170467479E-4</c:v>
                </c:pt>
                <c:pt idx="263">
                  <c:v>-2.8177871975731961E-4</c:v>
                </c:pt>
                <c:pt idx="264">
                  <c:v>-2.7807243879518495E-4</c:v>
                </c:pt>
                <c:pt idx="265">
                  <c:v>-2.7441232734126686E-4</c:v>
                </c:pt>
                <c:pt idx="266">
                  <c:v>-2.6724580453940661E-4</c:v>
                </c:pt>
                <c:pt idx="267">
                  <c:v>-2.6023357720728058E-4</c:v>
                </c:pt>
                <c:pt idx="268">
                  <c:v>-2.5680431345431742E-4</c:v>
                </c:pt>
                <c:pt idx="269">
                  <c:v>-2.5342121948934704E-4</c:v>
                </c:pt>
                <c:pt idx="270">
                  <c:v>-2.5008429507256125E-4</c:v>
                </c:pt>
                <c:pt idx="271">
                  <c:v>-2.4356417987814183E-4</c:v>
                </c:pt>
                <c:pt idx="272">
                  <c:v>-2.3719829284729599E-4</c:v>
                </c:pt>
                <c:pt idx="273">
                  <c:v>-2.3409221625136922E-4</c:v>
                </c:pt>
                <c:pt idx="274">
                  <c:v>-2.3103230936349917E-4</c:v>
                </c:pt>
                <c:pt idx="275">
                  <c:v>-2.2801857190390962E-4</c:v>
                </c:pt>
                <c:pt idx="276">
                  <c:v>-2.2214485858818023E-4</c:v>
                </c:pt>
                <c:pt idx="277">
                  <c:v>-2.1642531814691779E-4</c:v>
                </c:pt>
                <c:pt idx="278">
                  <c:v>-2.1364242854815529E-4</c:v>
                </c:pt>
                <c:pt idx="279">
                  <c:v>-2.1090570869741754E-4</c:v>
                </c:pt>
                <c:pt idx="280">
                  <c:v>-2.0821515847480043E-4</c:v>
                </c:pt>
                <c:pt idx="281">
                  <c:v>-2.0298784197514408E-4</c:v>
                </c:pt>
                <c:pt idx="282">
                  <c:v>-1.9791465310614598E-4</c:v>
                </c:pt>
                <c:pt idx="283">
                  <c:v>-1.9545495078432396E-4</c:v>
                </c:pt>
                <c:pt idx="284">
                  <c:v>-1.9304141805065456E-4</c:v>
                </c:pt>
                <c:pt idx="285">
                  <c:v>-1.9067405482520172E-4</c:v>
                </c:pt>
                <c:pt idx="286">
                  <c:v>-1.8609313109152481E-4</c:v>
                </c:pt>
                <c:pt idx="287">
                  <c:v>-1.8166629836446901E-4</c:v>
                </c:pt>
                <c:pt idx="288">
                  <c:v>-1.7952978319968338E-4</c:v>
                </c:pt>
                <c:pt idx="289">
                  <c:v>-1.7743943758308234E-4</c:v>
                </c:pt>
                <c:pt idx="290">
                  <c:v>-1.7539526175447406E-4</c:v>
                </c:pt>
                <c:pt idx="291">
                  <c:v>-1.7146072684326441E-4</c:v>
                </c:pt>
                <c:pt idx="292">
                  <c:v>-1.6768025408175902E-4</c:v>
                </c:pt>
                <c:pt idx="293">
                  <c:v>-1.6586692607400977E-4</c:v>
                </c:pt>
                <c:pt idx="294">
                  <c:v>-1.6409976781428526E-4</c:v>
                </c:pt>
                <c:pt idx="295">
                  <c:v>-1.6237877906277731E-4</c:v>
                </c:pt>
                <c:pt idx="296">
                  <c:v>-1.5909063013630487E-4</c:v>
                </c:pt>
                <c:pt idx="297">
                  <c:v>-1.5595652049782416E-4</c:v>
                </c:pt>
                <c:pt idx="298">
                  <c:v>-1.5446637988691947E-4</c:v>
                </c:pt>
                <c:pt idx="299">
                  <c:v>-1.5302240882419937E-4</c:v>
                </c:pt>
                <c:pt idx="300">
                  <c:v>-1.5162460742956796E-4</c:v>
                </c:pt>
                <c:pt idx="301">
                  <c:v>-1.4898284161013464E-4</c:v>
                </c:pt>
                <c:pt idx="302">
                  <c:v>-1.464950979723767E-4</c:v>
                </c:pt>
                <c:pt idx="303">
                  <c:v>-1.453281445185084E-4</c:v>
                </c:pt>
                <c:pt idx="304">
                  <c:v>-1.4420736081266483E-4</c:v>
                </c:pt>
                <c:pt idx="305">
                  <c:v>-1.4313274673494192E-4</c:v>
                </c:pt>
                <c:pt idx="306">
                  <c:v>-1.411373619042422E-4</c:v>
                </c:pt>
                <c:pt idx="307">
                  <c:v>-1.3929598654538466E-4</c:v>
                </c:pt>
                <c:pt idx="308">
                  <c:v>-1.3845222044839289E-4</c:v>
                </c:pt>
                <c:pt idx="309">
                  <c:v>-1.3765462397952177E-4</c:v>
                </c:pt>
                <c:pt idx="310">
                  <c:v>-1.3690319729864342E-4</c:v>
                </c:pt>
                <c:pt idx="311">
                  <c:v>-1.3555419137833979E-4</c:v>
                </c:pt>
                <c:pt idx="312">
                  <c:v>-1.3435918637672017E-4</c:v>
                </c:pt>
                <c:pt idx="313">
                  <c:v>-1.3383860767657296E-4</c:v>
                </c:pt>
                <c:pt idx="314">
                  <c:v>-1.3336419856457837E-4</c:v>
                </c:pt>
                <c:pt idx="315">
                  <c:v>-1.3293595916064049E-4</c:v>
                </c:pt>
                <c:pt idx="316">
                  <c:v>-1.3223333041878504E-4</c:v>
                </c:pt>
                <c:pt idx="317">
                  <c:v>-1.3168469754631928E-4</c:v>
                </c:pt>
                <c:pt idx="318">
                  <c:v>-1.3148730628298466E-4</c:v>
                </c:pt>
                <c:pt idx="319">
                  <c:v>-1.3133608444793055E-4</c:v>
                </c:pt>
                <c:pt idx="320">
                  <c:v>-1.3123103248080525E-4</c:v>
                </c:pt>
                <c:pt idx="321">
                  <c:v>-1.3117477918545006E-4</c:v>
                </c:pt>
                <c:pt idx="322">
                  <c:v>-1.3127252021405411E-4</c:v>
                </c:pt>
                <c:pt idx="323">
                  <c:v>-1.3139831630759602E-4</c:v>
                </c:pt>
                <c:pt idx="324">
                  <c:v>-1.3157028186938646E-4</c:v>
                </c:pt>
                <c:pt idx="325">
                  <c:v>-1.3178841721916967E-4</c:v>
                </c:pt>
                <c:pt idx="326">
                  <c:v>-1.323785377049802E-4</c:v>
                </c:pt>
                <c:pt idx="327">
                  <c:v>-1.331226542999886E-4</c:v>
                </c:pt>
                <c:pt idx="328">
                  <c:v>-1.3357163783034309E-4</c:v>
                </c:pt>
                <c:pt idx="329">
                  <c:v>-1.3404691149077053E-4</c:v>
                </c:pt>
                <c:pt idx="330">
                  <c:v>-1.3446895896773725E-4</c:v>
                </c:pt>
                <c:pt idx="331">
                  <c:v>-1.3515847376299739E-4</c:v>
                </c:pt>
                <c:pt idx="332">
                  <c:v>-1.35482613168314E-4</c:v>
                </c:pt>
                <c:pt idx="333">
                  <c:v>-1.354660273955588E-4</c:v>
                </c:pt>
                <c:pt idx="334">
                  <c:v>-1.3537633602123123E-4</c:v>
                </c:pt>
                <c:pt idx="335">
                  <c:v>2.3370949264389651E-3</c:v>
                </c:pt>
                <c:pt idx="336">
                  <c:v>-1.3428651550739801E-4</c:v>
                </c:pt>
                <c:pt idx="337">
                  <c:v>-1.338312965248889E-4</c:v>
                </c:pt>
                <c:pt idx="338">
                  <c:v>-1.3330297194080742E-4</c:v>
                </c:pt>
                <c:pt idx="339">
                  <c:v>-1.3270154195499373E-4</c:v>
                </c:pt>
                <c:pt idx="340">
                  <c:v>-1.3125494882970656E-4</c:v>
                </c:pt>
                <c:pt idx="341">
                  <c:v>-1.295647662757915E-4</c:v>
                </c:pt>
                <c:pt idx="342">
                  <c:v>-1.2859780864182824E-4</c:v>
                </c:pt>
                <c:pt idx="343">
                  <c:v>-1.2755774520645247E-4</c:v>
                </c:pt>
                <c:pt idx="344">
                  <c:v>-1.2644457660915265E-4</c:v>
                </c:pt>
                <c:pt idx="345">
                  <c:v>-1.2397451097712064E-4</c:v>
                </c:pt>
                <c:pt idx="346">
                  <c:v>-1.212608457645814E-4</c:v>
                </c:pt>
                <c:pt idx="347">
                  <c:v>-1.1978214919938779E-4</c:v>
                </c:pt>
                <c:pt idx="348">
                  <c:v>-1.1823034711255787E-4</c:v>
                </c:pt>
                <c:pt idx="349">
                  <c:v>-1.1660543958402769E-4</c:v>
                </c:pt>
                <c:pt idx="350">
                  <c:v>-1.1311190359020173E-4</c:v>
                </c:pt>
                <c:pt idx="351">
                  <c:v>-1.0937475353411941E-4</c:v>
                </c:pt>
                <c:pt idx="352">
                  <c:v>-1.0738431819756755E-4</c:v>
                </c:pt>
                <c:pt idx="353">
                  <c:v>-1.053207772194753E-4</c:v>
                </c:pt>
                <c:pt idx="354">
                  <c:v>-1.0318413083965083E-4</c:v>
                </c:pt>
                <c:pt idx="355">
                  <c:v>-9.8667125616458407E-5</c:v>
                </c:pt>
                <c:pt idx="356">
                  <c:v>-9.3906489304629304E-5</c:v>
                </c:pt>
                <c:pt idx="357">
                  <c:v>-9.1404315036847095E-5</c:v>
                </c:pt>
                <c:pt idx="358">
                  <c:v>-8.8829035247428578E-5</c:v>
                </c:pt>
                <c:pt idx="359">
                  <c:v>-8.6180649816469668E-5</c:v>
                </c:pt>
                <c:pt idx="360">
                  <c:v>-8.0640175803559089E-5</c:v>
                </c:pt>
                <c:pt idx="361">
                  <c:v>-7.4856052636462778E-5</c:v>
                </c:pt>
                <c:pt idx="362">
                  <c:v>-7.1842139397482185E-5</c:v>
                </c:pt>
                <c:pt idx="363">
                  <c:v>-6.8755120556929228E-5</c:v>
                </c:pt>
                <c:pt idx="364">
                  <c:v>-6.5594996234707992E-5</c:v>
                </c:pt>
                <c:pt idx="365">
                  <c:v>-5.9031052512814597E-5</c:v>
                </c:pt>
                <c:pt idx="366">
                  <c:v>-5.2223442890131366E-5</c:v>
                </c:pt>
                <c:pt idx="367">
                  <c:v>-4.8697790639984362E-5</c:v>
                </c:pt>
                <c:pt idx="368">
                  <c:v>-4.5099032628392877E-5</c:v>
                </c:pt>
                <c:pt idx="369">
                  <c:v>-4.1427169255037199E-5</c:v>
                </c:pt>
                <c:pt idx="370">
                  <c:v>-3.3839753839082221E-5</c:v>
                </c:pt>
                <c:pt idx="371">
                  <c:v>-2.6008659506082665E-5</c:v>
                </c:pt>
                <c:pt idx="372">
                  <c:v>-2.1971268004961075E-5</c:v>
                </c:pt>
                <c:pt idx="373">
                  <c:v>-1.7860770942235149E-5</c:v>
                </c:pt>
                <c:pt idx="374">
                  <c:v>-1.36771681980008E-5</c:v>
                </c:pt>
                <c:pt idx="375">
                  <c:v>-5.066277490861637E-6</c:v>
                </c:pt>
                <c:pt idx="376">
                  <c:v>3.7882984749160187E-6</c:v>
                </c:pt>
                <c:pt idx="377">
                  <c:v>8.3374293069482519E-6</c:v>
                </c:pt>
                <c:pt idx="378">
                  <c:v>1.2959665580680735E-5</c:v>
                </c:pt>
                <c:pt idx="379">
                  <c:v>1.7655007615857699E-5</c:v>
                </c:pt>
                <c:pt idx="380">
                  <c:v>2.7289379076478326E-5</c:v>
                </c:pt>
                <c:pt idx="381">
                  <c:v>3.7167431852225263E-5</c:v>
                </c:pt>
                <c:pt idx="382">
                  <c:v>4.2228301975200111E-5</c:v>
                </c:pt>
                <c:pt idx="383">
                  <c:v>4.7362277859619439E-5</c:v>
                </c:pt>
                <c:pt idx="384">
                  <c:v>5.2569359345611133E-5</c:v>
                </c:pt>
                <c:pt idx="385">
                  <c:v>6.3227218740635749E-5</c:v>
                </c:pt>
                <c:pt idx="386">
                  <c:v>7.4128741545109733E-5</c:v>
                </c:pt>
                <c:pt idx="387">
                  <c:v>7.9701351278771426E-5</c:v>
                </c:pt>
                <c:pt idx="388">
                  <c:v>8.53470667738776E-5</c:v>
                </c:pt>
                <c:pt idx="389">
                  <c:v>9.1065887790620081E-5</c:v>
                </c:pt>
                <c:pt idx="390">
                  <c:v>1.0274724476566632E-4</c:v>
                </c:pt>
                <c:pt idx="391">
                  <c:v>1.1467222883254635E-4</c:v>
                </c:pt>
                <c:pt idx="392">
                  <c:v>1.207391698621052E-4</c:v>
                </c:pt>
                <c:pt idx="393">
                  <c:v>1.2679217419986344E-4</c:v>
                </c:pt>
                <c:pt idx="394">
                  <c:v>1.3281383369090349E-4</c:v>
                </c:pt>
                <c:pt idx="395">
                  <c:v>1.4475272729796984E-4</c:v>
                </c:pt>
                <c:pt idx="396">
                  <c:v>1.5658702110954437E-4</c:v>
                </c:pt>
                <c:pt idx="397">
                  <c:v>1.6245195540776081E-4</c:v>
                </c:pt>
                <c:pt idx="398">
                  <c:v>1.6828554461945089E-4</c:v>
                </c:pt>
                <c:pt idx="399">
                  <c:v>1.7408778890448673E-4</c:v>
                </c:pt>
                <c:pt idx="400">
                  <c:v>1.8558788950961969E-4</c:v>
                </c:pt>
                <c:pt idx="401">
                  <c:v>1.9698331541917469E-4</c:v>
                </c:pt>
                <c:pt idx="402">
                  <c:v>2.0262883443145085E-4</c:v>
                </c:pt>
                <c:pt idx="403">
                  <c:v>2.0824300843713672E-4</c:v>
                </c:pt>
                <c:pt idx="404">
                  <c:v>2.1382583743623229E-4</c:v>
                </c:pt>
                <c:pt idx="405">
                  <c:v>2.2488715226032241E-4</c:v>
                </c:pt>
                <c:pt idx="406">
                  <c:v>2.3584370264728705E-4</c:v>
                </c:pt>
                <c:pt idx="407">
                  <c:v>2.4126980637362294E-4</c:v>
                </c:pt>
                <c:pt idx="408">
                  <c:v>2.4666456501343248E-4</c:v>
                </c:pt>
                <c:pt idx="409">
                  <c:v>2.6262980876445852E-4</c:v>
                </c:pt>
                <c:pt idx="410">
                  <c:v>2.7837487083459678E-4</c:v>
                </c:pt>
                <c:pt idx="411">
                  <c:v>2.8355021410852999E-4</c:v>
                </c:pt>
                <c:pt idx="412">
                  <c:v>2.8869421221600078E-4</c:v>
                </c:pt>
                <c:pt idx="413">
                  <c:v>2.9887797319716469E-4</c:v>
                </c:pt>
                <c:pt idx="414">
                  <c:v>3.0895675434017278E-4</c:v>
                </c:pt>
                <c:pt idx="415">
                  <c:v>3.139440271748839E-4</c:v>
                </c:pt>
                <c:pt idx="416">
                  <c:v>3.1889995500300472E-4</c:v>
                </c:pt>
                <c:pt idx="417">
                  <c:v>3.2382453766466313E-4</c:v>
                </c:pt>
                <c:pt idx="418">
                  <c:v>3.3597973934984537E-4</c:v>
                </c:pt>
                <c:pt idx="419">
                  <c:v>3.4797727515467614E-4</c:v>
                </c:pt>
                <c:pt idx="420">
                  <c:v>3.527137872971764E-4</c:v>
                </c:pt>
                <c:pt idx="421">
                  <c:v>3.5741895451302241E-4</c:v>
                </c:pt>
                <c:pt idx="422">
                  <c:v>3.6672517870428578E-4</c:v>
                </c:pt>
                <c:pt idx="423">
                  <c:v>3.7592617235127079E-4</c:v>
                </c:pt>
                <c:pt idx="424">
                  <c:v>3.8047461389467685E-4</c:v>
                </c:pt>
                <c:pt idx="425">
                  <c:v>3.8499171075123684E-4</c:v>
                </c:pt>
                <c:pt idx="426">
                  <c:v>3.8947746212159018E-4</c:v>
                </c:pt>
                <c:pt idx="427">
                  <c:v>3.9834492246093589E-4</c:v>
                </c:pt>
                <c:pt idx="428">
                  <c:v>4.071070176170366E-4</c:v>
                </c:pt>
                <c:pt idx="429">
                  <c:v>4.114360434748221E-4</c:v>
                </c:pt>
                <c:pt idx="430">
                  <c:v>4.1573372464576153E-4</c:v>
                </c:pt>
                <c:pt idx="431">
                  <c:v>4.2000006057030248E-4</c:v>
                </c:pt>
                <c:pt idx="432">
                  <c:v>4.2842875849657958E-4</c:v>
                </c:pt>
                <c:pt idx="433">
                  <c:v>4.3675195308345849E-4</c:v>
                </c:pt>
                <c:pt idx="434">
                  <c:v>4.408615634954316E-4</c:v>
                </c:pt>
                <c:pt idx="435">
                  <c:v>4.4493982874094229E-4</c:v>
                </c:pt>
                <c:pt idx="436">
                  <c:v>4.4898674897986268E-4</c:v>
                </c:pt>
                <c:pt idx="437">
                  <c:v>4.5697668569211203E-4</c:v>
                </c:pt>
                <c:pt idx="438">
                  <c:v>4.6486097859066433E-4</c:v>
                </c:pt>
                <c:pt idx="439">
                  <c:v>4.6875117323708082E-4</c:v>
                </c:pt>
                <c:pt idx="440">
                  <c:v>4.7261002279697095E-4</c:v>
                </c:pt>
                <c:pt idx="441">
                  <c:v>4.7643752711046261E-4</c:v>
                </c:pt>
                <c:pt idx="442">
                  <c:v>4.8398870295507379E-4</c:v>
                </c:pt>
                <c:pt idx="443">
                  <c:v>4.9143409373897384E-4</c:v>
                </c:pt>
                <c:pt idx="444">
                  <c:v>4.9510487253989766E-4</c:v>
                </c:pt>
                <c:pt idx="445">
                  <c:v>4.9874430617435905E-4</c:v>
                </c:pt>
                <c:pt idx="446">
                  <c:v>5.0235239480223015E-4</c:v>
                </c:pt>
                <c:pt idx="447">
                  <c:v>5.0946480921965076E-4</c:v>
                </c:pt>
                <c:pt idx="448">
                  <c:v>5.1647129804877068E-4</c:v>
                </c:pt>
                <c:pt idx="449">
                  <c:v>5.1992266100420181E-4</c:v>
                </c:pt>
                <c:pt idx="450">
                  <c:v>5.2334267879317053E-4</c:v>
                </c:pt>
                <c:pt idx="451">
                  <c:v>5.2673889098464599E-4</c:v>
                </c:pt>
                <c:pt idx="452">
                  <c:v>5.3356333221010743E-4</c:v>
                </c:pt>
                <c:pt idx="453">
                  <c:v>5.4043249683388694E-4</c:v>
                </c:pt>
                <c:pt idx="454">
                  <c:v>5.4389062693616097E-4</c:v>
                </c:pt>
                <c:pt idx="455">
                  <c:v>5.4736264864629902E-4</c:v>
                </c:pt>
                <c:pt idx="456">
                  <c:v>5.5084856188436504E-4</c:v>
                </c:pt>
                <c:pt idx="457">
                  <c:v>5.5786755745579342E-4</c:v>
                </c:pt>
                <c:pt idx="458">
                  <c:v>5.6493112923661215E-4</c:v>
                </c:pt>
                <c:pt idx="459">
                  <c:v>5.6848649979457377E-4</c:v>
                </c:pt>
                <c:pt idx="460">
                  <c:v>5.7205576196039942E-4</c:v>
                </c:pt>
                <c:pt idx="461">
                  <c:v>5.7563891549428092E-4</c:v>
                </c:pt>
                <c:pt idx="462">
                  <c:v>5.8285247119371775E-4</c:v>
                </c:pt>
                <c:pt idx="463">
                  <c:v>5.9011044458934236E-4</c:v>
                </c:pt>
                <c:pt idx="464">
                  <c:v>5.9376305568292764E-4</c:v>
                </c:pt>
                <c:pt idx="465">
                  <c:v>5.9742955814456877E-4</c:v>
                </c:pt>
                <c:pt idx="466">
                  <c:v>6.0110995229400999E-4</c:v>
                </c:pt>
                <c:pt idx="467">
                  <c:v>6.0851807385020606E-4</c:v>
                </c:pt>
                <c:pt idx="468">
                  <c:v>6.1597044321182182E-4</c:v>
                </c:pt>
                <c:pt idx="469">
                  <c:v>6.1972029476109469E-4</c:v>
                </c:pt>
                <c:pt idx="470">
                  <c:v>6.2348403775835948E-4</c:v>
                </c:pt>
                <c:pt idx="471">
                  <c:v>6.2726167220361617E-4</c:v>
                </c:pt>
                <c:pt idx="472">
                  <c:v>6.3486436577164795E-4</c:v>
                </c:pt>
                <c:pt idx="473">
                  <c:v>6.4251112518398656E-4</c:v>
                </c:pt>
                <c:pt idx="474">
                  <c:v>6.4635821710901098E-4</c:v>
                </c:pt>
                <c:pt idx="475">
                  <c:v>6.5021920064189942E-4</c:v>
                </c:pt>
                <c:pt idx="476">
                  <c:v>6.5409407562277977E-4</c:v>
                </c:pt>
                <c:pt idx="477">
                  <c:v>6.6189134749095047E-4</c:v>
                </c:pt>
                <c:pt idx="478">
                  <c:v>6.6973249050583661E-4</c:v>
                </c:pt>
                <c:pt idx="479">
                  <c:v>6.7367682296648468E-4</c:v>
                </c:pt>
                <c:pt idx="480">
                  <c:v>6.7763504695506072E-4</c:v>
                </c:pt>
                <c:pt idx="481">
                  <c:v>6.8160716247156472E-4</c:v>
                </c:pt>
                <c:pt idx="482">
                  <c:v>6.8959901940779389E-4</c:v>
                </c:pt>
                <c:pt idx="483">
                  <c:v>6.9763453949711618E-4</c:v>
                </c:pt>
                <c:pt idx="484">
                  <c:v>7.0167611257332396E-4</c:v>
                </c:pt>
                <c:pt idx="485">
                  <c:v>7.057315770175876E-4</c:v>
                </c:pt>
                <c:pt idx="486">
                  <c:v>7.0980093306971526E-4</c:v>
                </c:pt>
                <c:pt idx="487">
                  <c:v>7.1798738205508528E-4</c:v>
                </c:pt>
                <c:pt idx="488">
                  <c:v>7.2621727223776134E-4</c:v>
                </c:pt>
                <c:pt idx="489">
                  <c:v>7.3035608576965672E-4</c:v>
                </c:pt>
                <c:pt idx="490">
                  <c:v>7.3450879090941612E-4</c:v>
                </c:pt>
                <c:pt idx="491">
                  <c:v>7.3867538741723138E-4</c:v>
                </c:pt>
                <c:pt idx="492">
                  <c:v>7.4705643593908633E-4</c:v>
                </c:pt>
                <c:pt idx="493">
                  <c:v>7.5548068888764419E-4</c:v>
                </c:pt>
                <c:pt idx="494">
                  <c:v>7.5971674303509928E-4</c:v>
                </c:pt>
                <c:pt idx="495">
                  <c:v>7.6396668871048234E-4</c:v>
                </c:pt>
                <c:pt idx="496">
                  <c:v>7.6823052591379337E-4</c:v>
                </c:pt>
                <c:pt idx="497">
                  <c:v>7.7680618140618662E-4</c:v>
                </c:pt>
                <c:pt idx="498">
                  <c:v>7.8542478968657292E-4</c:v>
                </c:pt>
                <c:pt idx="499">
                  <c:v>7.8975808452952379E-4</c:v>
                </c:pt>
                <c:pt idx="500">
                  <c:v>7.941052707405305E-4</c:v>
                </c:pt>
                <c:pt idx="501">
                  <c:v>7.9846634847946518E-4</c:v>
                </c:pt>
                <c:pt idx="502">
                  <c:v>8.0723661914916534E-4</c:v>
                </c:pt>
                <c:pt idx="503">
                  <c:v>8.1604957471448358E-4</c:v>
                </c:pt>
                <c:pt idx="504">
                  <c:v>8.204801100930581E-4</c:v>
                </c:pt>
                <c:pt idx="505">
                  <c:v>8.2492453707949664E-4</c:v>
                </c:pt>
                <c:pt idx="506">
                  <c:v>8.2938285543399104E-4</c:v>
                </c:pt>
                <c:pt idx="507">
                  <c:v>8.3834774951441204E-4</c:v>
                </c:pt>
                <c:pt idx="508">
                  <c:v>8.4735504429112041E-4</c:v>
                </c:pt>
                <c:pt idx="509">
                  <c:v>8.5188282028525464E-4</c:v>
                </c:pt>
                <c:pt idx="510">
                  <c:v>8.5642448772738078E-4</c:v>
                </c:pt>
                <c:pt idx="511">
                  <c:v>8.6098004693724306E-4</c:v>
                </c:pt>
                <c:pt idx="512">
                  <c:v>8.7013957319470592E-4</c:v>
                </c:pt>
                <c:pt idx="513">
                  <c:v>8.7934119841648339E-4</c:v>
                </c:pt>
                <c:pt idx="514">
                  <c:v>8.8396621502617734E-4</c:v>
                </c:pt>
                <c:pt idx="515">
                  <c:v>8.8860512332367136E-4</c:v>
                </c:pt>
                <c:pt idx="516">
                  <c:v>8.9325792298922124E-4</c:v>
                </c:pt>
                <c:pt idx="517">
                  <c:v>9.0261209064301795E-4</c:v>
                </c:pt>
                <c:pt idx="518">
                  <c:v>9.3574893412551319E-4</c:v>
                </c:pt>
                <c:pt idx="519">
                  <c:v>9.6938642153432397E-4</c:v>
                </c:pt>
                <c:pt idx="520">
                  <c:v>1.0034754484955499E-3</c:v>
                </c:pt>
                <c:pt idx="521">
                  <c:v>1.0380160153289353E-3</c:v>
                </c:pt>
                <c:pt idx="522">
                  <c:v>1.0730081225407417E-3</c:v>
                </c:pt>
                <c:pt idx="523">
                  <c:v>1.1084517703707775E-3</c:v>
                </c:pt>
                <c:pt idx="524">
                  <c:v>1.1443469592986588E-3</c:v>
                </c:pt>
                <c:pt idx="525">
                  <c:v>1.1806936897240661E-3</c:v>
                </c:pt>
                <c:pt idx="526">
                  <c:v>1.2174919620733249E-3</c:v>
                </c:pt>
                <c:pt idx="527">
                  <c:v>1.2547417767461155E-3</c:v>
                </c:pt>
                <c:pt idx="528">
                  <c:v>1.2924431341687637E-3</c:v>
                </c:pt>
                <c:pt idx="529">
                  <c:v>1.3305960347409496E-3</c:v>
                </c:pt>
                <c:pt idx="530">
                  <c:v>1.3692004789422896E-3</c:v>
                </c:pt>
                <c:pt idx="531">
                  <c:v>1.4138844510540594E-3</c:v>
                </c:pt>
                <c:pt idx="532">
                  <c:v>1.4506088552956875E-3</c:v>
                </c:pt>
                <c:pt idx="533">
                  <c:v>1.4877230775312E-3</c:v>
                </c:pt>
                <c:pt idx="534">
                  <c:v>1.5281337005390583E-3</c:v>
                </c:pt>
                <c:pt idx="535">
                  <c:v>1.5689958693876349E-3</c:v>
                </c:pt>
                <c:pt idx="536">
                  <c:v>1.6103095845032556E-3</c:v>
                </c:pt>
                <c:pt idx="537">
                  <c:v>1.6520748464188273E-3</c:v>
                </c:pt>
                <c:pt idx="538">
                  <c:v>1.6942916555340304E-3</c:v>
                </c:pt>
                <c:pt idx="539">
                  <c:v>1.7369600123551265E-3</c:v>
                </c:pt>
                <c:pt idx="540">
                  <c:v>1.7800799173883775E-3</c:v>
                </c:pt>
                <c:pt idx="541">
                  <c:v>1.8236513710867541E-3</c:v>
                </c:pt>
                <c:pt idx="542">
                  <c:v>1.8676743739565183E-3</c:v>
                </c:pt>
                <c:pt idx="543">
                  <c:v>1.9121489265039315E-3</c:v>
                </c:pt>
                <c:pt idx="544">
                  <c:v>1.957075029181965E-3</c:v>
                </c:pt>
                <c:pt idx="545">
                  <c:v>2.0220240493973307E-3</c:v>
                </c:pt>
                <c:pt idx="546">
                  <c:v>2.0482818871148112E-3</c:v>
                </c:pt>
                <c:pt idx="547">
                  <c:v>2.094562643355502E-3</c:v>
                </c:pt>
                <c:pt idx="548">
                  <c:v>2.1412949518317959E-3</c:v>
                </c:pt>
                <c:pt idx="549">
                  <c:v>2.1884788131032451E-3</c:v>
                </c:pt>
                <c:pt idx="550">
                  <c:v>2.2361142276228207E-3</c:v>
                </c:pt>
                <c:pt idx="551">
                  <c:v>2.2842011959767206E-3</c:v>
                </c:pt>
                <c:pt idx="552">
                  <c:v>2.3327397186712062E-3</c:v>
                </c:pt>
                <c:pt idx="553">
                  <c:v>2.3817297963191209E-3</c:v>
                </c:pt>
                <c:pt idx="554">
                  <c:v>2.4311714294267261E-3</c:v>
                </c:pt>
                <c:pt idx="555">
                  <c:v>2.4810646185535745E-3</c:v>
                </c:pt>
                <c:pt idx="556">
                  <c:v>2.531409364232573E-3</c:v>
                </c:pt>
                <c:pt idx="557">
                  <c:v>2.5822056671032101E-3</c:v>
                </c:pt>
                <c:pt idx="558">
                  <c:v>2.6334535277250382E-3</c:v>
                </c:pt>
                <c:pt idx="559">
                  <c:v>2.6851529466309643E-3</c:v>
                </c:pt>
                <c:pt idx="560">
                  <c:v>2.7373039244338315E-3</c:v>
                </c:pt>
                <c:pt idx="561">
                  <c:v>2.7899064616931923E-3</c:v>
                </c:pt>
                <c:pt idx="562">
                  <c:v>2.8429605590751805E-3</c:v>
                </c:pt>
                <c:pt idx="563">
                  <c:v>2.8964662171127031E-3</c:v>
                </c:pt>
                <c:pt idx="564">
                  <c:v>2.9504234364186033E-3</c:v>
                </c:pt>
                <c:pt idx="565">
                  <c:v>3.0048322176057241E-3</c:v>
                </c:pt>
                <c:pt idx="566">
                  <c:v>3.0596925612869086E-3</c:v>
                </c:pt>
                <c:pt idx="567">
                  <c:v>3.1150044681282907E-3</c:v>
                </c:pt>
                <c:pt idx="568">
                  <c:v>3.1707679386894227E-3</c:v>
                </c:pt>
                <c:pt idx="569">
                  <c:v>3.2268679344049644E-3</c:v>
                </c:pt>
                <c:pt idx="570">
                  <c:v>3.2829209915341551E-3</c:v>
                </c:pt>
                <c:pt idx="571">
                  <c:v>3.3388887635776854E-3</c:v>
                </c:pt>
                <c:pt idx="572">
                  <c:v>3.3947712503756833E-3</c:v>
                </c:pt>
                <c:pt idx="573">
                  <c:v>3.4505684518482127E-3</c:v>
                </c:pt>
                <c:pt idx="574">
                  <c:v>3.5062803678620469E-3</c:v>
                </c:pt>
                <c:pt idx="575">
                  <c:v>3.5619069983106044E-3</c:v>
                </c:pt>
                <c:pt idx="576">
                  <c:v>3.6174483430606585E-3</c:v>
                </c:pt>
                <c:pt idx="577">
                  <c:v>3.6729044019789825E-3</c:v>
                </c:pt>
                <c:pt idx="578">
                  <c:v>3.7282751749856402E-3</c:v>
                </c:pt>
                <c:pt idx="579">
                  <c:v>3.7835606619474049E-3</c:v>
                </c:pt>
                <c:pt idx="580">
                  <c:v>3.8387608627310499E-3</c:v>
                </c:pt>
                <c:pt idx="581">
                  <c:v>3.8938757772299937E-3</c:v>
                </c:pt>
                <c:pt idx="582">
                  <c:v>3.9489054053376549E-3</c:v>
                </c:pt>
                <c:pt idx="583">
                  <c:v>4.0038497469208068E-3</c:v>
                </c:pt>
                <c:pt idx="584">
                  <c:v>4.0782579150544507E-3</c:v>
                </c:pt>
                <c:pt idx="585">
                  <c:v>4.1290697744145177E-3</c:v>
                </c:pt>
                <c:pt idx="586">
                  <c:v>4.1837326257798679E-3</c:v>
                </c:pt>
                <c:pt idx="587">
                  <c:v>4.2383101755394392E-3</c:v>
                </c:pt>
                <c:pt idx="588">
                  <c:v>4.2928024236132956E-3</c:v>
                </c:pt>
                <c:pt idx="589">
                  <c:v>4.347209370081373E-3</c:v>
                </c:pt>
                <c:pt idx="590">
                  <c:v>4.4015310147837994E-3</c:v>
                </c:pt>
                <c:pt idx="591">
                  <c:v>4.4557673577205748E-3</c:v>
                </c:pt>
                <c:pt idx="592">
                  <c:v>4.5099183988916991E-3</c:v>
                </c:pt>
                <c:pt idx="593">
                  <c:v>4.5639841381373003E-3</c:v>
                </c:pt>
                <c:pt idx="594">
                  <c:v>4.6179645755373144E-3</c:v>
                </c:pt>
                <c:pt idx="595">
                  <c:v>4.6718597110917415E-3</c:v>
                </c:pt>
                <c:pt idx="596">
                  <c:v>4.7256695445607733E-3</c:v>
                </c:pt>
                <c:pt idx="597">
                  <c:v>4.7793940760243458E-3</c:v>
                </c:pt>
                <c:pt idx="598">
                  <c:v>4.8330333055623953E-3</c:v>
                </c:pt>
                <c:pt idx="599">
                  <c:v>4.8865872329351134E-3</c:v>
                </c:pt>
                <c:pt idx="600">
                  <c:v>4.9553169406202358E-3</c:v>
                </c:pt>
                <c:pt idx="601">
                  <c:v>4.9934391814243639E-3</c:v>
                </c:pt>
                <c:pt idx="602">
                  <c:v>5.0467372023810242E-3</c:v>
                </c:pt>
                <c:pt idx="603">
                  <c:v>5.0999499210924171E-3</c:v>
                </c:pt>
                <c:pt idx="604">
                  <c:v>5.1530773375585426E-3</c:v>
                </c:pt>
                <c:pt idx="605">
                  <c:v>5.2061194517794007E-3</c:v>
                </c:pt>
                <c:pt idx="606">
                  <c:v>5.2590762635951194E-3</c:v>
                </c:pt>
                <c:pt idx="607">
                  <c:v>5.3119477730056985E-3</c:v>
                </c:pt>
                <c:pt idx="608">
                  <c:v>5.3647339800910743E-3</c:v>
                </c:pt>
                <c:pt idx="609">
                  <c:v>5.4174348846913745E-3</c:v>
                </c:pt>
                <c:pt idx="610">
                  <c:v>5.4700504867266631E-3</c:v>
                </c:pt>
                <c:pt idx="611">
                  <c:v>5.5225807863568122E-3</c:v>
                </c:pt>
                <c:pt idx="612">
                  <c:v>5.5750257833420136E-3</c:v>
                </c:pt>
                <c:pt idx="613">
                  <c:v>5.6273854777622034E-3</c:v>
                </c:pt>
                <c:pt idx="614">
                  <c:v>5.6796598695374456E-3</c:v>
                </c:pt>
                <c:pt idx="615">
                  <c:v>5.7318489585878041E-3</c:v>
                </c:pt>
                <c:pt idx="616">
                  <c:v>5.7839527449932149E-3</c:v>
                </c:pt>
                <c:pt idx="617">
                  <c:v>5.8359712285938059E-3</c:v>
                </c:pt>
                <c:pt idx="618">
                  <c:v>5.8879044094695132E-3</c:v>
                </c:pt>
                <c:pt idx="619">
                  <c:v>5.9397522874604647E-3</c:v>
                </c:pt>
                <c:pt idx="620">
                  <c:v>5.9915148626465964E-3</c:v>
                </c:pt>
                <c:pt idx="621">
                  <c:v>6.0433567417561562E-3</c:v>
                </c:pt>
                <c:pt idx="622">
                  <c:v>6.0956324628680392E-3</c:v>
                </c:pt>
                <c:pt idx="623">
                  <c:v>6.1483546883334128E-3</c:v>
                </c:pt>
                <c:pt idx="624">
                  <c:v>6.2015234180723411E-3</c:v>
                </c:pt>
                <c:pt idx="625">
                  <c:v>6.2551386525644403E-3</c:v>
                </c:pt>
                <c:pt idx="626">
                  <c:v>6.3092003918896467E-3</c:v>
                </c:pt>
                <c:pt idx="627">
                  <c:v>6.3637086362078321E-3</c:v>
                </c:pt>
                <c:pt idx="628">
                  <c:v>6.418663385838741E-3</c:v>
                </c:pt>
                <c:pt idx="629">
                  <c:v>6.4740646408623093E-3</c:v>
                </c:pt>
                <c:pt idx="630">
                  <c:v>6.5299124015183452E-3</c:v>
                </c:pt>
                <c:pt idx="631">
                  <c:v>6.5862066680466569E-3</c:v>
                </c:pt>
                <c:pt idx="632">
                  <c:v>6.6429474406870526E-3</c:v>
                </c:pt>
                <c:pt idx="633">
                  <c:v>6.7001347195994043E-3</c:v>
                </c:pt>
                <c:pt idx="634">
                  <c:v>6.7577685050235203E-3</c:v>
                </c:pt>
                <c:pt idx="635">
                  <c:v>6.8158487970393367E-3</c:v>
                </c:pt>
                <c:pt idx="636">
                  <c:v>6.8870421592048814E-3</c:v>
                </c:pt>
                <c:pt idx="637">
                  <c:v>6.9418101099394391E-3</c:v>
                </c:pt>
                <c:pt idx="638">
                  <c:v>7.0012937102248429E-3</c:v>
                </c:pt>
                <c:pt idx="639">
                  <c:v>7.0612238182210518E-3</c:v>
                </c:pt>
                <c:pt idx="640">
                  <c:v>7.1216004339280659E-3</c:v>
                </c:pt>
                <c:pt idx="641">
                  <c:v>7.1824235579054374E-3</c:v>
                </c:pt>
                <c:pt idx="642">
                  <c:v>7.2436931899133583E-3</c:v>
                </c:pt>
                <c:pt idx="643">
                  <c:v>7.3054093306712531E-3</c:v>
                </c:pt>
                <c:pt idx="644">
                  <c:v>7.3675719800192496E-3</c:v>
                </c:pt>
                <c:pt idx="645">
                  <c:v>7.4301811383570282E-3</c:v>
                </c:pt>
                <c:pt idx="646">
                  <c:v>7.4932368060043331E-3</c:v>
                </c:pt>
                <c:pt idx="647">
                  <c:v>7.5567389830411003E-3</c:v>
                </c:pt>
                <c:pt idx="648">
                  <c:v>7.620687669787074E-3</c:v>
                </c:pt>
                <c:pt idx="649">
                  <c:v>7.6850828664820625E-3</c:v>
                </c:pt>
                <c:pt idx="650">
                  <c:v>7.7499245732060018E-3</c:v>
                </c:pt>
                <c:pt idx="651">
                  <c:v>7.8339485789591379E-3</c:v>
                </c:pt>
                <c:pt idx="652">
                  <c:v>7.8998108813710388E-3</c:v>
                </c:pt>
                <c:pt idx="653">
                  <c:v>7.9806578782282145E-3</c:v>
                </c:pt>
                <c:pt idx="654">
                  <c:v>8.0328750190794551E-3</c:v>
                </c:pt>
                <c:pt idx="655">
                  <c:v>8.100076855175331E-3</c:v>
                </c:pt>
                <c:pt idx="656">
                  <c:v>8.1677252028988789E-3</c:v>
                </c:pt>
                <c:pt idx="657">
                  <c:v>8.2358200624899069E-3</c:v>
                </c:pt>
                <c:pt idx="658">
                  <c:v>8.3043614343480954E-3</c:v>
                </c:pt>
                <c:pt idx="659">
                  <c:v>8.3733493187132524E-3</c:v>
                </c:pt>
                <c:pt idx="660">
                  <c:v>8.4427837157452501E-3</c:v>
                </c:pt>
                <c:pt idx="661">
                  <c:v>8.5126646257638328E-3</c:v>
                </c:pt>
                <c:pt idx="662">
                  <c:v>8.5829920490887446E-3</c:v>
                </c:pt>
                <c:pt idx="663">
                  <c:v>8.6537659857999216E-3</c:v>
                </c:pt>
                <c:pt idx="664">
                  <c:v>8.7249864363769802E-3</c:v>
                </c:pt>
                <c:pt idx="665">
                  <c:v>8.7966534008998565E-3</c:v>
                </c:pt>
                <c:pt idx="666">
                  <c:v>8.8687668796882946E-3</c:v>
                </c:pt>
                <c:pt idx="667">
                  <c:v>8.9413268731419748E-3</c:v>
                </c:pt>
                <c:pt idx="668">
                  <c:v>9.0143333813408333E-3</c:v>
                </c:pt>
                <c:pt idx="669">
                  <c:v>9.0877864047644863E-3</c:v>
                </c:pt>
                <c:pt idx="670">
                  <c:v>9.1616859434928699E-3</c:v>
                </c:pt>
                <c:pt idx="671">
                  <c:v>9.2360319979256644E-3</c:v>
                </c:pt>
                <c:pt idx="672">
                  <c:v>9.310824568222742E-3</c:v>
                </c:pt>
                <c:pt idx="673">
                  <c:v>9.3856915702605903E-3</c:v>
                </c:pt>
                <c:pt idx="674">
                  <c:v>9.460146657156443E-3</c:v>
                </c:pt>
                <c:pt idx="675">
                  <c:v>9.5341868988541023E-3</c:v>
                </c:pt>
                <c:pt idx="676">
                  <c:v>9.6078122951936962E-3</c:v>
                </c:pt>
                <c:pt idx="677">
                  <c:v>9.6810228458554803E-3</c:v>
                </c:pt>
                <c:pt idx="678">
                  <c:v>9.7538185505996466E-3</c:v>
                </c:pt>
                <c:pt idx="679">
                  <c:v>9.8261994091064508E-3</c:v>
                </c:pt>
                <c:pt idx="680">
                  <c:v>9.8981654212160208E-3</c:v>
                </c:pt>
                <c:pt idx="681">
                  <c:v>9.9697165866885484E-3</c:v>
                </c:pt>
                <c:pt idx="682">
                  <c:v>1.0040852905284225E-2</c:v>
                </c:pt>
                <c:pt idx="683">
                  <c:v>1.0111574376683308E-2</c:v>
                </c:pt>
                <c:pt idx="684">
                  <c:v>1.0181881000645987E-2</c:v>
                </c:pt>
                <c:pt idx="685">
                  <c:v>1.0251772776932455E-2</c:v>
                </c:pt>
                <c:pt idx="686">
                  <c:v>1.0321249705302904E-2</c:v>
                </c:pt>
                <c:pt idx="687">
                  <c:v>1.0405502651902321E-2</c:v>
                </c:pt>
                <c:pt idx="688">
                  <c:v>1.0474066952059768E-2</c:v>
                </c:pt>
                <c:pt idx="689">
                  <c:v>1.0527191400839797E-2</c:v>
                </c:pt>
                <c:pt idx="690">
                  <c:v>1.0595008935307959E-2</c:v>
                </c:pt>
                <c:pt idx="691">
                  <c:v>1.0662411620661061E-2</c:v>
                </c:pt>
                <c:pt idx="692">
                  <c:v>1.072939945673923E-2</c:v>
                </c:pt>
                <c:pt idx="693">
                  <c:v>1.0795972443222723E-2</c:v>
                </c:pt>
                <c:pt idx="694">
                  <c:v>1.0862130579951668E-2</c:v>
                </c:pt>
                <c:pt idx="695">
                  <c:v>1.0927873866686255E-2</c:v>
                </c:pt>
                <c:pt idx="696">
                  <c:v>1.0993202303186678E-2</c:v>
                </c:pt>
                <c:pt idx="697">
                  <c:v>1.1058115889213127E-2</c:v>
                </c:pt>
                <c:pt idx="698">
                  <c:v>1.1122614624605731E-2</c:v>
                </c:pt>
                <c:pt idx="699">
                  <c:v>1.1186698509044746E-2</c:v>
                </c:pt>
                <c:pt idx="700">
                  <c:v>1.1250367542290363E-2</c:v>
                </c:pt>
                <c:pt idx="701">
                  <c:v>1.1332323069614958E-2</c:v>
                </c:pt>
                <c:pt idx="702">
                  <c:v>1.1376461054721787E-2</c:v>
                </c:pt>
                <c:pt idx="703">
                  <c:v>1.1438885533348042E-2</c:v>
                </c:pt>
                <c:pt idx="704">
                  <c:v>1.1500895159981539E-2</c:v>
                </c:pt>
                <c:pt idx="705">
                  <c:v>1.1562489934382469E-2</c:v>
                </c:pt>
                <c:pt idx="706">
                  <c:v>1.1623669856390961E-2</c:v>
                </c:pt>
                <c:pt idx="707">
                  <c:v>1.1684434925767206E-2</c:v>
                </c:pt>
                <c:pt idx="708">
                  <c:v>1.1744785142191461E-2</c:v>
                </c:pt>
                <c:pt idx="709">
                  <c:v>1.180472050574366E-2</c:v>
                </c:pt>
                <c:pt idx="710">
                  <c:v>1.1864241015864252E-2</c:v>
                </c:pt>
                <c:pt idx="711">
                  <c:v>1.1923346672553237E-2</c:v>
                </c:pt>
                <c:pt idx="712">
                  <c:v>1.1982037475650742E-2</c:v>
                </c:pt>
                <c:pt idx="713">
                  <c:v>1.2040313424757088E-2</c:v>
                </c:pt>
                <c:pt idx="714">
                  <c:v>1.2098174519872273E-2</c:v>
                </c:pt>
                <c:pt idx="715">
                  <c:v>1.2155620760676555E-2</c:v>
                </c:pt>
                <c:pt idx="716">
                  <c:v>1.2212652147010061E-2</c:v>
                </c:pt>
                <c:pt idx="717">
                  <c:v>1.2269268678632983E-2</c:v>
                </c:pt>
                <c:pt idx="718">
                  <c:v>1.2325470355385448E-2</c:v>
                </c:pt>
                <c:pt idx="719">
                  <c:v>1.2381257177107585E-2</c:v>
                </c:pt>
                <c:pt idx="720">
                  <c:v>1.2436629143639522E-2</c:v>
                </c:pt>
                <c:pt idx="721">
                  <c:v>1.2491586254661513E-2</c:v>
                </c:pt>
                <c:pt idx="722">
                  <c:v>1.2546128510013688E-2</c:v>
                </c:pt>
                <c:pt idx="723">
                  <c:v>1.2600255909536173E-2</c:v>
                </c:pt>
                <c:pt idx="724">
                  <c:v>1.2653968453069098E-2</c:v>
                </c:pt>
                <c:pt idx="725">
                  <c:v>1.2707318544453727E-2</c:v>
                </c:pt>
                <c:pt idx="726">
                  <c:v>1.2760617775402494E-2</c:v>
                </c:pt>
                <c:pt idx="727">
                  <c:v>1.2813918549916536E-2</c:v>
                </c:pt>
                <c:pt idx="728">
                  <c:v>1.2867220868155727E-2</c:v>
                </c:pt>
                <c:pt idx="729">
                  <c:v>1.2920524729880256E-2</c:v>
                </c:pt>
                <c:pt idx="730">
                  <c:v>1.2973830135170061E-2</c:v>
                </c:pt>
                <c:pt idx="731">
                  <c:v>1.3027137084185014E-2</c:v>
                </c:pt>
                <c:pt idx="732">
                  <c:v>1.3080445576765243E-2</c:v>
                </c:pt>
                <c:pt idx="733">
                  <c:v>1.3133755612830811E-2</c:v>
                </c:pt>
                <c:pt idx="734">
                  <c:v>1.3187067192621527E-2</c:v>
                </c:pt>
                <c:pt idx="735">
                  <c:v>1.3240380315977518E-2</c:v>
                </c:pt>
                <c:pt idx="736">
                  <c:v>1.3293694982978721E-2</c:v>
                </c:pt>
                <c:pt idx="737">
                  <c:v>1.33470111935452E-2</c:v>
                </c:pt>
                <c:pt idx="738">
                  <c:v>1.3400328947676954E-2</c:v>
                </c:pt>
                <c:pt idx="739">
                  <c:v>1.345364824545392E-2</c:v>
                </c:pt>
                <c:pt idx="740">
                  <c:v>1.3506969086876097E-2</c:v>
                </c:pt>
                <c:pt idx="741">
                  <c:v>1.3560291471943486E-2</c:v>
                </c:pt>
                <c:pt idx="742">
                  <c:v>1.3613615400496215E-2</c:v>
                </c:pt>
                <c:pt idx="743">
                  <c:v>1.3666940872694155E-2</c:v>
                </c:pt>
                <c:pt idx="744">
                  <c:v>1.3720267888537307E-2</c:v>
                </c:pt>
                <c:pt idx="745">
                  <c:v>1.3773596448025671E-2</c:v>
                </c:pt>
                <c:pt idx="746">
                  <c:v>1.382692655107931E-2</c:v>
                </c:pt>
                <c:pt idx="747">
                  <c:v>1.3880258197698225E-2</c:v>
                </c:pt>
                <c:pt idx="748">
                  <c:v>1.3933591388042288E-2</c:v>
                </c:pt>
                <c:pt idx="749">
                  <c:v>1.3986926121951626E-2</c:v>
                </c:pt>
                <c:pt idx="750">
                  <c:v>1.404026239942624E-2</c:v>
                </c:pt>
                <c:pt idx="751">
                  <c:v>1.4093600220626001E-2</c:v>
                </c:pt>
                <c:pt idx="752">
                  <c:v>1.4146939585311102E-2</c:v>
                </c:pt>
                <c:pt idx="753">
                  <c:v>1.4200280493641415E-2</c:v>
                </c:pt>
                <c:pt idx="754">
                  <c:v>1.4253622945616939E-2</c:v>
                </c:pt>
                <c:pt idx="755">
                  <c:v>1.4323348029995131E-2</c:v>
                </c:pt>
                <c:pt idx="756">
                  <c:v>1.4360312480503623E-2</c:v>
                </c:pt>
                <c:pt idx="757">
                  <c:v>1.4413659563334846E-2</c:v>
                </c:pt>
                <c:pt idx="758">
                  <c:v>1.4467008189731345E-2</c:v>
                </c:pt>
                <c:pt idx="759">
                  <c:v>1.4520358359852992E-2</c:v>
                </c:pt>
                <c:pt idx="760">
                  <c:v>1.4573710073539914E-2</c:v>
                </c:pt>
                <c:pt idx="761">
                  <c:v>1.4627063330872048E-2</c:v>
                </c:pt>
                <c:pt idx="762">
                  <c:v>1.4680418131769457E-2</c:v>
                </c:pt>
                <c:pt idx="763">
                  <c:v>1.4733774476392014E-2</c:v>
                </c:pt>
                <c:pt idx="764">
                  <c:v>1.4787132364579847E-2</c:v>
                </c:pt>
                <c:pt idx="765">
                  <c:v>1.4840491796412891E-2</c:v>
                </c:pt>
                <c:pt idx="766">
                  <c:v>1.4893852771811211E-2</c:v>
                </c:pt>
                <c:pt idx="767">
                  <c:v>1.4947215290854743E-2</c:v>
                </c:pt>
                <c:pt idx="768">
                  <c:v>1.5000579353623422E-2</c:v>
                </c:pt>
                <c:pt idx="769">
                  <c:v>1.5053944959957377E-2</c:v>
                </c:pt>
                <c:pt idx="770">
                  <c:v>1.5107312109856608E-2</c:v>
                </c:pt>
                <c:pt idx="771">
                  <c:v>1.5160680803480986E-2</c:v>
                </c:pt>
                <c:pt idx="772">
                  <c:v>1.5214051040750576E-2</c:v>
                </c:pt>
                <c:pt idx="773">
                  <c:v>1.5267422821505505E-2</c:v>
                </c:pt>
                <c:pt idx="774">
                  <c:v>1.5320796145985582E-2</c:v>
                </c:pt>
                <c:pt idx="775">
                  <c:v>1.5374171014110871E-2</c:v>
                </c:pt>
                <c:pt idx="776">
                  <c:v>1.5427547425881372E-2</c:v>
                </c:pt>
                <c:pt idx="777">
                  <c:v>1.5480890565626737E-2</c:v>
                </c:pt>
                <c:pt idx="778">
                  <c:v>1.553399342157924E-2</c:v>
                </c:pt>
                <c:pt idx="779">
                  <c:v>1.5586821177908661E-2</c:v>
                </c:pt>
                <c:pt idx="780">
                  <c:v>1.5639373834455128E-2</c:v>
                </c:pt>
                <c:pt idx="781">
                  <c:v>1.569165139145845E-2</c:v>
                </c:pt>
                <c:pt idx="782">
                  <c:v>1.5743653848279138E-2</c:v>
                </c:pt>
                <c:pt idx="783">
                  <c:v>1.5795381205236936E-2</c:v>
                </c:pt>
                <c:pt idx="784">
                  <c:v>1.5846833461852228E-2</c:v>
                </c:pt>
                <c:pt idx="785">
                  <c:v>1.5898010618364822E-2</c:v>
                </c:pt>
                <c:pt idx="786">
                  <c:v>1.5948912674375038E-2</c:v>
                </c:pt>
                <c:pt idx="787">
                  <c:v>1.5999539629882875E-2</c:v>
                </c:pt>
                <c:pt idx="788">
                  <c:v>1.6049891484728462E-2</c:v>
                </c:pt>
                <c:pt idx="789">
                  <c:v>1.6099968238831863E-2</c:v>
                </c:pt>
                <c:pt idx="790">
                  <c:v>1.6149769892113142E-2</c:v>
                </c:pt>
                <c:pt idx="791">
                  <c:v>1.6199296444332489E-2</c:v>
                </c:pt>
                <c:pt idx="792">
                  <c:v>1.6248547895489907E-2</c:v>
                </c:pt>
                <c:pt idx="793">
                  <c:v>1.6297524245425521E-2</c:v>
                </c:pt>
                <c:pt idx="794">
                  <c:v>1.6346225494139333E-2</c:v>
                </c:pt>
                <c:pt idx="795">
                  <c:v>1.6394651641311597E-2</c:v>
                </c:pt>
                <c:pt idx="796">
                  <c:v>1.6442802687022251E-2</c:v>
                </c:pt>
                <c:pt idx="797">
                  <c:v>1.6490678631031486E-2</c:v>
                </c:pt>
                <c:pt idx="798">
                  <c:v>1.6538279473259365E-2</c:v>
                </c:pt>
                <c:pt idx="799">
                  <c:v>1.6585605213625954E-2</c:v>
                </c:pt>
                <c:pt idx="800">
                  <c:v>1.6632655851971379E-2</c:v>
                </c:pt>
                <c:pt idx="801">
                  <c:v>1.6679431388375576E-2</c:v>
                </c:pt>
                <c:pt idx="802">
                  <c:v>1.6725931822438866E-2</c:v>
                </c:pt>
                <c:pt idx="803">
                  <c:v>1.6772157154321121E-2</c:v>
                </c:pt>
                <c:pt idx="804">
                  <c:v>1.6818107383702596E-2</c:v>
                </c:pt>
                <c:pt idx="805">
                  <c:v>1.6863782510663228E-2</c:v>
                </c:pt>
                <c:pt idx="806">
                  <c:v>1.692368877609951E-2</c:v>
                </c:pt>
                <c:pt idx="807">
                  <c:v>1.6954307456522599E-2</c:v>
                </c:pt>
                <c:pt idx="808">
                  <c:v>1.6999157275181531E-2</c:v>
                </c:pt>
                <c:pt idx="809">
                  <c:v>1.7043731991019939E-2</c:v>
                </c:pt>
                <c:pt idx="810">
                  <c:v>1.7088031603798015E-2</c:v>
                </c:pt>
                <c:pt idx="811">
                  <c:v>1.7132056113435823E-2</c:v>
                </c:pt>
                <c:pt idx="812">
                  <c:v>1.7175805519933363E-2</c:v>
                </c:pt>
                <c:pt idx="813">
                  <c:v>1.721927982297089E-2</c:v>
                </c:pt>
                <c:pt idx="814">
                  <c:v>1.7262479022628341E-2</c:v>
                </c:pt>
                <c:pt idx="815">
                  <c:v>1.7305403118745843E-2</c:v>
                </c:pt>
                <c:pt idx="816">
                  <c:v>1.7348052111163526E-2</c:v>
                </c:pt>
                <c:pt idx="817">
                  <c:v>1.7390425999961323E-2</c:v>
                </c:pt>
                <c:pt idx="818">
                  <c:v>1.7432524784979364E-2</c:v>
                </c:pt>
                <c:pt idx="819">
                  <c:v>1.747434846597784E-2</c:v>
                </c:pt>
                <c:pt idx="820">
                  <c:v>1.7515897043036688E-2</c:v>
                </c:pt>
                <c:pt idx="821">
                  <c:v>1.7557170515836162E-2</c:v>
                </c:pt>
                <c:pt idx="822">
                  <c:v>1.7598168884536136E-2</c:v>
                </c:pt>
                <c:pt idx="823">
                  <c:v>1.7638892148976737E-2</c:v>
                </c:pt>
                <c:pt idx="824">
                  <c:v>1.7679340308918157E-2</c:v>
                </c:pt>
                <c:pt idx="825">
                  <c:v>1.7719513364440331E-2</c:v>
                </c:pt>
                <c:pt idx="826">
                  <c:v>1.7759411315303453E-2</c:v>
                </c:pt>
                <c:pt idx="827">
                  <c:v>1.7799034161667393E-2</c:v>
                </c:pt>
                <c:pt idx="828">
                  <c:v>1.7838381903052536E-2</c:v>
                </c:pt>
                <c:pt idx="829">
                  <c:v>1.7877435488378168E-2</c:v>
                </c:pt>
                <c:pt idx="830">
                  <c:v>1.7916081639137715E-2</c:v>
                </c:pt>
                <c:pt idx="831">
                  <c:v>1.795430130393072E-2</c:v>
                </c:pt>
                <c:pt idx="832">
                  <c:v>1.7992094482437437E-2</c:v>
                </c:pt>
                <c:pt idx="833">
                  <c:v>1.8029461174657868E-2</c:v>
                </c:pt>
                <c:pt idx="834">
                  <c:v>1.8066401380592012E-2</c:v>
                </c:pt>
                <c:pt idx="835">
                  <c:v>1.8102915099920125E-2</c:v>
                </c:pt>
                <c:pt idx="836">
                  <c:v>1.8139002332482335E-2</c:v>
                </c:pt>
                <c:pt idx="837">
                  <c:v>1.8174663078278641E-2</c:v>
                </c:pt>
                <c:pt idx="838">
                  <c:v>1.8209897337229108E-2</c:v>
                </c:pt>
                <c:pt idx="839">
                  <c:v>1.8244705108934056E-2</c:v>
                </c:pt>
                <c:pt idx="840">
                  <c:v>1.8279086393633293E-2</c:v>
                </c:pt>
                <c:pt idx="841">
                  <c:v>1.8313041190847201E-2</c:v>
                </c:pt>
                <c:pt idx="842">
                  <c:v>1.8346569500735654E-2</c:v>
                </c:pt>
                <c:pt idx="843">
                  <c:v>1.8379671323058844E-2</c:v>
                </c:pt>
                <c:pt idx="844">
                  <c:v>1.8425322005273248E-2</c:v>
                </c:pt>
                <c:pt idx="845">
                  <c:v>1.8454674185859332E-2</c:v>
                </c:pt>
                <c:pt idx="846">
                  <c:v>1.8486377943931487E-2</c:v>
                </c:pt>
                <c:pt idx="847">
                  <c:v>1.851765517566939E-2</c:v>
                </c:pt>
                <c:pt idx="848">
                  <c:v>1.8548505880753297E-2</c:v>
                </c:pt>
                <c:pt idx="849">
                  <c:v>1.8578930058810172E-2</c:v>
                </c:pt>
                <c:pt idx="850">
                  <c:v>1.8608927709573564E-2</c:v>
                </c:pt>
                <c:pt idx="851">
                  <c:v>1.8638498832697081E-2</c:v>
                </c:pt>
                <c:pt idx="852">
                  <c:v>1.8667643427834335E-2</c:v>
                </c:pt>
                <c:pt idx="853">
                  <c:v>1.8696361494718872E-2</c:v>
                </c:pt>
                <c:pt idx="854">
                  <c:v>1.8724653033030947E-2</c:v>
                </c:pt>
                <c:pt idx="855">
                  <c:v>1.8752518042477462E-2</c:v>
                </c:pt>
                <c:pt idx="856">
                  <c:v>1.8779956522738672E-2</c:v>
                </c:pt>
                <c:pt idx="857">
                  <c:v>1.8817433738576028E-2</c:v>
                </c:pt>
                <c:pt idx="858">
                  <c:v>1.8833553894559429E-2</c:v>
                </c:pt>
                <c:pt idx="859">
                  <c:v>1.8859712785559424E-2</c:v>
                </c:pt>
                <c:pt idx="860">
                  <c:v>1.8885445146228363E-2</c:v>
                </c:pt>
                <c:pt idx="861">
                  <c:v>1.891075097632644E-2</c:v>
                </c:pt>
                <c:pt idx="862">
                  <c:v>1.8941666558607295E-2</c:v>
                </c:pt>
                <c:pt idx="863">
                  <c:v>1.8965994898909599E-2</c:v>
                </c:pt>
                <c:pt idx="864">
                  <c:v>1.8989896749248558E-2</c:v>
                </c:pt>
                <c:pt idx="865">
                  <c:v>1.9013372109943916E-2</c:v>
                </c:pt>
                <c:pt idx="866">
                  <c:v>1.9036420980595992E-2</c:v>
                </c:pt>
                <c:pt idx="867">
                  <c:v>1.9059043361204786E-2</c:v>
                </c:pt>
                <c:pt idx="868">
                  <c:v>1.9081239251850235E-2</c:v>
                </c:pt>
                <c:pt idx="869">
                  <c:v>1.910300865229253E-2</c:v>
                </c:pt>
                <c:pt idx="870">
                  <c:v>1.9124351562531672E-2</c:v>
                </c:pt>
                <c:pt idx="871">
                  <c:v>1.9145267982407788E-2</c:v>
                </c:pt>
                <c:pt idx="872">
                  <c:v>1.9165757911920878E-2</c:v>
                </c:pt>
                <c:pt idx="873">
                  <c:v>1.918582135091107E-2</c:v>
                </c:pt>
                <c:pt idx="874">
                  <c:v>1.9205458299378364E-2</c:v>
                </c:pt>
                <c:pt idx="875">
                  <c:v>1.922466875732276E-2</c:v>
                </c:pt>
                <c:pt idx="876">
                  <c:v>1.9243452724584387E-2</c:v>
                </c:pt>
                <c:pt idx="877">
                  <c:v>1.9261810201003371E-2</c:v>
                </c:pt>
                <c:pt idx="878">
                  <c:v>1.9279741186739585E-2</c:v>
                </c:pt>
                <c:pt idx="879">
                  <c:v>1.9297245681553221E-2</c:v>
                </c:pt>
                <c:pt idx="880">
                  <c:v>1.9314323685364343E-2</c:v>
                </c:pt>
                <c:pt idx="881">
                  <c:v>1.9331148504821982E-2</c:v>
                </c:pt>
                <c:pt idx="882">
                  <c:v>1.9348093415416656E-2</c:v>
                </c:pt>
                <c:pt idx="883">
                  <c:v>1.9365171748404464E-2</c:v>
                </c:pt>
                <c:pt idx="884">
                  <c:v>1.9382383503705469E-2</c:v>
                </c:pt>
                <c:pt idx="885">
                  <c:v>1.9399728681639417E-2</c:v>
                </c:pt>
                <c:pt idx="886">
                  <c:v>1.9417207281966498E-2</c:v>
                </c:pt>
                <c:pt idx="887">
                  <c:v>1.9434819304846584E-2</c:v>
                </c:pt>
                <c:pt idx="888">
                  <c:v>1.9452564750199741E-2</c:v>
                </c:pt>
                <c:pt idx="889">
                  <c:v>1.947044361818584E-2</c:v>
                </c:pt>
                <c:pt idx="890">
                  <c:v>1.9488455908565072E-2</c:v>
                </c:pt>
                <c:pt idx="891">
                  <c:v>1.9506601621577246E-2</c:v>
                </c:pt>
                <c:pt idx="892">
                  <c:v>1.9524880757222363E-2</c:v>
                </c:pt>
                <c:pt idx="893">
                  <c:v>1.9543293315420485E-2</c:v>
                </c:pt>
                <c:pt idx="894">
                  <c:v>1.9561839296331485E-2</c:v>
                </c:pt>
                <c:pt idx="895">
                  <c:v>1.9580518699955363E-2</c:v>
                </c:pt>
                <c:pt idx="896">
                  <c:v>1.9603914284584967E-2</c:v>
                </c:pt>
                <c:pt idx="897">
                  <c:v>1.962099527372807E-2</c:v>
                </c:pt>
                <c:pt idx="898">
                  <c:v>1.9640094005763942E-2</c:v>
                </c:pt>
                <c:pt idx="899">
                  <c:v>1.9659326160512691E-2</c:v>
                </c:pt>
                <c:pt idx="900">
                  <c:v>1.9678691738134191E-2</c:v>
                </c:pt>
                <c:pt idx="901">
                  <c:v>1.9698190738468568E-2</c:v>
                </c:pt>
                <c:pt idx="902">
                  <c:v>1.971782316159576E-2</c:v>
                </c:pt>
                <c:pt idx="903">
                  <c:v>1.9737589007515766E-2</c:v>
                </c:pt>
                <c:pt idx="904">
                  <c:v>1.9757488276388457E-2</c:v>
                </c:pt>
                <c:pt idx="905">
                  <c:v>1.9777520968133899E-2</c:v>
                </c:pt>
                <c:pt idx="906">
                  <c:v>1.9797687082752091E-2</c:v>
                </c:pt>
                <c:pt idx="907">
                  <c:v>1.9817986620243033E-2</c:v>
                </c:pt>
                <c:pt idx="908">
                  <c:v>1.9838419580766598E-2</c:v>
                </c:pt>
                <c:pt idx="909">
                  <c:v>1.9858985964162912E-2</c:v>
                </c:pt>
                <c:pt idx="910">
                  <c:v>1.9879685770591848E-2</c:v>
                </c:pt>
                <c:pt idx="911">
                  <c:v>1.9900519000053407E-2</c:v>
                </c:pt>
                <c:pt idx="912">
                  <c:v>1.9927500630982919E-2</c:v>
                </c:pt>
                <c:pt idx="913">
                  <c:v>1.9955809830314308E-2</c:v>
                </c:pt>
                <c:pt idx="914">
                  <c:v>1.9969910446882011E-2</c:v>
                </c:pt>
                <c:pt idx="915">
                  <c:v>1.9991315489500394E-2</c:v>
                </c:pt>
                <c:pt idx="916">
                  <c:v>2.0012853955311272E-2</c:v>
                </c:pt>
                <c:pt idx="917">
                  <c:v>2.0034525844154771E-2</c:v>
                </c:pt>
                <c:pt idx="918">
                  <c:v>2.0056331156270701E-2</c:v>
                </c:pt>
                <c:pt idx="919">
                  <c:v>2.0078269891579126E-2</c:v>
                </c:pt>
                <c:pt idx="920">
                  <c:v>2.0100342050080044E-2</c:v>
                </c:pt>
                <c:pt idx="921">
                  <c:v>2.012254763193333E-2</c:v>
                </c:pt>
                <c:pt idx="922">
                  <c:v>2.0144886636979109E-2</c:v>
                </c:pt>
                <c:pt idx="923">
                  <c:v>2.0167359065377255E-2</c:v>
                </c:pt>
                <c:pt idx="924">
                  <c:v>2.0189964917047831E-2</c:v>
                </c:pt>
                <c:pt idx="925">
                  <c:v>2.021270419215071E-2</c:v>
                </c:pt>
                <c:pt idx="926">
                  <c:v>2.0235576890685891E-2</c:v>
                </c:pt>
                <c:pt idx="927">
                  <c:v>2.0258583012493503E-2</c:v>
                </c:pt>
                <c:pt idx="928">
                  <c:v>2.0281722557813353E-2</c:v>
                </c:pt>
                <c:pt idx="929">
                  <c:v>2.0304995526565506E-2</c:v>
                </c:pt>
                <c:pt idx="930">
                  <c:v>2.0328401918749961E-2</c:v>
                </c:pt>
                <c:pt idx="931">
                  <c:v>2.0351941734526591E-2</c:v>
                </c:pt>
                <c:pt idx="932">
                  <c:v>2.0375613817380511E-2</c:v>
                </c:pt>
                <c:pt idx="933">
                  <c:v>2.039922619743173E-2</c:v>
                </c:pt>
                <c:pt idx="934">
                  <c:v>2.0422632006003028E-2</c:v>
                </c:pt>
                <c:pt idx="935">
                  <c:v>2.0445831243014467E-2</c:v>
                </c:pt>
                <c:pt idx="936">
                  <c:v>2.0468823908705858E-2</c:v>
                </c:pt>
                <c:pt idx="937">
                  <c:v>2.0491610002677518E-2</c:v>
                </c:pt>
                <c:pt idx="938">
                  <c:v>2.0514189525169257E-2</c:v>
                </c:pt>
                <c:pt idx="939">
                  <c:v>2.0536562476021203E-2</c:v>
                </c:pt>
                <c:pt idx="940">
                  <c:v>2.0558728855233355E-2</c:v>
                </c:pt>
                <c:pt idx="941">
                  <c:v>2.0580688662645841E-2</c:v>
                </c:pt>
                <c:pt idx="942">
                  <c:v>2.0602441898338597E-2</c:v>
                </c:pt>
                <c:pt idx="943">
                  <c:v>2.0623988562311624E-2</c:v>
                </c:pt>
                <c:pt idx="944">
                  <c:v>2.0645328654405048E-2</c:v>
                </c:pt>
                <c:pt idx="945">
                  <c:v>2.0666462174618871E-2</c:v>
                </c:pt>
                <c:pt idx="946">
                  <c:v>2.0687389123033029E-2</c:v>
                </c:pt>
                <c:pt idx="947">
                  <c:v>2.0719856968005601E-2</c:v>
                </c:pt>
                <c:pt idx="948">
                  <c:v>2.0735639281301843E-2</c:v>
                </c:pt>
                <c:pt idx="949">
                  <c:v>2.0748930536438337E-2</c:v>
                </c:pt>
                <c:pt idx="950">
                  <c:v>2.0769031196934407E-2</c:v>
                </c:pt>
                <c:pt idx="951">
                  <c:v>2.0788925285311066E-2</c:v>
                </c:pt>
                <c:pt idx="952">
                  <c:v>2.0808612801568316E-2</c:v>
                </c:pt>
                <c:pt idx="953">
                  <c:v>2.0828093745626219E-2</c:v>
                </c:pt>
                <c:pt idx="954">
                  <c:v>2.0847368117644649E-2</c:v>
                </c:pt>
                <c:pt idx="955">
                  <c:v>2.0866435917463733E-2</c:v>
                </c:pt>
                <c:pt idx="956">
                  <c:v>2.0885297145003534E-2</c:v>
                </c:pt>
                <c:pt idx="957">
                  <c:v>2.0903951800264053E-2</c:v>
                </c:pt>
                <c:pt idx="958">
                  <c:v>2.0922399883325227E-2</c:v>
                </c:pt>
                <c:pt idx="959">
                  <c:v>2.0940641393947246E-2</c:v>
                </c:pt>
                <c:pt idx="960">
                  <c:v>2.0958676332210047E-2</c:v>
                </c:pt>
                <c:pt idx="961">
                  <c:v>2.0984002200156837E-2</c:v>
                </c:pt>
                <c:pt idx="962">
                  <c:v>2.0994126491498122E-2</c:v>
                </c:pt>
                <c:pt idx="963">
                  <c:v>2.101154171244346E-2</c:v>
                </c:pt>
                <c:pt idx="964">
                  <c:v>2.102875036102958E-2</c:v>
                </c:pt>
                <c:pt idx="965">
                  <c:v>2.1051212449898493E-2</c:v>
                </c:pt>
                <c:pt idx="966">
                  <c:v>2.1062547940484677E-2</c:v>
                </c:pt>
                <c:pt idx="967">
                  <c:v>2.107913687143359E-2</c:v>
                </c:pt>
                <c:pt idx="968">
                  <c:v>2.1095519229703541E-2</c:v>
                </c:pt>
                <c:pt idx="969">
                  <c:v>2.1111695015374465E-2</c:v>
                </c:pt>
                <c:pt idx="970">
                  <c:v>2.1127664228366427E-2</c:v>
                </c:pt>
                <c:pt idx="971">
                  <c:v>2.1143426868679427E-2</c:v>
                </c:pt>
                <c:pt idx="972">
                  <c:v>2.1158982936313464E-2</c:v>
                </c:pt>
                <c:pt idx="973">
                  <c:v>2.1174332431108667E-2</c:v>
                </c:pt>
                <c:pt idx="974">
                  <c:v>2.1189475353224907E-2</c:v>
                </c:pt>
                <c:pt idx="975">
                  <c:v>2.1204411702582249E-2</c:v>
                </c:pt>
                <c:pt idx="976">
                  <c:v>2.1219141479100756E-2</c:v>
                </c:pt>
                <c:pt idx="977">
                  <c:v>2.1233664682700493E-2</c:v>
                </c:pt>
                <c:pt idx="978">
                  <c:v>2.1247981313461395E-2</c:v>
                </c:pt>
                <c:pt idx="979">
                  <c:v>2.1262091371463399E-2</c:v>
                </c:pt>
                <c:pt idx="980">
                  <c:v>2.127599485638676E-2</c:v>
                </c:pt>
                <c:pt idx="981">
                  <c:v>2.1289691768471286E-2</c:v>
                </c:pt>
                <c:pt idx="982">
                  <c:v>2.130318210747717E-2</c:v>
                </c:pt>
                <c:pt idx="983">
                  <c:v>2.1316465873564283E-2</c:v>
                </c:pt>
                <c:pt idx="984">
                  <c:v>2.132954306665269E-2</c:v>
                </c:pt>
                <c:pt idx="985">
                  <c:v>2.1342413686662454E-2</c:v>
                </c:pt>
                <c:pt idx="986">
                  <c:v>2.1355077733753447E-2</c:v>
                </c:pt>
                <c:pt idx="987">
                  <c:v>2.1367535207605926E-2</c:v>
                </c:pt>
                <c:pt idx="988">
                  <c:v>2.1379786108459697E-2</c:v>
                </c:pt>
                <c:pt idx="989">
                  <c:v>2.1391830436154891E-2</c:v>
                </c:pt>
                <c:pt idx="990">
                  <c:v>2.1403668190691505E-2</c:v>
                </c:pt>
                <c:pt idx="991">
                  <c:v>2.1415299372069541E-2</c:v>
                </c:pt>
                <c:pt idx="992">
                  <c:v>2.1426723980368934E-2</c:v>
                </c:pt>
                <c:pt idx="993">
                  <c:v>2.1437942015349876E-2</c:v>
                </c:pt>
                <c:pt idx="994">
                  <c:v>2.1448953477092303E-2</c:v>
                </c:pt>
                <c:pt idx="995">
                  <c:v>2.1459758365756088E-2</c:v>
                </c:pt>
                <c:pt idx="996">
                  <c:v>2.1470356681101421E-2</c:v>
                </c:pt>
                <c:pt idx="997">
                  <c:v>2.1480748423048368E-2</c:v>
                </c:pt>
                <c:pt idx="998">
                  <c:v>2.1490933591836736E-2</c:v>
                </c:pt>
                <c:pt idx="999">
                  <c:v>2.150494760688515E-2</c:v>
                </c:pt>
                <c:pt idx="1000">
                  <c:v>2.1514677106910796E-2</c:v>
                </c:pt>
                <c:pt idx="1001">
                  <c:v>2.1520249658051327E-2</c:v>
                </c:pt>
                <c:pt idx="1002">
                  <c:v>2.1529608533485955E-2</c:v>
                </c:pt>
                <c:pt idx="1003">
                  <c:v>2.1538760835522197E-2</c:v>
                </c:pt>
                <c:pt idx="1004">
                  <c:v>2.1547706564160052E-2</c:v>
                </c:pt>
                <c:pt idx="1005">
                  <c:v>2.155644571939952E-2</c:v>
                </c:pt>
                <c:pt idx="1006">
                  <c:v>2.15649783012406E-2</c:v>
                </c:pt>
                <c:pt idx="1007">
                  <c:v>2.1573304309523422E-2</c:v>
                </c:pt>
                <c:pt idx="1008">
                  <c:v>2.1581423744487793E-2</c:v>
                </c:pt>
                <c:pt idx="1009">
                  <c:v>2.1589336605973841E-2</c:v>
                </c:pt>
                <c:pt idx="1010">
                  <c:v>2.1597042893821694E-2</c:v>
                </c:pt>
                <c:pt idx="1011">
                  <c:v>2.1604542608351096E-2</c:v>
                </c:pt>
                <c:pt idx="1012">
                  <c:v>2.1616472833478895E-2</c:v>
                </c:pt>
                <c:pt idx="1013">
                  <c:v>2.1618922316815059E-2</c:v>
                </c:pt>
                <c:pt idx="1014">
                  <c:v>2.162580231074962E-2</c:v>
                </c:pt>
                <c:pt idx="1015">
                  <c:v>2.1632475731045986E-2</c:v>
                </c:pt>
                <c:pt idx="1016">
                  <c:v>2.1638942577943965E-2</c:v>
                </c:pt>
                <c:pt idx="1017">
                  <c:v>2.1645202851203749E-2</c:v>
                </c:pt>
                <c:pt idx="1018">
                  <c:v>2.1651256550825337E-2</c:v>
                </c:pt>
                <c:pt idx="1019">
                  <c:v>2.1657103676968603E-2</c:v>
                </c:pt>
                <c:pt idx="1020">
                  <c:v>2.1662744229393738E-2</c:v>
                </c:pt>
                <c:pt idx="1021">
                  <c:v>2.1668178208340549E-2</c:v>
                </c:pt>
                <c:pt idx="1022">
                  <c:v>2.1673405613649166E-2</c:v>
                </c:pt>
                <c:pt idx="1023">
                  <c:v>2.1678426445239651E-2</c:v>
                </c:pt>
                <c:pt idx="1024">
                  <c:v>2.1683240703351814E-2</c:v>
                </c:pt>
                <c:pt idx="1025">
                  <c:v>2.1687848387665909E-2</c:v>
                </c:pt>
                <c:pt idx="1026">
                  <c:v>2.1692249498421745E-2</c:v>
                </c:pt>
                <c:pt idx="1027">
                  <c:v>2.1696444035539386E-2</c:v>
                </c:pt>
                <c:pt idx="1028">
                  <c:v>2.1700431998938896E-2</c:v>
                </c:pt>
                <c:pt idx="1029">
                  <c:v>2.1704213388700211E-2</c:v>
                </c:pt>
                <c:pt idx="1030">
                  <c:v>2.1707788204823331E-2</c:v>
                </c:pt>
                <c:pt idx="1031">
                  <c:v>2.1711156447148383E-2</c:v>
                </c:pt>
                <c:pt idx="1032">
                  <c:v>2.1714318115835241E-2</c:v>
                </c:pt>
                <c:pt idx="1033">
                  <c:v>2.1717273210803967E-2</c:v>
                </c:pt>
                <c:pt idx="1034">
                  <c:v>2.1720021732134498E-2</c:v>
                </c:pt>
                <c:pt idx="1035">
                  <c:v>2.1722563679746898E-2</c:v>
                </c:pt>
                <c:pt idx="1036">
                  <c:v>2.1724899053641167E-2</c:v>
                </c:pt>
                <c:pt idx="1037">
                  <c:v>2.17270468691666E-2</c:v>
                </c:pt>
                <c:pt idx="1038">
                  <c:v>2.1729120190840945E-2</c:v>
                </c:pt>
                <c:pt idx="1039">
                  <c:v>2.1731138034013497E-2</c:v>
                </c:pt>
                <c:pt idx="1040">
                  <c:v>2.1733100398764194E-2</c:v>
                </c:pt>
                <c:pt idx="1041">
                  <c:v>2.1735007284933161E-2</c:v>
                </c:pt>
                <c:pt idx="1042">
                  <c:v>2.1736858692680272E-2</c:v>
                </c:pt>
                <c:pt idx="1043">
                  <c:v>2.1738654621925591E-2</c:v>
                </c:pt>
                <c:pt idx="1044">
                  <c:v>2.174039507258918E-2</c:v>
                </c:pt>
                <c:pt idx="1045">
                  <c:v>2.1742080044830914E-2</c:v>
                </c:pt>
                <c:pt idx="1046">
                  <c:v>2.1743709538490918E-2</c:v>
                </c:pt>
                <c:pt idx="1047">
                  <c:v>2.1745283553649131E-2</c:v>
                </c:pt>
                <c:pt idx="1048">
                  <c:v>2.1746802090385486E-2</c:v>
                </c:pt>
                <c:pt idx="1049">
                  <c:v>2.1748265148540114E-2</c:v>
                </c:pt>
                <c:pt idx="1050">
                  <c:v>2.1749672728272884E-2</c:v>
                </c:pt>
                <c:pt idx="1051">
                  <c:v>2.1751024829423926E-2</c:v>
                </c:pt>
                <c:pt idx="1052">
                  <c:v>2.1752321452153112E-2</c:v>
                </c:pt>
                <c:pt idx="1053">
                  <c:v>2.1753562596300569E-2</c:v>
                </c:pt>
                <c:pt idx="1054">
                  <c:v>2.1754748262026169E-2</c:v>
                </c:pt>
                <c:pt idx="1055">
                  <c:v>2.1755878449090105E-2</c:v>
                </c:pt>
                <c:pt idx="1056">
                  <c:v>2.175695315781212E-2</c:v>
                </c:pt>
                <c:pt idx="1057">
                  <c:v>2.1757972387952407E-2</c:v>
                </c:pt>
                <c:pt idx="1058">
                  <c:v>2.1758936139670837E-2</c:v>
                </c:pt>
                <c:pt idx="1059">
                  <c:v>2.1759844412727603E-2</c:v>
                </c:pt>
                <c:pt idx="1060">
                  <c:v>2.1760697207362512E-2</c:v>
                </c:pt>
                <c:pt idx="1061">
                  <c:v>2.1761494523415692E-2</c:v>
                </c:pt>
                <c:pt idx="1062">
                  <c:v>2.1762236361047016E-2</c:v>
                </c:pt>
                <c:pt idx="1063">
                  <c:v>2.1762922720256483E-2</c:v>
                </c:pt>
                <c:pt idx="1064">
                  <c:v>2.1763553600804286E-2</c:v>
                </c:pt>
                <c:pt idx="1065">
                  <c:v>2.1764129002850297E-2</c:v>
                </c:pt>
                <c:pt idx="1066">
                  <c:v>2.176464892647445E-2</c:v>
                </c:pt>
                <c:pt idx="1067">
                  <c:v>2.1767866715070028E-2</c:v>
                </c:pt>
                <c:pt idx="1068">
                  <c:v>2.1765522338057508E-2</c:v>
                </c:pt>
                <c:pt idx="1069">
                  <c:v>2.1765875826096348E-2</c:v>
                </c:pt>
                <c:pt idx="1070">
                  <c:v>2.1766173835633396E-2</c:v>
                </c:pt>
                <c:pt idx="1071">
                  <c:v>2.1766416366588714E-2</c:v>
                </c:pt>
                <c:pt idx="1072">
                  <c:v>2.1766603419122177E-2</c:v>
                </c:pt>
                <c:pt idx="1073">
                  <c:v>2.1766734993073911E-2</c:v>
                </c:pt>
                <c:pt idx="1074">
                  <c:v>2.1766811088603788E-2</c:v>
                </c:pt>
                <c:pt idx="1075">
                  <c:v>2.1766831705551937E-2</c:v>
                </c:pt>
                <c:pt idx="1076">
                  <c:v>2.1766796843998293E-2</c:v>
                </c:pt>
                <c:pt idx="1077">
                  <c:v>2.176670650386292E-2</c:v>
                </c:pt>
                <c:pt idx="1078">
                  <c:v>2.1766560685385627E-2</c:v>
                </c:pt>
                <c:pt idx="1079">
                  <c:v>2.1766359388326606E-2</c:v>
                </c:pt>
                <c:pt idx="1080">
                  <c:v>2.1766102612685856E-2</c:v>
                </c:pt>
                <c:pt idx="1081">
                  <c:v>2.1765790358623249E-2</c:v>
                </c:pt>
                <c:pt idx="1082">
                  <c:v>2.1765422625978914E-2</c:v>
                </c:pt>
                <c:pt idx="1083">
                  <c:v>2.1764999414912722E-2</c:v>
                </c:pt>
                <c:pt idx="1084">
                  <c:v>2.1764520725184866E-2</c:v>
                </c:pt>
                <c:pt idx="1085">
                  <c:v>2.1763986557035153E-2</c:v>
                </c:pt>
                <c:pt idx="1086">
                  <c:v>2.1763396910383648E-2</c:v>
                </c:pt>
                <c:pt idx="1087">
                  <c:v>2.176275178523035E-2</c:v>
                </c:pt>
                <c:pt idx="1088">
                  <c:v>2.1762051181495323E-2</c:v>
                </c:pt>
                <c:pt idx="1089">
                  <c:v>2.176129509933844E-2</c:v>
                </c:pt>
                <c:pt idx="1090">
                  <c:v>2.1760483538679765E-2</c:v>
                </c:pt>
                <c:pt idx="1091">
                  <c:v>2.175961649943936E-2</c:v>
                </c:pt>
                <c:pt idx="1092">
                  <c:v>2.17586939817771E-2</c:v>
                </c:pt>
                <c:pt idx="1093">
                  <c:v>2.1757715985453174E-2</c:v>
                </c:pt>
                <c:pt idx="1094">
                  <c:v>2.1756682510787329E-2</c:v>
                </c:pt>
                <c:pt idx="1095">
                  <c:v>2.1755593557539754E-2</c:v>
                </c:pt>
                <c:pt idx="1096">
                  <c:v>2.1754449125790387E-2</c:v>
                </c:pt>
                <c:pt idx="1097">
                  <c:v>2.1753249215539228E-2</c:v>
                </c:pt>
                <c:pt idx="1098">
                  <c:v>2.1751993826786276E-2</c:v>
                </c:pt>
                <c:pt idx="1099">
                  <c:v>2.1750682959531531E-2</c:v>
                </c:pt>
                <c:pt idx="1100">
                  <c:v>2.1749316613774994E-2</c:v>
                </c:pt>
                <c:pt idx="1101">
                  <c:v>2.1747894789436728E-2</c:v>
                </c:pt>
                <c:pt idx="1102">
                  <c:v>2.1746417486676606E-2</c:v>
                </c:pt>
                <c:pt idx="1103">
                  <c:v>2.1744884705414691E-2</c:v>
                </c:pt>
                <c:pt idx="1104">
                  <c:v>2.1744684910214307E-2</c:v>
                </c:pt>
                <c:pt idx="1105">
                  <c:v>2.1742485523015276E-2</c:v>
                </c:pt>
                <c:pt idx="1106">
                  <c:v>2.1740770248079855E-2</c:v>
                </c:pt>
                <c:pt idx="1107">
                  <c:v>2.1738999487981303E-2</c:v>
                </c:pt>
                <c:pt idx="1108">
                  <c:v>2.1737173242692975E-2</c:v>
                </c:pt>
                <c:pt idx="1109">
                  <c:v>2.1735291512214872E-2</c:v>
                </c:pt>
                <c:pt idx="1110">
                  <c:v>2.1733354296573637E-2</c:v>
                </c:pt>
                <c:pt idx="1111">
                  <c:v>2.1731361595742626E-2</c:v>
                </c:pt>
                <c:pt idx="1112">
                  <c:v>2.1729313409748485E-2</c:v>
                </c:pt>
                <c:pt idx="1113">
                  <c:v>2.1727209738564568E-2</c:v>
                </c:pt>
                <c:pt idx="1114">
                  <c:v>2.1725050582244165E-2</c:v>
                </c:pt>
                <c:pt idx="1115">
                  <c:v>2.1722835940787277E-2</c:v>
                </c:pt>
                <c:pt idx="1116">
                  <c:v>2.1720565814113968E-2</c:v>
                </c:pt>
                <c:pt idx="1117">
                  <c:v>2.1715916930116208E-2</c:v>
                </c:pt>
                <c:pt idx="1118">
                  <c:v>2.1715859105411184E-2</c:v>
                </c:pt>
                <c:pt idx="1119">
                  <c:v>2.1713422523301773E-2</c:v>
                </c:pt>
                <c:pt idx="1120">
                  <c:v>2.1710930456055877E-2</c:v>
                </c:pt>
                <c:pt idx="1121">
                  <c:v>2.1708382903673495E-2</c:v>
                </c:pt>
                <c:pt idx="1122">
                  <c:v>2.1705779866127983E-2</c:v>
                </c:pt>
                <c:pt idx="1123">
                  <c:v>2.1703121343499276E-2</c:v>
                </c:pt>
                <c:pt idx="1124">
                  <c:v>2.1700407335707439E-2</c:v>
                </c:pt>
                <c:pt idx="1125">
                  <c:v>2.1697637842779116E-2</c:v>
                </c:pt>
                <c:pt idx="1126">
                  <c:v>2.1694812864740953E-2</c:v>
                </c:pt>
                <c:pt idx="1127">
                  <c:v>2.1691932401566305E-2</c:v>
                </c:pt>
                <c:pt idx="1128">
                  <c:v>2.1688996453308462E-2</c:v>
                </c:pt>
                <c:pt idx="1129">
                  <c:v>2.1686005019940779E-2</c:v>
                </c:pt>
                <c:pt idx="1130">
                  <c:v>2.1682958101463257E-2</c:v>
                </c:pt>
                <c:pt idx="1131">
                  <c:v>2.1679855697875894E-2</c:v>
                </c:pt>
                <c:pt idx="1132">
                  <c:v>2.1676697809178691E-2</c:v>
                </c:pt>
                <c:pt idx="1133">
                  <c:v>2.1673484435398294E-2</c:v>
                </c:pt>
                <c:pt idx="1134">
                  <c:v>2.1670215576508056E-2</c:v>
                </c:pt>
                <c:pt idx="1135">
                  <c:v>2.1666891232561269E-2</c:v>
                </c:pt>
                <c:pt idx="1136">
                  <c:v>2.1663511403531288E-2</c:v>
                </c:pt>
                <c:pt idx="1137">
                  <c:v>2.1660076089418112E-2</c:v>
                </c:pt>
                <c:pt idx="1138">
                  <c:v>2.1656585290195096E-2</c:v>
                </c:pt>
                <c:pt idx="1139">
                  <c:v>2.1653039005968822E-2</c:v>
                </c:pt>
                <c:pt idx="1140">
                  <c:v>2.1649437236659352E-2</c:v>
                </c:pt>
                <c:pt idx="1141">
                  <c:v>2.1645779982293334E-2</c:v>
                </c:pt>
                <c:pt idx="1142">
                  <c:v>2.1642067242844121E-2</c:v>
                </c:pt>
                <c:pt idx="1143">
                  <c:v>2.1638299018391649E-2</c:v>
                </c:pt>
                <c:pt idx="1144">
                  <c:v>2.1634475308882628E-2</c:v>
                </c:pt>
                <c:pt idx="1145">
                  <c:v>2.1630596114343703E-2</c:v>
                </c:pt>
                <c:pt idx="1146">
                  <c:v>2.1626661434774874E-2</c:v>
                </c:pt>
                <c:pt idx="1147">
                  <c:v>2.1622671270149496E-2</c:v>
                </c:pt>
                <c:pt idx="1148">
                  <c:v>2.1618625620547505E-2</c:v>
                </c:pt>
                <c:pt idx="1149">
                  <c:v>2.1614524485915609E-2</c:v>
                </c:pt>
                <c:pt idx="1150">
                  <c:v>2.1610367866280455E-2</c:v>
                </c:pt>
                <c:pt idx="1151">
                  <c:v>2.1606155761642043E-2</c:v>
                </c:pt>
                <c:pt idx="1152">
                  <c:v>2.1601888172000372E-2</c:v>
                </c:pt>
                <c:pt idx="1153">
                  <c:v>2.1597565097382088E-2</c:v>
                </c:pt>
                <c:pt idx="1154">
                  <c:v>2.1593186537760545E-2</c:v>
                </c:pt>
                <c:pt idx="1155">
                  <c:v>2.1588752493162389E-2</c:v>
                </c:pt>
                <c:pt idx="1156">
                  <c:v>2.1581999442017441E-2</c:v>
                </c:pt>
                <c:pt idx="1157">
                  <c:v>2.157711627858383E-2</c:v>
                </c:pt>
                <c:pt idx="1158">
                  <c:v>2.157250047956083E-2</c:v>
                </c:pt>
                <c:pt idx="1159">
                  <c:v>2.1567829202036037E-2</c:v>
                </c:pt>
                <c:pt idx="1160">
                  <c:v>2.1563102446089388E-2</c:v>
                </c:pt>
                <c:pt idx="1161">
                  <c:v>2.1558320211800819E-2</c:v>
                </c:pt>
                <c:pt idx="1162">
                  <c:v>2.1553482499010457E-2</c:v>
                </c:pt>
                <c:pt idx="1163">
                  <c:v>2.154858930795811E-2</c:v>
                </c:pt>
                <c:pt idx="1164">
                  <c:v>2.1543640638324035E-2</c:v>
                </c:pt>
                <c:pt idx="1165">
                  <c:v>2.153863649034804E-2</c:v>
                </c:pt>
                <c:pt idx="1166">
                  <c:v>2.1533576863950188E-2</c:v>
                </c:pt>
                <c:pt idx="1167">
                  <c:v>2.1528461759210415E-2</c:v>
                </c:pt>
                <c:pt idx="1168">
                  <c:v>2.1523291176048787E-2</c:v>
                </c:pt>
                <c:pt idx="1169">
                  <c:v>2.1518065114385365E-2</c:v>
                </c:pt>
                <c:pt idx="1170">
                  <c:v>2.1512783574459959E-2</c:v>
                </c:pt>
                <c:pt idx="1171">
                  <c:v>2.1507446556032761E-2</c:v>
                </c:pt>
                <c:pt idx="1172">
                  <c:v>2.1500503155937878E-2</c:v>
                </c:pt>
                <c:pt idx="1173">
                  <c:v>2.1496606084152603E-2</c:v>
                </c:pt>
                <c:pt idx="1174">
                  <c:v>2.1491102630539771E-2</c:v>
                </c:pt>
                <c:pt idx="1175">
                  <c:v>2.1485543698664955E-2</c:v>
                </c:pt>
                <c:pt idx="1176">
                  <c:v>2.1479929288368282E-2</c:v>
                </c:pt>
                <c:pt idx="1177">
                  <c:v>2.1474259399649753E-2</c:v>
                </c:pt>
                <c:pt idx="1178">
                  <c:v>2.1468534032589304E-2</c:v>
                </c:pt>
                <c:pt idx="1179">
                  <c:v>2.1462753187106998E-2</c:v>
                </c:pt>
                <c:pt idx="1180">
                  <c:v>2.1456916863282771E-2</c:v>
                </c:pt>
                <c:pt idx="1181">
                  <c:v>2.1451025061116624E-2</c:v>
                </c:pt>
                <c:pt idx="1182">
                  <c:v>2.1445077780528621E-2</c:v>
                </c:pt>
                <c:pt idx="1183">
                  <c:v>2.1439075021678633E-2</c:v>
                </c:pt>
                <c:pt idx="1184">
                  <c:v>2.1433016784406789E-2</c:v>
                </c:pt>
                <c:pt idx="1185">
                  <c:v>2.142690306887296E-2</c:v>
                </c:pt>
                <c:pt idx="1186">
                  <c:v>2.1420733874837339E-2</c:v>
                </c:pt>
                <c:pt idx="1187">
                  <c:v>2.1414509202459797E-2</c:v>
                </c:pt>
                <c:pt idx="1188">
                  <c:v>2.1408229051820271E-2</c:v>
                </c:pt>
                <c:pt idx="1189">
                  <c:v>2.1401893422678953E-2</c:v>
                </c:pt>
                <c:pt idx="1190">
                  <c:v>2.1395502315355586E-2</c:v>
                </c:pt>
                <c:pt idx="1191">
                  <c:v>2.1389055729610362E-2</c:v>
                </c:pt>
                <c:pt idx="1192">
                  <c:v>2.1382553665603155E-2</c:v>
                </c:pt>
                <c:pt idx="1193">
                  <c:v>2.1376003137083543E-2</c:v>
                </c:pt>
                <c:pt idx="1194">
                  <c:v>2.136941925092728E-2</c:v>
                </c:pt>
                <c:pt idx="1195">
                  <c:v>2.1362802546622817E-2</c:v>
                </c:pt>
                <c:pt idx="1196">
                  <c:v>2.1356153024330027E-2</c:v>
                </c:pt>
                <c:pt idx="1197">
                  <c:v>2.1349470683809102E-2</c:v>
                </c:pt>
                <c:pt idx="1198">
                  <c:v>2.1342755525139978E-2</c:v>
                </c:pt>
                <c:pt idx="1199">
                  <c:v>2.1336007548562463E-2</c:v>
                </c:pt>
                <c:pt idx="1200">
                  <c:v>2.1329226753676878E-2</c:v>
                </c:pt>
                <c:pt idx="1201">
                  <c:v>2.1322413140723029E-2</c:v>
                </c:pt>
                <c:pt idx="1202">
                  <c:v>2.1315566709700917E-2</c:v>
                </c:pt>
                <c:pt idx="1203">
                  <c:v>2.1308687460610543E-2</c:v>
                </c:pt>
                <c:pt idx="1204">
                  <c:v>2.1301775393371969E-2</c:v>
                </c:pt>
                <c:pt idx="1205">
                  <c:v>2.1294830508145068E-2</c:v>
                </c:pt>
                <c:pt idx="1206">
                  <c:v>2.1287852804610097E-2</c:v>
                </c:pt>
                <c:pt idx="1207">
                  <c:v>2.1280842283166734E-2</c:v>
                </c:pt>
                <c:pt idx="1208">
                  <c:v>2.1272913789385228E-2</c:v>
                </c:pt>
                <c:pt idx="1209">
                  <c:v>2.1265709227238361E-2</c:v>
                </c:pt>
                <c:pt idx="1210">
                  <c:v>2.1258595563100613E-2</c:v>
                </c:pt>
                <c:pt idx="1211">
                  <c:v>2.1251449080974538E-2</c:v>
                </c:pt>
                <c:pt idx="1212">
                  <c:v>2.1244269780700265E-2</c:v>
                </c:pt>
                <c:pt idx="1213">
                  <c:v>2.1237057662437664E-2</c:v>
                </c:pt>
                <c:pt idx="1214">
                  <c:v>2.1229812726026864E-2</c:v>
                </c:pt>
                <c:pt idx="1215">
                  <c:v>2.1222534971547802E-2</c:v>
                </c:pt>
                <c:pt idx="1216">
                  <c:v>2.1215224399000476E-2</c:v>
                </c:pt>
                <c:pt idx="1217">
                  <c:v>2.1207881008384888E-2</c:v>
                </c:pt>
                <c:pt idx="1218">
                  <c:v>2.1200504799780973E-2</c:v>
                </c:pt>
                <c:pt idx="1219">
                  <c:v>2.1193095773028858E-2</c:v>
                </c:pt>
                <c:pt idx="1220">
                  <c:v>2.1185653928208481E-2</c:v>
                </c:pt>
                <c:pt idx="1221">
                  <c:v>2.1178179265239905E-2</c:v>
                </c:pt>
                <c:pt idx="1222">
                  <c:v>2.1170671784283002E-2</c:v>
                </c:pt>
                <c:pt idx="1223">
                  <c:v>2.116097108635806E-2</c:v>
                </c:pt>
                <c:pt idx="1224">
                  <c:v>2.1153388592685118E-2</c:v>
                </c:pt>
                <c:pt idx="1225">
                  <c:v>2.1144833060509072E-2</c:v>
                </c:pt>
                <c:pt idx="1226">
                  <c:v>2.1138125151214382E-2</c:v>
                </c:pt>
                <c:pt idx="1227">
                  <c:v>2.1130444203416587E-2</c:v>
                </c:pt>
                <c:pt idx="1228">
                  <c:v>2.112273043755053E-2</c:v>
                </c:pt>
                <c:pt idx="1229">
                  <c:v>2.1114983853616209E-2</c:v>
                </c:pt>
                <c:pt idx="1230">
                  <c:v>2.1107204451693562E-2</c:v>
                </c:pt>
                <c:pt idx="1231">
                  <c:v>2.1099392231622716E-2</c:v>
                </c:pt>
                <c:pt idx="1232">
                  <c:v>2.1091547193643478E-2</c:v>
                </c:pt>
                <c:pt idx="1233">
                  <c:v>2.1083669337595978E-2</c:v>
                </c:pt>
                <c:pt idx="1234">
                  <c:v>2.1075758663480215E-2</c:v>
                </c:pt>
                <c:pt idx="1235">
                  <c:v>2.1067815171376125E-2</c:v>
                </c:pt>
                <c:pt idx="1236">
                  <c:v>2.1059838861123836E-2</c:v>
                </c:pt>
                <c:pt idx="1237">
                  <c:v>2.1051829732963157E-2</c:v>
                </c:pt>
                <c:pt idx="1238">
                  <c:v>2.1043787786734214E-2</c:v>
                </c:pt>
                <c:pt idx="1239">
                  <c:v>2.1035713022437008E-2</c:v>
                </c:pt>
                <c:pt idx="1240">
                  <c:v>2.1027605440151476E-2</c:v>
                </c:pt>
                <c:pt idx="1241">
                  <c:v>2.101946503979768E-2</c:v>
                </c:pt>
                <c:pt idx="1242">
                  <c:v>2.1011291821455558E-2</c:v>
                </c:pt>
                <c:pt idx="1243">
                  <c:v>2.1003085785205045E-2</c:v>
                </c:pt>
                <c:pt idx="1244">
                  <c:v>2.0994846930886268E-2</c:v>
                </c:pt>
                <c:pt idx="1245">
                  <c:v>2.0986575258499229E-2</c:v>
                </c:pt>
                <c:pt idx="1246">
                  <c:v>2.0978270768043927E-2</c:v>
                </c:pt>
                <c:pt idx="1247">
                  <c:v>2.0969933459680234E-2</c:v>
                </c:pt>
                <c:pt idx="1248">
                  <c:v>2.0961563333328215E-2</c:v>
                </c:pt>
                <c:pt idx="1249">
                  <c:v>2.0953160388907932E-2</c:v>
                </c:pt>
                <c:pt idx="1250">
                  <c:v>2.0944724626499323E-2</c:v>
                </c:pt>
                <c:pt idx="1251">
                  <c:v>2.0936256046102386E-2</c:v>
                </c:pt>
                <c:pt idx="1252">
                  <c:v>2.0927754647717123E-2</c:v>
                </c:pt>
                <c:pt idx="1253">
                  <c:v>2.0919220431263597E-2</c:v>
                </c:pt>
                <c:pt idx="1254">
                  <c:v>2.0910653396901679E-2</c:v>
                </c:pt>
                <c:pt idx="1255">
                  <c:v>2.0902053544551435E-2</c:v>
                </c:pt>
                <c:pt idx="1256">
                  <c:v>2.0893420874212865E-2</c:v>
                </c:pt>
                <c:pt idx="1257">
                  <c:v>2.0884755385885967E-2</c:v>
                </c:pt>
                <c:pt idx="1258">
                  <c:v>2.0876057079570742E-2</c:v>
                </c:pt>
                <c:pt idx="1259">
                  <c:v>2.0862322006731659E-2</c:v>
                </c:pt>
                <c:pt idx="1260">
                  <c:v>2.0857260065358929E-2</c:v>
                </c:pt>
                <c:pt idx="1261">
                  <c:v>2.0849765252695107E-2</c:v>
                </c:pt>
                <c:pt idx="1262">
                  <c:v>2.0840935674506511E-2</c:v>
                </c:pt>
                <c:pt idx="1263">
                  <c:v>2.0832073278329588E-2</c:v>
                </c:pt>
                <c:pt idx="1264">
                  <c:v>2.0823178064164338E-2</c:v>
                </c:pt>
                <c:pt idx="1265">
                  <c:v>2.0814250032010762E-2</c:v>
                </c:pt>
                <c:pt idx="1266">
                  <c:v>2.0805289181948794E-2</c:v>
                </c:pt>
                <c:pt idx="1267">
                  <c:v>2.07962955138985E-2</c:v>
                </c:pt>
                <c:pt idx="1268">
                  <c:v>2.0787269027859878E-2</c:v>
                </c:pt>
                <c:pt idx="1269">
                  <c:v>2.0778209723912866E-2</c:v>
                </c:pt>
                <c:pt idx="1270">
                  <c:v>2.0769117601977527E-2</c:v>
                </c:pt>
                <c:pt idx="1271">
                  <c:v>2.0759992662133797E-2</c:v>
                </c:pt>
                <c:pt idx="1272">
                  <c:v>2.0750603443962845E-2</c:v>
                </c:pt>
                <c:pt idx="1273">
                  <c:v>2.0741644328561293E-2</c:v>
                </c:pt>
                <c:pt idx="1274">
                  <c:v>2.0732420934832518E-2</c:v>
                </c:pt>
                <c:pt idx="1275">
                  <c:v>2.0723164723195353E-2</c:v>
                </c:pt>
                <c:pt idx="1276">
                  <c:v>2.0713875693649797E-2</c:v>
                </c:pt>
                <c:pt idx="1277">
                  <c:v>2.0704553846115914E-2</c:v>
                </c:pt>
                <c:pt idx="1278">
                  <c:v>2.0695199180593704E-2</c:v>
                </c:pt>
                <c:pt idx="1279">
                  <c:v>2.0685811697243039E-2</c:v>
                </c:pt>
                <c:pt idx="1280">
                  <c:v>2.0676391395904048E-2</c:v>
                </c:pt>
                <c:pt idx="1281">
                  <c:v>2.0666938276656666E-2</c:v>
                </c:pt>
                <c:pt idx="1282">
                  <c:v>2.0657452339500892E-2</c:v>
                </c:pt>
                <c:pt idx="1283">
                  <c:v>2.0647933584436728E-2</c:v>
                </c:pt>
                <c:pt idx="1284">
                  <c:v>2.0638382011464174E-2</c:v>
                </c:pt>
                <c:pt idx="1285">
                  <c:v>2.0628797620583228E-2</c:v>
                </c:pt>
                <c:pt idx="1286">
                  <c:v>2.0619180411713955E-2</c:v>
                </c:pt>
                <c:pt idx="1287">
                  <c:v>2.0609530385016228E-2</c:v>
                </c:pt>
                <c:pt idx="1288">
                  <c:v>2.059984754041011E-2</c:v>
                </c:pt>
                <c:pt idx="1289">
                  <c:v>2.0590131877895601E-2</c:v>
                </c:pt>
                <c:pt idx="1290">
                  <c:v>2.0580383397472701E-2</c:v>
                </c:pt>
                <c:pt idx="1291">
                  <c:v>2.0570602099061475E-2</c:v>
                </c:pt>
                <c:pt idx="1292">
                  <c:v>2.0560787982821793E-2</c:v>
                </c:pt>
                <c:pt idx="1293">
                  <c:v>2.0550941048753657E-2</c:v>
                </c:pt>
                <c:pt idx="1294">
                  <c:v>2.0541061296617258E-2</c:v>
                </c:pt>
                <c:pt idx="1295">
                  <c:v>2.053114872673234E-2</c:v>
                </c:pt>
                <c:pt idx="1296">
                  <c:v>2.0521203338939031E-2</c:v>
                </c:pt>
                <c:pt idx="1297">
                  <c:v>2.0511225133317268E-2</c:v>
                </c:pt>
                <c:pt idx="1298">
                  <c:v>2.0501214109707178E-2</c:v>
                </c:pt>
                <c:pt idx="1299">
                  <c:v>2.0491170268268633E-2</c:v>
                </c:pt>
                <c:pt idx="1300">
                  <c:v>2.0481093609001633E-2</c:v>
                </c:pt>
                <c:pt idx="1301">
                  <c:v>2.0470984131826242E-2</c:v>
                </c:pt>
                <c:pt idx="1302">
                  <c:v>2.046084183674246E-2</c:v>
                </c:pt>
                <c:pt idx="1303">
                  <c:v>2.0450666723830224E-2</c:v>
                </c:pt>
                <c:pt idx="1304">
                  <c:v>2.0440458793089533E-2</c:v>
                </c:pt>
                <c:pt idx="1305">
                  <c:v>2.0430218044360515E-2</c:v>
                </c:pt>
                <c:pt idx="1306">
                  <c:v>2.0419944477882979E-2</c:v>
                </c:pt>
                <c:pt idx="1307">
                  <c:v>2.0409638093576987E-2</c:v>
                </c:pt>
                <c:pt idx="1308">
                  <c:v>2.0399298891362605E-2</c:v>
                </c:pt>
                <c:pt idx="1309">
                  <c:v>2.0388926871239832E-2</c:v>
                </c:pt>
                <c:pt idx="1310">
                  <c:v>2.037852203336854E-2</c:v>
                </c:pt>
                <c:pt idx="1311">
                  <c:v>2.0368084377668794E-2</c:v>
                </c:pt>
                <c:pt idx="1312">
                  <c:v>2.0357613904060656E-2</c:v>
                </c:pt>
                <c:pt idx="1313">
                  <c:v>2.0347110612624064E-2</c:v>
                </c:pt>
                <c:pt idx="1314">
                  <c:v>2.0336574503359017E-2</c:v>
                </c:pt>
                <c:pt idx="1315">
                  <c:v>2.0326005576265516E-2</c:v>
                </c:pt>
                <c:pt idx="1316">
                  <c:v>2.0315403831423495E-2</c:v>
                </c:pt>
                <c:pt idx="1317">
                  <c:v>2.0304769268593148E-2</c:v>
                </c:pt>
                <c:pt idx="1318">
                  <c:v>2.0294101888014282E-2</c:v>
                </c:pt>
                <c:pt idx="1319">
                  <c:v>2.0283401689686897E-2</c:v>
                </c:pt>
                <c:pt idx="1320">
                  <c:v>2.0272668673451122E-2</c:v>
                </c:pt>
                <c:pt idx="1321">
                  <c:v>2.0261902839386892E-2</c:v>
                </c:pt>
                <c:pt idx="1322">
                  <c:v>2.0251104187574143E-2</c:v>
                </c:pt>
                <c:pt idx="1323">
                  <c:v>2.0240272717932939E-2</c:v>
                </c:pt>
                <c:pt idx="1324">
                  <c:v>2.022940843046328E-2</c:v>
                </c:pt>
                <c:pt idx="1325">
                  <c:v>2.0218511325245103E-2</c:v>
                </c:pt>
                <c:pt idx="1326">
                  <c:v>2.0207581402118535E-2</c:v>
                </c:pt>
                <c:pt idx="1327">
                  <c:v>2.0195745304912194E-2</c:v>
                </c:pt>
                <c:pt idx="1328">
                  <c:v>2.0185623102699779E-2</c:v>
                </c:pt>
                <c:pt idx="1329">
                  <c:v>2.0174594726247719E-2</c:v>
                </c:pt>
                <c:pt idx="1330">
                  <c:v>2.016353353204714E-2</c:v>
                </c:pt>
                <c:pt idx="1331">
                  <c:v>2.0152439520018106E-2</c:v>
                </c:pt>
                <c:pt idx="1332">
                  <c:v>2.0141312690240554E-2</c:v>
                </c:pt>
                <c:pt idx="1333">
                  <c:v>2.0130153042634547E-2</c:v>
                </c:pt>
                <c:pt idx="1334">
                  <c:v>2.0118960577280021E-2</c:v>
                </c:pt>
                <c:pt idx="1335">
                  <c:v>2.0107735294256912E-2</c:v>
                </c:pt>
                <c:pt idx="1336">
                  <c:v>2.0096477193325413E-2</c:v>
                </c:pt>
                <c:pt idx="1337">
                  <c:v>2.0085186274645395E-2</c:v>
                </c:pt>
                <c:pt idx="1338">
                  <c:v>2.0073862538296794E-2</c:v>
                </c:pt>
                <c:pt idx="1339">
                  <c:v>2.0062505984119738E-2</c:v>
                </c:pt>
                <c:pt idx="1340">
                  <c:v>2.0051116612114228E-2</c:v>
                </c:pt>
                <c:pt idx="1341">
                  <c:v>2.0039694422440135E-2</c:v>
                </c:pt>
                <c:pt idx="1342">
                  <c:v>2.0028239415017524E-2</c:v>
                </c:pt>
                <c:pt idx="1343">
                  <c:v>2.0016751589766457E-2</c:v>
                </c:pt>
                <c:pt idx="1344">
                  <c:v>2.0005230946846808E-2</c:v>
                </c:pt>
                <c:pt idx="1345">
                  <c:v>1.999367748617864E-2</c:v>
                </c:pt>
                <c:pt idx="1346">
                  <c:v>1.998209120784189E-2</c:v>
                </c:pt>
                <c:pt idx="1347">
                  <c:v>1.9970472111676685E-2</c:v>
                </c:pt>
                <c:pt idx="1348">
                  <c:v>1.9958820197842897E-2</c:v>
                </c:pt>
                <c:pt idx="1349">
                  <c:v>1.9947135466100718E-2</c:v>
                </c:pt>
                <c:pt idx="1350">
                  <c:v>1.9935417916769893E-2</c:v>
                </c:pt>
                <c:pt idx="1351">
                  <c:v>1.9923667549770485E-2</c:v>
                </c:pt>
                <c:pt idx="1352">
                  <c:v>1.9911884364942622E-2</c:v>
                </c:pt>
                <c:pt idx="1353">
                  <c:v>1.9900068362526113E-2</c:v>
                </c:pt>
                <c:pt idx="1354">
                  <c:v>1.9888219542281149E-2</c:v>
                </c:pt>
                <c:pt idx="1355">
                  <c:v>1.9876337904367603E-2</c:v>
                </c:pt>
                <c:pt idx="1356">
                  <c:v>1.9864423448705537E-2</c:v>
                </c:pt>
                <c:pt idx="1357">
                  <c:v>1.9852476175534761E-2</c:v>
                </c:pt>
                <c:pt idx="1358">
                  <c:v>1.9840496084455594E-2</c:v>
                </c:pt>
                <c:pt idx="1359">
                  <c:v>1.9828483175707845E-2</c:v>
                </c:pt>
                <c:pt idx="1360">
                  <c:v>1.9816437449291513E-2</c:v>
                </c:pt>
                <c:pt idx="1361">
                  <c:v>1.9804358905206598E-2</c:v>
                </c:pt>
                <c:pt idx="1362">
                  <c:v>1.9792247543373165E-2</c:v>
                </c:pt>
                <c:pt idx="1363">
                  <c:v>1.9780103363871149E-2</c:v>
                </c:pt>
                <c:pt idx="1364">
                  <c:v>1.9767926366780486E-2</c:v>
                </c:pt>
                <c:pt idx="1365">
                  <c:v>1.9755716551861369E-2</c:v>
                </c:pt>
                <c:pt idx="1366">
                  <c:v>1.9743473919433541E-2</c:v>
                </c:pt>
                <c:pt idx="1367">
                  <c:v>1.9731198469257194E-2</c:v>
                </c:pt>
                <c:pt idx="1368">
                  <c:v>1.9718890201412265E-2</c:v>
                </c:pt>
                <c:pt idx="1369">
                  <c:v>1.9706549115898753E-2</c:v>
                </c:pt>
                <c:pt idx="1370">
                  <c:v>1.9694175212716658E-2</c:v>
                </c:pt>
                <c:pt idx="1371">
                  <c:v>1.9681768491945917E-2</c:v>
                </c:pt>
                <c:pt idx="1372">
                  <c:v>1.9669328953506593E-2</c:v>
                </c:pt>
                <c:pt idx="1373">
                  <c:v>1.965685659731875E-2</c:v>
                </c:pt>
                <c:pt idx="1374">
                  <c:v>1.9644351423622197E-2</c:v>
                </c:pt>
                <c:pt idx="1375">
                  <c:v>1.9631813432177125E-2</c:v>
                </c:pt>
                <c:pt idx="1376">
                  <c:v>1.9619242623063471E-2</c:v>
                </c:pt>
                <c:pt idx="1377">
                  <c:v>1.960663899636117E-2</c:v>
                </c:pt>
                <c:pt idx="1378">
                  <c:v>1.9592517686863431E-2</c:v>
                </c:pt>
                <c:pt idx="1379">
                  <c:v>1.9581333290190628E-2</c:v>
                </c:pt>
                <c:pt idx="1380">
                  <c:v>1.9568631210562515E-2</c:v>
                </c:pt>
                <c:pt idx="1381">
                  <c:v>1.9555896313345755E-2</c:v>
                </c:pt>
                <c:pt idx="1382">
                  <c:v>1.9543128598620285E-2</c:v>
                </c:pt>
                <c:pt idx="1383">
                  <c:v>1.9530328066146296E-2</c:v>
                </c:pt>
                <c:pt idx="1384">
                  <c:v>1.9517494716083661E-2</c:v>
                </c:pt>
                <c:pt idx="1385">
                  <c:v>1.9504628548432379E-2</c:v>
                </c:pt>
                <c:pt idx="1386">
                  <c:v>1.949172956319245E-2</c:v>
                </c:pt>
                <c:pt idx="1387">
                  <c:v>1.9478797760363875E-2</c:v>
                </c:pt>
                <c:pt idx="1388">
                  <c:v>1.9465833139866717E-2</c:v>
                </c:pt>
                <c:pt idx="1389">
                  <c:v>1.9452835701780913E-2</c:v>
                </c:pt>
                <c:pt idx="1390">
                  <c:v>1.9439805446186398E-2</c:v>
                </c:pt>
                <c:pt idx="1391">
                  <c:v>1.9426742373003236E-2</c:v>
                </c:pt>
                <c:pt idx="1392">
                  <c:v>1.9413646482071556E-2</c:v>
                </c:pt>
                <c:pt idx="1393">
                  <c:v>1.9400517773711101E-2</c:v>
                </c:pt>
                <c:pt idx="1394">
                  <c:v>1.9387356247762E-2</c:v>
                </c:pt>
                <c:pt idx="1395">
                  <c:v>1.9374161904224252E-2</c:v>
                </c:pt>
                <c:pt idx="1396">
                  <c:v>1.9360934743097857E-2</c:v>
                </c:pt>
                <c:pt idx="1397">
                  <c:v>1.9347674764462752E-2</c:v>
                </c:pt>
                <c:pt idx="1398">
                  <c:v>1.9334381968239001E-2</c:v>
                </c:pt>
                <c:pt idx="1399">
                  <c:v>1.9321056354426602E-2</c:v>
                </c:pt>
                <c:pt idx="1400">
                  <c:v>1.9307697923105493E-2</c:v>
                </c:pt>
                <c:pt idx="1401">
                  <c:v>1.9294306674115802E-2</c:v>
                </c:pt>
                <c:pt idx="1402">
                  <c:v>1.9280882607777272E-2</c:v>
                </c:pt>
                <c:pt idx="1403">
                  <c:v>1.9267425723690224E-2</c:v>
                </c:pt>
                <c:pt idx="1404">
                  <c:v>1.92539360221744E-2</c:v>
                </c:pt>
                <c:pt idx="1405">
                  <c:v>1.9240413503149867E-2</c:v>
                </c:pt>
                <c:pt idx="1406">
                  <c:v>1.9226858166616623E-2</c:v>
                </c:pt>
                <c:pt idx="1407">
                  <c:v>1.9213270012494732E-2</c:v>
                </c:pt>
                <c:pt idx="1408">
                  <c:v>1.9199649040784195E-2</c:v>
                </c:pt>
                <c:pt idx="1409">
                  <c:v>1.9185995251644883E-2</c:v>
                </c:pt>
                <c:pt idx="1410">
                  <c:v>1.9172308644916924E-2</c:v>
                </c:pt>
                <c:pt idx="1411">
                  <c:v>1.9158589220680255E-2</c:v>
                </c:pt>
                <c:pt idx="1412">
                  <c:v>1.9144836979014812E-2</c:v>
                </c:pt>
                <c:pt idx="1413">
                  <c:v>1.9131051919760722E-2</c:v>
                </c:pt>
                <c:pt idx="1414">
                  <c:v>1.9117234043077858E-2</c:v>
                </c:pt>
                <c:pt idx="1415">
                  <c:v>1.9103383348806346E-2</c:v>
                </c:pt>
                <c:pt idx="1416">
                  <c:v>1.9086050702747936E-2</c:v>
                </c:pt>
                <c:pt idx="1417">
                  <c:v>1.9072611530672745E-2</c:v>
                </c:pt>
                <c:pt idx="1418">
                  <c:v>1.9058651529118009E-2</c:v>
                </c:pt>
                <c:pt idx="1419">
                  <c:v>1.9044658707656481E-2</c:v>
                </c:pt>
                <c:pt idx="1420">
                  <c:v>1.9030633066341451E-2</c:v>
                </c:pt>
                <c:pt idx="1421">
                  <c:v>1.9016574605199565E-2</c:v>
                </c:pt>
                <c:pt idx="1422">
                  <c:v>1.9002483324230823E-2</c:v>
                </c:pt>
                <c:pt idx="1423">
                  <c:v>1.8988359223381934E-2</c:v>
                </c:pt>
                <c:pt idx="1424">
                  <c:v>1.8974202302786125E-2</c:v>
                </c:pt>
                <c:pt idx="1425">
                  <c:v>1.8960012562336814E-2</c:v>
                </c:pt>
                <c:pt idx="1426">
                  <c:v>1.8945790002140583E-2</c:v>
                </c:pt>
                <c:pt idx="1427">
                  <c:v>1.8931534622117496E-2</c:v>
                </c:pt>
                <c:pt idx="1428">
                  <c:v>1.8910119754238508E-2</c:v>
                </c:pt>
                <c:pt idx="1429">
                  <c:v>1.8902925402830562E-2</c:v>
                </c:pt>
                <c:pt idx="1430">
                  <c:v>1.8888571563540069E-2</c:v>
                </c:pt>
                <c:pt idx="1431">
                  <c:v>1.8874184904555946E-2</c:v>
                </c:pt>
                <c:pt idx="1432">
                  <c:v>1.8859765425851549E-2</c:v>
                </c:pt>
                <c:pt idx="1433">
                  <c:v>1.8845313127426877E-2</c:v>
                </c:pt>
                <c:pt idx="1434">
                  <c:v>1.883082800928193E-2</c:v>
                </c:pt>
                <c:pt idx="1435">
                  <c:v>1.8816310071443354E-2</c:v>
                </c:pt>
                <c:pt idx="1436">
                  <c:v>1.8801759313964439E-2</c:v>
                </c:pt>
                <c:pt idx="1437">
                  <c:v>1.8787175736791895E-2</c:v>
                </c:pt>
                <c:pt idx="1438">
                  <c:v>1.8772559340032302E-2</c:v>
                </c:pt>
                <c:pt idx="1439">
                  <c:v>1.875791012357908E-2</c:v>
                </c:pt>
                <c:pt idx="1440">
                  <c:v>1.874322808753881E-2</c:v>
                </c:pt>
                <c:pt idx="1441">
                  <c:v>1.8728513231858201E-2</c:v>
                </c:pt>
                <c:pt idx="1442">
                  <c:v>1.8713765556563899E-2</c:v>
                </c:pt>
                <c:pt idx="1443">
                  <c:v>1.869898506173584E-2</c:v>
                </c:pt>
                <c:pt idx="1444">
                  <c:v>1.8684171747267442E-2</c:v>
                </c:pt>
                <c:pt idx="1445">
                  <c:v>1.8669325613265286E-2</c:v>
                </c:pt>
                <c:pt idx="1446">
                  <c:v>1.8654446659702728E-2</c:v>
                </c:pt>
                <c:pt idx="1447">
                  <c:v>1.8639534886606413E-2</c:v>
                </c:pt>
                <c:pt idx="1448">
                  <c:v>1.862459029397634E-2</c:v>
                </c:pt>
                <c:pt idx="1449">
                  <c:v>1.8609612881839155E-2</c:v>
                </c:pt>
                <c:pt idx="1450">
                  <c:v>1.8594602650168213E-2</c:v>
                </c:pt>
                <c:pt idx="1451">
                  <c:v>1.8579559599016804E-2</c:v>
                </c:pt>
                <c:pt idx="1452">
                  <c:v>1.8564483728438219E-2</c:v>
                </c:pt>
                <c:pt idx="1453">
                  <c:v>1.8549392611602045E-2</c:v>
                </c:pt>
                <c:pt idx="1454">
                  <c:v>1.8534344826290905E-2</c:v>
                </c:pt>
                <c:pt idx="1455">
                  <c:v>1.8519346230059242E-2</c:v>
                </c:pt>
                <c:pt idx="1456">
                  <c:v>1.8504396823066926E-2</c:v>
                </c:pt>
                <c:pt idx="1457">
                  <c:v>1.8489496605180733E-2</c:v>
                </c:pt>
                <c:pt idx="1458">
                  <c:v>1.8474645576427307E-2</c:v>
                </c:pt>
                <c:pt idx="1459">
                  <c:v>1.8459843736780002E-2</c:v>
                </c:pt>
                <c:pt idx="1460">
                  <c:v>1.8445091086212173E-2</c:v>
                </c:pt>
                <c:pt idx="1461">
                  <c:v>1.8430387624723821E-2</c:v>
                </c:pt>
                <c:pt idx="1462">
                  <c:v>1.8415733352314945E-2</c:v>
                </c:pt>
                <c:pt idx="1463">
                  <c:v>1.8401128268905609E-2</c:v>
                </c:pt>
                <c:pt idx="1464">
                  <c:v>1.8386572374549104E-2</c:v>
                </c:pt>
                <c:pt idx="1465">
                  <c:v>1.8372065669165494E-2</c:v>
                </c:pt>
                <c:pt idx="1466">
                  <c:v>1.8357608152728133E-2</c:v>
                </c:pt>
                <c:pt idx="1467">
                  <c:v>1.8343199825290313E-2</c:v>
                </c:pt>
                <c:pt idx="1468">
                  <c:v>1.832325783461819E-2</c:v>
                </c:pt>
                <c:pt idx="1469">
                  <c:v>1.8309519646431127E-2</c:v>
                </c:pt>
                <c:pt idx="1470">
                  <c:v>1.8295274388178129E-2</c:v>
                </c:pt>
                <c:pt idx="1471">
                  <c:v>1.8281078312822885E-2</c:v>
                </c:pt>
                <c:pt idx="1472">
                  <c:v>1.8266931420205523E-2</c:v>
                </c:pt>
                <c:pt idx="1473">
                  <c:v>1.8252833710166172E-2</c:v>
                </c:pt>
                <c:pt idx="1474">
                  <c:v>1.8238785183024575E-2</c:v>
                </c:pt>
                <c:pt idx="1475">
                  <c:v>1.8224785838620861E-2</c:v>
                </c:pt>
                <c:pt idx="1476">
                  <c:v>1.8210835676875092E-2</c:v>
                </c:pt>
                <c:pt idx="1477">
                  <c:v>1.8196934697947142E-2</c:v>
                </c:pt>
                <c:pt idx="1478">
                  <c:v>1.8183082901757075E-2</c:v>
                </c:pt>
                <c:pt idx="1479">
                  <c:v>1.816928028830489E-2</c:v>
                </c:pt>
                <c:pt idx="1480">
                  <c:v>1.8155526857430715E-2</c:v>
                </c:pt>
                <c:pt idx="1481">
                  <c:v>1.8141822609294422E-2</c:v>
                </c:pt>
                <c:pt idx="1482">
                  <c:v>1.8128167543896012E-2</c:v>
                </c:pt>
                <c:pt idx="1483">
                  <c:v>1.8110683299763508E-2</c:v>
                </c:pt>
                <c:pt idx="1484">
                  <c:v>1.8101004961232903E-2</c:v>
                </c:pt>
                <c:pt idx="1485">
                  <c:v>1.8087497443888267E-2</c:v>
                </c:pt>
                <c:pt idx="1486">
                  <c:v>1.8072120504966094E-2</c:v>
                </c:pt>
                <c:pt idx="1487">
                  <c:v>1.8058718379077021E-2</c:v>
                </c:pt>
                <c:pt idx="1488">
                  <c:v>1.8045365435765959E-2</c:v>
                </c:pt>
                <c:pt idx="1489">
                  <c:v>1.8032061675272715E-2</c:v>
                </c:pt>
                <c:pt idx="1490">
                  <c:v>1.8018807097437417E-2</c:v>
                </c:pt>
                <c:pt idx="1491">
                  <c:v>1.800560170218013E-2</c:v>
                </c:pt>
                <c:pt idx="1492">
                  <c:v>1.7992445489500852E-2</c:v>
                </c:pt>
                <c:pt idx="1493">
                  <c:v>1.7979338459639393E-2</c:v>
                </c:pt>
                <c:pt idx="1494">
                  <c:v>1.7966280612355945E-2</c:v>
                </c:pt>
                <c:pt idx="1495">
                  <c:v>1.7953271947650506E-2</c:v>
                </c:pt>
                <c:pt idx="1496">
                  <c:v>1.7940312465603014E-2</c:v>
                </c:pt>
                <c:pt idx="1497">
                  <c:v>1.7927402166213469E-2</c:v>
                </c:pt>
                <c:pt idx="1498">
                  <c:v>1.7914541049401933E-2</c:v>
                </c:pt>
                <c:pt idx="1499">
                  <c:v>1.7901729115088472E-2</c:v>
                </c:pt>
                <c:pt idx="1500">
                  <c:v>1.7888966363512893E-2</c:v>
                </c:pt>
                <c:pt idx="1501">
                  <c:v>1.7876252794515324E-2</c:v>
                </c:pt>
                <c:pt idx="1502">
                  <c:v>1.7863588408015829E-2</c:v>
                </c:pt>
                <c:pt idx="1503">
                  <c:v>1.7850973204254217E-2</c:v>
                </c:pt>
                <c:pt idx="1504">
                  <c:v>1.7838407182990679E-2</c:v>
                </c:pt>
                <c:pt idx="1505">
                  <c:v>1.7825890344305151E-2</c:v>
                </c:pt>
                <c:pt idx="1506">
                  <c:v>1.7813422688197633E-2</c:v>
                </c:pt>
                <c:pt idx="1507">
                  <c:v>1.7801004214748062E-2</c:v>
                </c:pt>
                <c:pt idx="1508">
                  <c:v>1.7788634923716629E-2</c:v>
                </c:pt>
                <c:pt idx="1509">
                  <c:v>1.7776314815263206E-2</c:v>
                </c:pt>
                <c:pt idx="1510">
                  <c:v>1.7764043889467729E-2</c:v>
                </c:pt>
                <c:pt idx="1511">
                  <c:v>1.7751822146170326E-2</c:v>
                </c:pt>
                <c:pt idx="1512">
                  <c:v>1.7739649585370998E-2</c:v>
                </c:pt>
                <c:pt idx="1513">
                  <c:v>1.7727526207069744E-2</c:v>
                </c:pt>
                <c:pt idx="1514">
                  <c:v>1.7715452011426436E-2</c:v>
                </c:pt>
                <c:pt idx="1515">
                  <c:v>1.7703426998201266E-2</c:v>
                </c:pt>
                <c:pt idx="1516">
                  <c:v>1.7691451167554106E-2</c:v>
                </c:pt>
                <c:pt idx="1517">
                  <c:v>1.7679524519484957E-2</c:v>
                </c:pt>
                <c:pt idx="1518">
                  <c:v>1.7667647053833946E-2</c:v>
                </c:pt>
                <c:pt idx="1519">
                  <c:v>1.7655818770681009E-2</c:v>
                </c:pt>
                <c:pt idx="1520">
                  <c:v>1.7641954355904765E-2</c:v>
                </c:pt>
                <c:pt idx="1521">
                  <c:v>1.7630638064360937E-2</c:v>
                </c:pt>
                <c:pt idx="1522">
                  <c:v>1.7618964354841893E-2</c:v>
                </c:pt>
                <c:pt idx="1523">
                  <c:v>1.760733982766105E-2</c:v>
                </c:pt>
                <c:pt idx="1524">
                  <c:v>1.7595764483138154E-2</c:v>
                </c:pt>
                <c:pt idx="1525">
                  <c:v>1.7584238321033396E-2</c:v>
                </c:pt>
                <c:pt idx="1526">
                  <c:v>1.7572761341346776E-2</c:v>
                </c:pt>
                <c:pt idx="1527">
                  <c:v>1.7561333544318103E-2</c:v>
                </c:pt>
                <c:pt idx="1528">
                  <c:v>1.7549954929467759E-2</c:v>
                </c:pt>
                <c:pt idx="1529">
                  <c:v>1.7538625497275362E-2</c:v>
                </c:pt>
                <c:pt idx="1530">
                  <c:v>1.7527345247581039E-2</c:v>
                </c:pt>
                <c:pt idx="1531">
                  <c:v>1.7516114180065046E-2</c:v>
                </c:pt>
                <c:pt idx="1532">
                  <c:v>1.7504932295286935E-2</c:v>
                </c:pt>
                <c:pt idx="1533">
                  <c:v>1.7493799592847026E-2</c:v>
                </c:pt>
                <c:pt idx="1534">
                  <c:v>1.7481136727690583E-2</c:v>
                </c:pt>
                <c:pt idx="1535">
                  <c:v>1.7470109416146684E-2</c:v>
                </c:pt>
                <c:pt idx="1536">
                  <c:v>1.745913128710086E-2</c:v>
                </c:pt>
                <c:pt idx="1537">
                  <c:v>1.7447135649857337E-2</c:v>
                </c:pt>
                <c:pt idx="1538">
                  <c:v>1.7437322576183689E-2</c:v>
                </c:pt>
                <c:pt idx="1539">
                  <c:v>1.7426491994312343E-2</c:v>
                </c:pt>
                <c:pt idx="1540">
                  <c:v>1.7415710594939071E-2</c:v>
                </c:pt>
                <c:pt idx="1541">
                  <c:v>1.7404978377904001E-2</c:v>
                </c:pt>
                <c:pt idx="1542">
                  <c:v>1.7394295343287069E-2</c:v>
                </c:pt>
                <c:pt idx="1543">
                  <c:v>1.7383661491088276E-2</c:v>
                </c:pt>
                <c:pt idx="1544">
                  <c:v>1.7373076821147748E-2</c:v>
                </c:pt>
                <c:pt idx="1545">
                  <c:v>1.7362541333705295E-2</c:v>
                </c:pt>
                <c:pt idx="1546">
                  <c:v>1.7352055028680979E-2</c:v>
                </c:pt>
                <c:pt idx="1547">
                  <c:v>1.7341617905994866E-2</c:v>
                </c:pt>
                <c:pt idx="1548">
                  <c:v>1.7331229965646955E-2</c:v>
                </c:pt>
                <c:pt idx="1549">
                  <c:v>1.7320891207717182E-2</c:v>
                </c:pt>
                <c:pt idx="1550">
                  <c:v>1.7310601632125611E-2</c:v>
                </c:pt>
                <c:pt idx="1551">
                  <c:v>1.7300361238952178E-2</c:v>
                </c:pt>
                <c:pt idx="1552">
                  <c:v>1.7290170028037011E-2</c:v>
                </c:pt>
                <c:pt idx="1553">
                  <c:v>1.7280027999619918E-2</c:v>
                </c:pt>
                <c:pt idx="1554">
                  <c:v>1.7269935153381155E-2</c:v>
                </c:pt>
                <c:pt idx="1555">
                  <c:v>1.725989148956053E-2</c:v>
                </c:pt>
                <c:pt idx="1556">
                  <c:v>1.7249897008078108E-2</c:v>
                </c:pt>
                <c:pt idx="1557">
                  <c:v>1.7239951708933887E-2</c:v>
                </c:pt>
                <c:pt idx="1558">
                  <c:v>1.7230055592127869E-2</c:v>
                </c:pt>
                <c:pt idx="1559">
                  <c:v>1.7220208657580116E-2</c:v>
                </c:pt>
                <c:pt idx="1560">
                  <c:v>1.7210410905450502E-2</c:v>
                </c:pt>
                <c:pt idx="1561">
                  <c:v>1.7200662335659089E-2</c:v>
                </c:pt>
                <c:pt idx="1562">
                  <c:v>1.7190962948205879E-2</c:v>
                </c:pt>
                <c:pt idx="1563">
                  <c:v>1.7181312743010935E-2</c:v>
                </c:pt>
                <c:pt idx="1564">
                  <c:v>1.7171711720074256E-2</c:v>
                </c:pt>
                <c:pt idx="1565">
                  <c:v>1.716215987947578E-2</c:v>
                </c:pt>
                <c:pt idx="1566">
                  <c:v>1.7152657221215506E-2</c:v>
                </c:pt>
                <c:pt idx="1567">
                  <c:v>1.7143203745213498E-2</c:v>
                </c:pt>
                <c:pt idx="1568">
                  <c:v>1.7133799451469756E-2</c:v>
                </c:pt>
                <c:pt idx="1569">
                  <c:v>1.7124444339984279E-2</c:v>
                </c:pt>
                <c:pt idx="1570">
                  <c:v>1.7115138410996877E-2</c:v>
                </c:pt>
                <c:pt idx="1571">
                  <c:v>1.7105124071639111E-2</c:v>
                </c:pt>
                <c:pt idx="1572">
                  <c:v>1.7095925735546302E-2</c:v>
                </c:pt>
                <c:pt idx="1573">
                  <c:v>1.7087515717184587E-2</c:v>
                </c:pt>
                <c:pt idx="1574">
                  <c:v>1.7078406517150313E-2</c:v>
                </c:pt>
                <c:pt idx="1575">
                  <c:v>1.7069346499374305E-2</c:v>
                </c:pt>
                <c:pt idx="1576">
                  <c:v>1.7060335663856563E-2</c:v>
                </c:pt>
                <c:pt idx="1577">
                  <c:v>1.7051374010677023E-2</c:v>
                </c:pt>
                <c:pt idx="1578">
                  <c:v>1.7042461539675813E-2</c:v>
                </c:pt>
                <c:pt idx="1579">
                  <c:v>1.7033598250932869E-2</c:v>
                </c:pt>
                <c:pt idx="1580">
                  <c:v>1.7024784144448191E-2</c:v>
                </c:pt>
                <c:pt idx="1581">
                  <c:v>1.7016019220221779E-2</c:v>
                </c:pt>
                <c:pt idx="1582">
                  <c:v>1.7007303478173696E-2</c:v>
                </c:pt>
                <c:pt idx="1583">
                  <c:v>1.699863691838388E-2</c:v>
                </c:pt>
                <c:pt idx="1584">
                  <c:v>1.6990019540932266E-2</c:v>
                </c:pt>
                <c:pt idx="1585">
                  <c:v>1.6981451345579046E-2</c:v>
                </c:pt>
                <c:pt idx="1586">
                  <c:v>1.6972932332484092E-2</c:v>
                </c:pt>
                <c:pt idx="1587">
                  <c:v>1.6964462501647404E-2</c:v>
                </c:pt>
                <c:pt idx="1588">
                  <c:v>1.6955242877559229E-2</c:v>
                </c:pt>
                <c:pt idx="1589">
                  <c:v>1.6947670386668889E-2</c:v>
                </c:pt>
                <c:pt idx="1590">
                  <c:v>1.6939348102447127E-2</c:v>
                </c:pt>
                <c:pt idx="1591">
                  <c:v>1.6931075000483631E-2</c:v>
                </c:pt>
                <c:pt idx="1592">
                  <c:v>1.6922851080618528E-2</c:v>
                </c:pt>
                <c:pt idx="1593">
                  <c:v>1.6914676343091628E-2</c:v>
                </c:pt>
                <c:pt idx="1594">
                  <c:v>1.6906550787663122E-2</c:v>
                </c:pt>
                <c:pt idx="1595">
                  <c:v>1.6898474414412945E-2</c:v>
                </c:pt>
                <c:pt idx="1596">
                  <c:v>1.6890447223421035E-2</c:v>
                </c:pt>
                <c:pt idx="1597">
                  <c:v>1.6882469214607454E-2</c:v>
                </c:pt>
                <c:pt idx="1598">
                  <c:v>1.6874540388052139E-2</c:v>
                </c:pt>
                <c:pt idx="1599">
                  <c:v>1.6866660743595219E-2</c:v>
                </c:pt>
                <c:pt idx="1600">
                  <c:v>1.6858830281236692E-2</c:v>
                </c:pt>
                <c:pt idx="1601">
                  <c:v>1.6851049001296303E-2</c:v>
                </c:pt>
                <c:pt idx="1602">
                  <c:v>1.6843316903294436E-2</c:v>
                </c:pt>
                <c:pt idx="1603">
                  <c:v>1.6835633987550835E-2</c:v>
                </c:pt>
                <c:pt idx="1604">
                  <c:v>1.6828000253985564E-2</c:v>
                </c:pt>
                <c:pt idx="1605">
                  <c:v>1.6820415702598623E-2</c:v>
                </c:pt>
                <c:pt idx="1606">
                  <c:v>1.681288033323014E-2</c:v>
                </c:pt>
                <c:pt idx="1607">
                  <c:v>1.6805394146199859E-2</c:v>
                </c:pt>
                <c:pt idx="1608">
                  <c:v>1.6797957141267972E-2</c:v>
                </c:pt>
                <c:pt idx="1609">
                  <c:v>1.6790569318434478E-2</c:v>
                </c:pt>
                <c:pt idx="1610">
                  <c:v>1.6783230677779315E-2</c:v>
                </c:pt>
                <c:pt idx="1611">
                  <c:v>1.6775941219302481E-2</c:v>
                </c:pt>
                <c:pt idx="1612">
                  <c:v>1.6768700942924042E-2</c:v>
                </c:pt>
                <c:pt idx="1613">
                  <c:v>1.6761509848723932E-2</c:v>
                </c:pt>
                <c:pt idx="1614">
                  <c:v>1.6754367936702153E-2</c:v>
                </c:pt>
                <c:pt idx="1615">
                  <c:v>1.6747275206698831E-2</c:v>
                </c:pt>
                <c:pt idx="1616">
                  <c:v>1.6740231658953775E-2</c:v>
                </c:pt>
                <c:pt idx="1617">
                  <c:v>1.6733237293227177E-2</c:v>
                </c:pt>
                <c:pt idx="1618">
                  <c:v>1.6726292109678909E-2</c:v>
                </c:pt>
                <c:pt idx="1619">
                  <c:v>1.6719396108229034E-2</c:v>
                </c:pt>
                <c:pt idx="1620">
                  <c:v>1.6712549288797618E-2</c:v>
                </c:pt>
                <c:pt idx="1621">
                  <c:v>1.6705751651704404E-2</c:v>
                </c:pt>
                <c:pt idx="1622">
                  <c:v>1.6699003196549711E-2</c:v>
                </c:pt>
                <c:pt idx="1623">
                  <c:v>1.6692303923573348E-2</c:v>
                </c:pt>
                <c:pt idx="1624">
                  <c:v>1.668565383269538E-2</c:v>
                </c:pt>
                <c:pt idx="1625">
                  <c:v>1.6679052923995741E-2</c:v>
                </c:pt>
                <c:pt idx="1626">
                  <c:v>1.6672501197234624E-2</c:v>
                </c:pt>
                <c:pt idx="1627">
                  <c:v>1.6665998652731773E-2</c:v>
                </c:pt>
                <c:pt idx="1628">
                  <c:v>1.6659545290167443E-2</c:v>
                </c:pt>
                <c:pt idx="1629">
                  <c:v>1.665314110986138E-2</c:v>
                </c:pt>
                <c:pt idx="1630">
                  <c:v>1.6646786111493839E-2</c:v>
                </c:pt>
                <c:pt idx="1631">
                  <c:v>1.6640480295384563E-2</c:v>
                </c:pt>
                <c:pt idx="1632">
                  <c:v>1.6634223661293746E-2</c:v>
                </c:pt>
                <c:pt idx="1633">
                  <c:v>1.6628016209221386E-2</c:v>
                </c:pt>
                <c:pt idx="1634">
                  <c:v>1.662185793924742E-2</c:v>
                </c:pt>
                <c:pt idx="1635">
                  <c:v>1.6615748851371848E-2</c:v>
                </c:pt>
                <c:pt idx="1636">
                  <c:v>1.6609688945674606E-2</c:v>
                </c:pt>
                <c:pt idx="1637">
                  <c:v>1.6603678221835949E-2</c:v>
                </c:pt>
                <c:pt idx="1638">
                  <c:v>1.6597553645869567E-2</c:v>
                </c:pt>
                <c:pt idx="1639">
                  <c:v>1.6591804320693626E-2</c:v>
                </c:pt>
                <c:pt idx="1640">
                  <c:v>1.6585941143150151E-2</c:v>
                </c:pt>
                <c:pt idx="1641">
                  <c:v>1.658012714770507E-2</c:v>
                </c:pt>
                <c:pt idx="1642">
                  <c:v>1.657436233443832E-2</c:v>
                </c:pt>
                <c:pt idx="1643">
                  <c:v>1.6568646702950218E-2</c:v>
                </c:pt>
                <c:pt idx="1644">
                  <c:v>1.6562980253800319E-2</c:v>
                </c:pt>
                <c:pt idx="1645">
                  <c:v>1.6557362986588942E-2</c:v>
                </c:pt>
                <c:pt idx="1646">
                  <c:v>1.6551794901396022E-2</c:v>
                </c:pt>
                <c:pt idx="1647">
                  <c:v>1.6546275998301496E-2</c:v>
                </c:pt>
                <c:pt idx="1648">
                  <c:v>1.6540806277225428E-2</c:v>
                </c:pt>
                <c:pt idx="1649">
                  <c:v>1.6535385738247754E-2</c:v>
                </c:pt>
                <c:pt idx="1650">
                  <c:v>1.6530014381288538E-2</c:v>
                </c:pt>
                <c:pt idx="1651">
                  <c:v>1.652469220634778E-2</c:v>
                </c:pt>
                <c:pt idx="1652">
                  <c:v>1.6519419213505415E-2</c:v>
                </c:pt>
                <c:pt idx="1653">
                  <c:v>1.6514195402521636E-2</c:v>
                </c:pt>
                <c:pt idx="1654">
                  <c:v>1.6509020773796124E-2</c:v>
                </c:pt>
                <c:pt idx="1655">
                  <c:v>1.6503895326929197E-2</c:v>
                </c:pt>
                <c:pt idx="1656">
                  <c:v>1.6498819062160663E-2</c:v>
                </c:pt>
                <c:pt idx="1657">
                  <c:v>1.6493791979490524E-2</c:v>
                </c:pt>
                <c:pt idx="1658">
                  <c:v>1.6488814078758907E-2</c:v>
                </c:pt>
                <c:pt idx="1659">
                  <c:v>1.6483885360125683E-2</c:v>
                </c:pt>
                <c:pt idx="1660">
                  <c:v>1.6479005823351045E-2</c:v>
                </c:pt>
                <c:pt idx="1661">
                  <c:v>1.6474175468914609E-2</c:v>
                </c:pt>
                <c:pt idx="1662">
                  <c:v>1.6469394296256823E-2</c:v>
                </c:pt>
                <c:pt idx="1663">
                  <c:v>1.6464662305697431E-2</c:v>
                </c:pt>
                <c:pt idx="1664">
                  <c:v>1.6459979496996624E-2</c:v>
                </c:pt>
                <c:pt idx="1665">
                  <c:v>1.6455345870394211E-2</c:v>
                </c:pt>
                <c:pt idx="1666">
                  <c:v>1.6450761425890192E-2</c:v>
                </c:pt>
                <c:pt idx="1667">
                  <c:v>1.6446226163244759E-2</c:v>
                </c:pt>
                <c:pt idx="1668">
                  <c:v>1.6441740082777656E-2</c:v>
                </c:pt>
                <c:pt idx="1669">
                  <c:v>1.6437303184249075E-2</c:v>
                </c:pt>
                <c:pt idx="1670">
                  <c:v>1.6432915467659015E-2</c:v>
                </c:pt>
                <c:pt idx="1671">
                  <c:v>1.6428576933247285E-2</c:v>
                </c:pt>
                <c:pt idx="1672">
                  <c:v>1.6424287580774077E-2</c:v>
                </c:pt>
                <c:pt idx="1673">
                  <c:v>1.6420047410159455E-2</c:v>
                </c:pt>
                <c:pt idx="1674">
                  <c:v>1.6415856421563291E-2</c:v>
                </c:pt>
                <c:pt idx="1675">
                  <c:v>1.641171461506552E-2</c:v>
                </c:pt>
                <c:pt idx="1676">
                  <c:v>1.6407621990426335E-2</c:v>
                </c:pt>
                <c:pt idx="1677">
                  <c:v>1.6403578547965481E-2</c:v>
                </c:pt>
                <c:pt idx="1678">
                  <c:v>1.6399584287363211E-2</c:v>
                </c:pt>
                <c:pt idx="1679">
                  <c:v>1.63956392087794E-2</c:v>
                </c:pt>
                <c:pt idx="1680">
                  <c:v>1.6391743312134111E-2</c:v>
                </c:pt>
                <c:pt idx="1681">
                  <c:v>1.6387896597587215E-2</c:v>
                </c:pt>
                <c:pt idx="1682">
                  <c:v>1.6384099064978841E-2</c:v>
                </c:pt>
                <c:pt idx="1683">
                  <c:v>1.6380350714308989E-2</c:v>
                </c:pt>
                <c:pt idx="1684">
                  <c:v>1.6376651545737531E-2</c:v>
                </c:pt>
                <c:pt idx="1685">
                  <c:v>1.6373001558944722E-2</c:v>
                </c:pt>
                <c:pt idx="1686">
                  <c:v>1.6369400754250307E-2</c:v>
                </c:pt>
                <c:pt idx="1687">
                  <c:v>1.6365849131414478E-2</c:v>
                </c:pt>
                <c:pt idx="1688">
                  <c:v>1.6362346690677043E-2</c:v>
                </c:pt>
                <c:pt idx="1689">
                  <c:v>1.6359403454830002E-2</c:v>
                </c:pt>
                <c:pt idx="1690">
                  <c:v>1.6355489355017738E-2</c:v>
                </c:pt>
                <c:pt idx="1691">
                  <c:v>1.6352134460175805E-2</c:v>
                </c:pt>
                <c:pt idx="1692">
                  <c:v>1.6348828747352329E-2</c:v>
                </c:pt>
                <c:pt idx="1693">
                  <c:v>1.6345572216467374E-2</c:v>
                </c:pt>
                <c:pt idx="1694">
                  <c:v>1.6342199648109457E-2</c:v>
                </c:pt>
                <c:pt idx="1695">
                  <c:v>1.6339055247742706E-2</c:v>
                </c:pt>
                <c:pt idx="1696">
                  <c:v>1.6335960033764252E-2</c:v>
                </c:pt>
                <c:pt idx="1697">
                  <c:v>1.6332914006280674E-2</c:v>
                </c:pt>
                <c:pt idx="1698">
                  <c:v>1.6329917165318619E-2</c:v>
                </c:pt>
                <c:pt idx="1699">
                  <c:v>1.6326969510798151E-2</c:v>
                </c:pt>
                <c:pt idx="1700">
                  <c:v>1.6324071042772559E-2</c:v>
                </c:pt>
                <c:pt idx="1701">
                  <c:v>1.6321221761188554E-2</c:v>
                </c:pt>
                <c:pt idx="1702">
                  <c:v>1.631842166607278E-2</c:v>
                </c:pt>
                <c:pt idx="1703">
                  <c:v>1.6315670757398593E-2</c:v>
                </c:pt>
                <c:pt idx="1704">
                  <c:v>1.6312969035165992E-2</c:v>
                </c:pt>
                <c:pt idx="1705">
                  <c:v>1.6310316499401623E-2</c:v>
                </c:pt>
                <c:pt idx="1706">
                  <c:v>1.630771315013213E-2</c:v>
                </c:pt>
                <c:pt idx="1707">
                  <c:v>1.6305158987224289E-2</c:v>
                </c:pt>
                <c:pt idx="1708">
                  <c:v>1.6302654010784678E-2</c:v>
                </c:pt>
                <c:pt idx="1709">
                  <c:v>1.6300198220760009E-2</c:v>
                </c:pt>
                <c:pt idx="1710">
                  <c:v>1.6297791617176927E-2</c:v>
                </c:pt>
                <c:pt idx="1711">
                  <c:v>1.6295434200062076E-2</c:v>
                </c:pt>
                <c:pt idx="1712">
                  <c:v>1.629312596933552E-2</c:v>
                </c:pt>
                <c:pt idx="1713">
                  <c:v>1.6290861498058362E-2</c:v>
                </c:pt>
                <c:pt idx="1714">
                  <c:v>1.6288622696087884E-2</c:v>
                </c:pt>
                <c:pt idx="1715">
                  <c:v>1.6286407754497745E-2</c:v>
                </c:pt>
                <c:pt idx="1716">
                  <c:v>1.6284216673234653E-2</c:v>
                </c:pt>
                <c:pt idx="1717">
                  <c:v>1.6282049452271963E-2</c:v>
                </c:pt>
                <c:pt idx="1718">
                  <c:v>1.6279906091689611E-2</c:v>
                </c:pt>
                <c:pt idx="1719">
                  <c:v>1.6277786591434307E-2</c:v>
                </c:pt>
                <c:pt idx="1720">
                  <c:v>1.6275690951532695E-2</c:v>
                </c:pt>
                <c:pt idx="1721">
                  <c:v>1.6273619171931486E-2</c:v>
                </c:pt>
                <c:pt idx="1722">
                  <c:v>1.627157125268397E-2</c:v>
                </c:pt>
                <c:pt idx="1723">
                  <c:v>1.6269547193790146E-2</c:v>
                </c:pt>
                <c:pt idx="1724">
                  <c:v>1.6267546995196724E-2</c:v>
                </c:pt>
                <c:pt idx="1725">
                  <c:v>1.6265570656983641E-2</c:v>
                </c:pt>
                <c:pt idx="1726">
                  <c:v>1.6263618179017669E-2</c:v>
                </c:pt>
                <c:pt idx="1727">
                  <c:v>1.6261689561432036E-2</c:v>
                </c:pt>
                <c:pt idx="1728">
                  <c:v>1.62587430720329E-2</c:v>
                </c:pt>
                <c:pt idx="1729">
                  <c:v>1.6256636611027275E-2</c:v>
                </c:pt>
                <c:pt idx="1730">
                  <c:v>1.6254786558755896E-2</c:v>
                </c:pt>
                <c:pt idx="1731">
                  <c:v>1.62529603646E-2</c:v>
                </c:pt>
                <c:pt idx="1732">
                  <c:v>1.6251158028559587E-2</c:v>
                </c:pt>
                <c:pt idx="1733">
                  <c:v>1.6249379550794529E-2</c:v>
                </c:pt>
                <c:pt idx="1734">
                  <c:v>1.6247624930985083E-2</c:v>
                </c:pt>
                <c:pt idx="1735">
                  <c:v>1.6245894169450992E-2</c:v>
                </c:pt>
                <c:pt idx="1736">
                  <c:v>1.624418726611232E-2</c:v>
                </c:pt>
                <c:pt idx="1737">
                  <c:v>1.6242504220809195E-2</c:v>
                </c:pt>
                <c:pt idx="1738">
                  <c:v>1.6240845033621554E-2</c:v>
                </c:pt>
                <c:pt idx="1739">
                  <c:v>1.6239209704709268E-2</c:v>
                </c:pt>
                <c:pt idx="1740">
                  <c:v>1.6237598233912465E-2</c:v>
                </c:pt>
                <c:pt idx="1741">
                  <c:v>1.6236010621311081E-2</c:v>
                </c:pt>
                <c:pt idx="1742">
                  <c:v>1.6234446866745245E-2</c:v>
                </c:pt>
                <c:pt idx="1743">
                  <c:v>1.6232906970374827E-2</c:v>
                </c:pt>
                <c:pt idx="1744">
                  <c:v>1.6230962160381779E-2</c:v>
                </c:pt>
                <c:pt idx="1745">
                  <c:v>1.6229898752060379E-2</c:v>
                </c:pt>
                <c:pt idx="1746">
                  <c:v>1.6228430430036411E-2</c:v>
                </c:pt>
                <c:pt idx="1747">
                  <c:v>1.6226985966287799E-2</c:v>
                </c:pt>
                <c:pt idx="1748">
                  <c:v>1.622556536065467E-2</c:v>
                </c:pt>
                <c:pt idx="1749">
                  <c:v>1.6224168613137024E-2</c:v>
                </c:pt>
                <c:pt idx="1750">
                  <c:v>1.6222795723814798E-2</c:v>
                </c:pt>
                <c:pt idx="1751">
                  <c:v>1.6221446692528119E-2</c:v>
                </c:pt>
                <c:pt idx="1752">
                  <c:v>1.6220121519516795E-2</c:v>
                </c:pt>
                <c:pt idx="1753">
                  <c:v>1.6218820204541018E-2</c:v>
                </c:pt>
                <c:pt idx="1754">
                  <c:v>1.621754274776066E-2</c:v>
                </c:pt>
                <c:pt idx="1755">
                  <c:v>1.6216289149095786E-2</c:v>
                </c:pt>
                <c:pt idx="1756">
                  <c:v>1.6215059408546395E-2</c:v>
                </c:pt>
                <c:pt idx="1757">
                  <c:v>1.6213853526192423E-2</c:v>
                </c:pt>
                <c:pt idx="1758">
                  <c:v>1.6212671501953935E-2</c:v>
                </c:pt>
                <c:pt idx="1759">
                  <c:v>1.6211513335910865E-2</c:v>
                </c:pt>
                <c:pt idx="1760">
                  <c:v>1.6210379027983279E-2</c:v>
                </c:pt>
                <c:pt idx="1761">
                  <c:v>1.6209268578171177E-2</c:v>
                </c:pt>
                <c:pt idx="1762">
                  <c:v>1.6208181986474557E-2</c:v>
                </c:pt>
                <c:pt idx="1763">
                  <c:v>1.6207119252973357E-2</c:v>
                </c:pt>
                <c:pt idx="1764">
                  <c:v>1.6206080377507703E-2</c:v>
                </c:pt>
                <c:pt idx="1765">
                  <c:v>1.6205065360397342E-2</c:v>
                </c:pt>
                <c:pt idx="1766">
                  <c:v>1.6204074201242591E-2</c:v>
                </c:pt>
                <c:pt idx="1767">
                  <c:v>1.620310690028326E-2</c:v>
                </c:pt>
                <c:pt idx="1768">
                  <c:v>1.6202163457519347E-2</c:v>
                </c:pt>
                <c:pt idx="1769">
                  <c:v>1.6201243872790982E-2</c:v>
                </c:pt>
                <c:pt idx="1770">
                  <c:v>1.6200348146337973E-2</c:v>
                </c:pt>
                <c:pt idx="1771">
                  <c:v>1.6199476277840574E-2</c:v>
                </c:pt>
                <c:pt idx="1772">
                  <c:v>1.6198628267618531E-2</c:v>
                </c:pt>
                <c:pt idx="1773">
                  <c:v>1.6197804115432035E-2</c:v>
                </c:pt>
                <c:pt idx="1774">
                  <c:v>1.6197003821440958E-2</c:v>
                </c:pt>
                <c:pt idx="1775">
                  <c:v>1.6196227385645301E-2</c:v>
                </c:pt>
                <c:pt idx="1776">
                  <c:v>1.6195474807885191E-2</c:v>
                </c:pt>
                <c:pt idx="1777">
                  <c:v>1.6194746088400436E-2</c:v>
                </c:pt>
                <c:pt idx="1778">
                  <c:v>1.6194041227031164E-2</c:v>
                </c:pt>
                <c:pt idx="1779">
                  <c:v>1.6193360223697439E-2</c:v>
                </c:pt>
                <c:pt idx="1780">
                  <c:v>1.6192929592047101E-2</c:v>
                </c:pt>
                <c:pt idx="1781">
                  <c:v>1.6191981269466638E-2</c:v>
                </c:pt>
                <c:pt idx="1782">
                  <c:v>1.6191375248952866E-2</c:v>
                </c:pt>
                <c:pt idx="1783">
                  <c:v>1.6190793086474642E-2</c:v>
                </c:pt>
                <c:pt idx="1784">
                  <c:v>1.6190234782191837E-2</c:v>
                </c:pt>
                <c:pt idx="1785">
                  <c:v>1.6189700336104451E-2</c:v>
                </c:pt>
                <c:pt idx="1786">
                  <c:v>1.6189189747972677E-2</c:v>
                </c:pt>
                <c:pt idx="1787">
                  <c:v>1.6188703018116257E-2</c:v>
                </c:pt>
                <c:pt idx="1788">
                  <c:v>1.6188240146375321E-2</c:v>
                </c:pt>
                <c:pt idx="1789">
                  <c:v>1.6187801132749868E-2</c:v>
                </c:pt>
                <c:pt idx="1790">
                  <c:v>1.6187385977319835E-2</c:v>
                </c:pt>
                <c:pt idx="1791">
                  <c:v>1.6186994679925348E-2</c:v>
                </c:pt>
                <c:pt idx="1792">
                  <c:v>1.6186627240726281E-2</c:v>
                </c:pt>
                <c:pt idx="1793">
                  <c:v>1.6186283659722633E-2</c:v>
                </c:pt>
                <c:pt idx="1794">
                  <c:v>1.6185876969441182E-2</c:v>
                </c:pt>
                <c:pt idx="1795">
                  <c:v>1.6185587921215827E-2</c:v>
                </c:pt>
                <c:pt idx="1796">
                  <c:v>1.6185322731185892E-2</c:v>
                </c:pt>
                <c:pt idx="1797">
                  <c:v>1.6185744654748646E-2</c:v>
                </c:pt>
                <c:pt idx="1798">
                  <c:v>1.618486392547247E-2</c:v>
                </c:pt>
                <c:pt idx="1799">
                  <c:v>1.618467030986892E-2</c:v>
                </c:pt>
                <c:pt idx="1800">
                  <c:v>1.6184500552300918E-2</c:v>
                </c:pt>
                <c:pt idx="1801">
                  <c:v>1.618435465300827E-2</c:v>
                </c:pt>
                <c:pt idx="1802">
                  <c:v>1.618423261175117E-2</c:v>
                </c:pt>
                <c:pt idx="1803">
                  <c:v>1.6184134428609553E-2</c:v>
                </c:pt>
                <c:pt idx="1804">
                  <c:v>1.618406010358342E-2</c:v>
                </c:pt>
                <c:pt idx="1805">
                  <c:v>1.6184009636752705E-2</c:v>
                </c:pt>
                <c:pt idx="1806">
                  <c:v>1.618398302811741E-2</c:v>
                </c:pt>
                <c:pt idx="1807">
                  <c:v>1.6183980277597598E-2</c:v>
                </c:pt>
                <c:pt idx="1808">
                  <c:v>1.618400138519327E-2</c:v>
                </c:pt>
                <c:pt idx="1809">
                  <c:v>1.6184046350824488E-2</c:v>
                </c:pt>
                <c:pt idx="1810">
                  <c:v>1.6184115174651126E-2</c:v>
                </c:pt>
                <c:pt idx="1811">
                  <c:v>1.6184207856673183E-2</c:v>
                </c:pt>
                <c:pt idx="1812">
                  <c:v>1.6184324396810723E-2</c:v>
                </c:pt>
                <c:pt idx="1813">
                  <c:v>1.6184464795063747E-2</c:v>
                </c:pt>
                <c:pt idx="1814">
                  <c:v>1.6184629051512189E-2</c:v>
                </c:pt>
                <c:pt idx="1815">
                  <c:v>1.6184817166076115E-2</c:v>
                </c:pt>
                <c:pt idx="1816">
                  <c:v>1.6185029138755525E-2</c:v>
                </c:pt>
                <c:pt idx="1817">
                  <c:v>1.6185264969470481E-2</c:v>
                </c:pt>
                <c:pt idx="1818">
                  <c:v>1.6185524658460793E-2</c:v>
                </c:pt>
                <c:pt idx="1819">
                  <c:v>1.6185808205486651E-2</c:v>
                </c:pt>
                <c:pt idx="1820">
                  <c:v>1.618611561070793E-2</c:v>
                </c:pt>
                <c:pt idx="1821">
                  <c:v>1.6186446874044691E-2</c:v>
                </c:pt>
                <c:pt idx="1822">
                  <c:v>1.6186801995576872E-2</c:v>
                </c:pt>
                <c:pt idx="1823">
                  <c:v>1.6187180975224535E-2</c:v>
                </c:pt>
                <c:pt idx="1824">
                  <c:v>1.6187583812987683E-2</c:v>
                </c:pt>
                <c:pt idx="1825">
                  <c:v>1.6188010508786377E-2</c:v>
                </c:pt>
                <c:pt idx="1826">
                  <c:v>1.618846106278049E-2</c:v>
                </c:pt>
                <c:pt idx="1827">
                  <c:v>1.6188935474970023E-2</c:v>
                </c:pt>
                <c:pt idx="1828">
                  <c:v>1.6189433745275039E-2</c:v>
                </c:pt>
                <c:pt idx="1829">
                  <c:v>1.6189955873695538E-2</c:v>
                </c:pt>
                <c:pt idx="1830">
                  <c:v>1.6190501860311457E-2</c:v>
                </c:pt>
                <c:pt idx="1831">
                  <c:v>1.6191408042320887E-2</c:v>
                </c:pt>
                <c:pt idx="1832">
                  <c:v>1.6192567858377416E-2</c:v>
                </c:pt>
                <c:pt idx="1833">
                  <c:v>1.6192282968852112E-2</c:v>
                </c:pt>
                <c:pt idx="1834">
                  <c:v>1.6192924388089835E-2</c:v>
                </c:pt>
                <c:pt idx="1835">
                  <c:v>1.619358966528317E-2</c:v>
                </c:pt>
                <c:pt idx="1836">
                  <c:v>1.6194278800671924E-2</c:v>
                </c:pt>
                <c:pt idx="1837">
                  <c:v>1.6194991794256097E-2</c:v>
                </c:pt>
                <c:pt idx="1838">
                  <c:v>1.6195728645875818E-2</c:v>
                </c:pt>
                <c:pt idx="1839">
                  <c:v>1.6196489355770893E-2</c:v>
                </c:pt>
                <c:pt idx="1840">
                  <c:v>1.6197273923701516E-2</c:v>
                </c:pt>
                <c:pt idx="1841">
                  <c:v>1.6198082349827558E-2</c:v>
                </c:pt>
                <c:pt idx="1842">
                  <c:v>1.6198914633989148E-2</c:v>
                </c:pt>
                <c:pt idx="1843">
                  <c:v>1.6199770776426092E-2</c:v>
                </c:pt>
                <c:pt idx="1844">
                  <c:v>1.6202365303515265E-2</c:v>
                </c:pt>
                <c:pt idx="1845">
                  <c:v>1.6201554635486559E-2</c:v>
                </c:pt>
                <c:pt idx="1846">
                  <c:v>1.620248235234989E-2</c:v>
                </c:pt>
                <c:pt idx="1847">
                  <c:v>1.6203433927328703E-2</c:v>
                </c:pt>
                <c:pt idx="1848">
                  <c:v>1.6204409360263128E-2</c:v>
                </c:pt>
                <c:pt idx="1849">
                  <c:v>1.6206720486173776E-2</c:v>
                </c:pt>
                <c:pt idx="1850">
                  <c:v>1.6206431800878107E-2</c:v>
                </c:pt>
                <c:pt idx="1851">
                  <c:v>1.6207478808318854E-2</c:v>
                </c:pt>
                <c:pt idx="1852">
                  <c:v>1.6208549673955019E-2</c:v>
                </c:pt>
                <c:pt idx="1853">
                  <c:v>1.6209644397866541E-2</c:v>
                </c:pt>
                <c:pt idx="1854">
                  <c:v>1.6210762979653737E-2</c:v>
                </c:pt>
                <c:pt idx="1855">
                  <c:v>1.6211905419716288E-2</c:v>
                </c:pt>
                <c:pt idx="1856">
                  <c:v>1.6213071717894323E-2</c:v>
                </c:pt>
                <c:pt idx="1857">
                  <c:v>1.6214261874267777E-2</c:v>
                </c:pt>
                <c:pt idx="1858">
                  <c:v>1.6215475888756714E-2</c:v>
                </c:pt>
                <c:pt idx="1859">
                  <c:v>1.6216713761361135E-2</c:v>
                </c:pt>
                <c:pt idx="1860">
                  <c:v>1.6217975492001102E-2</c:v>
                </c:pt>
                <c:pt idx="1861">
                  <c:v>1.6219261081076297E-2</c:v>
                </c:pt>
                <c:pt idx="1862">
                  <c:v>1.6220570528027167E-2</c:v>
                </c:pt>
                <c:pt idx="1863">
                  <c:v>1.6221903833253393E-2</c:v>
                </c:pt>
                <c:pt idx="1864">
                  <c:v>1.6223260996595101E-2</c:v>
                </c:pt>
                <c:pt idx="1865">
                  <c:v>1.6224642017972357E-2</c:v>
                </c:pt>
                <c:pt idx="1866">
                  <c:v>1.6226046897704904E-2</c:v>
                </c:pt>
                <c:pt idx="1867">
                  <c:v>1.6227475635472999E-2</c:v>
                </c:pt>
                <c:pt idx="1868">
                  <c:v>1.6228928231356576E-2</c:v>
                </c:pt>
                <c:pt idx="1869">
                  <c:v>1.6230404685355637E-2</c:v>
                </c:pt>
                <c:pt idx="1870">
                  <c:v>1.6231904997630053E-2</c:v>
                </c:pt>
                <c:pt idx="1871">
                  <c:v>1.6233429167940017E-2</c:v>
                </c:pt>
                <c:pt idx="1872">
                  <c:v>1.6234977196445399E-2</c:v>
                </c:pt>
                <c:pt idx="1873">
                  <c:v>1.6236549083066265E-2</c:v>
                </c:pt>
                <c:pt idx="1874">
                  <c:v>1.623814482788255E-2</c:v>
                </c:pt>
                <c:pt idx="1875">
                  <c:v>1.6239764430814319E-2</c:v>
                </c:pt>
                <c:pt idx="1876">
                  <c:v>1.6241407891781634E-2</c:v>
                </c:pt>
                <c:pt idx="1877">
                  <c:v>1.6243075211024305E-2</c:v>
                </c:pt>
                <c:pt idx="1878">
                  <c:v>1.6244766388462395E-2</c:v>
                </c:pt>
                <c:pt idx="1879">
                  <c:v>1.6246481423936032E-2</c:v>
                </c:pt>
                <c:pt idx="1880">
                  <c:v>1.6248220317605089E-2</c:v>
                </c:pt>
                <c:pt idx="1881">
                  <c:v>1.6249983069469565E-2</c:v>
                </c:pt>
                <c:pt idx="1882">
                  <c:v>1.6251769679449524E-2</c:v>
                </c:pt>
                <c:pt idx="1883">
                  <c:v>1.6255072344690813E-2</c:v>
                </c:pt>
                <c:pt idx="1884">
                  <c:v>1.625691203259283E-2</c:v>
                </c:pt>
                <c:pt idx="1885">
                  <c:v>1.6257272658242172E-2</c:v>
                </c:pt>
                <c:pt idx="1886">
                  <c:v>1.6259154700764E-2</c:v>
                </c:pt>
                <c:pt idx="1887">
                  <c:v>1.6261060601481248E-2</c:v>
                </c:pt>
                <c:pt idx="1888">
                  <c:v>1.6262990360393914E-2</c:v>
                </c:pt>
                <c:pt idx="1889">
                  <c:v>1.6264943977422064E-2</c:v>
                </c:pt>
                <c:pt idx="1890">
                  <c:v>1.6266921452485761E-2</c:v>
                </c:pt>
                <c:pt idx="1891">
                  <c:v>1.6268922785744877E-2</c:v>
                </c:pt>
                <c:pt idx="1892">
                  <c:v>1.6270947977279349E-2</c:v>
                </c:pt>
                <c:pt idx="1893">
                  <c:v>1.6272997026929303E-2</c:v>
                </c:pt>
                <c:pt idx="1894">
                  <c:v>1.6275069934774677E-2</c:v>
                </c:pt>
                <c:pt idx="1895">
                  <c:v>1.6277166700655599E-2</c:v>
                </c:pt>
                <c:pt idx="1896">
                  <c:v>1.6279287324731939E-2</c:v>
                </c:pt>
                <c:pt idx="1897">
                  <c:v>1.6281431807003699E-2</c:v>
                </c:pt>
                <c:pt idx="1898">
                  <c:v>1.6283600147390942E-2</c:v>
                </c:pt>
                <c:pt idx="1899">
                  <c:v>1.6287897221815228E-2</c:v>
                </c:pt>
                <c:pt idx="1900">
                  <c:v>1.6288008402591814E-2</c:v>
                </c:pt>
                <c:pt idx="1901">
                  <c:v>1.6290248317485378E-2</c:v>
                </c:pt>
                <c:pt idx="1902">
                  <c:v>1.6292512090574363E-2</c:v>
                </c:pt>
                <c:pt idx="1903">
                  <c:v>1.629479972177883E-2</c:v>
                </c:pt>
                <c:pt idx="1904">
                  <c:v>1.629711121109878E-2</c:v>
                </c:pt>
                <c:pt idx="1905">
                  <c:v>1.629944655861415E-2</c:v>
                </c:pt>
                <c:pt idx="1906">
                  <c:v>1.6301805764245003E-2</c:v>
                </c:pt>
                <c:pt idx="1907">
                  <c:v>1.6304188828071275E-2</c:v>
                </c:pt>
                <c:pt idx="1908">
                  <c:v>1.6306595750013031E-2</c:v>
                </c:pt>
                <c:pt idx="1909">
                  <c:v>1.6309026530150206E-2</c:v>
                </c:pt>
                <c:pt idx="1910">
                  <c:v>1.63114811684828E-2</c:v>
                </c:pt>
                <c:pt idx="1911">
                  <c:v>1.6313959664850941E-2</c:v>
                </c:pt>
                <c:pt idx="1912">
                  <c:v>1.6316462019574374E-2</c:v>
                </c:pt>
                <c:pt idx="1913">
                  <c:v>1.6318988232333353E-2</c:v>
                </c:pt>
                <c:pt idx="1914">
                  <c:v>1.6321538303287753E-2</c:v>
                </c:pt>
                <c:pt idx="1915">
                  <c:v>1.6324112232437571E-2</c:v>
                </c:pt>
                <c:pt idx="1916">
                  <c:v>1.6326710019622936E-2</c:v>
                </c:pt>
                <c:pt idx="1917">
                  <c:v>1.6329331665163593E-2</c:v>
                </c:pt>
                <c:pt idx="1918">
                  <c:v>1.6331977168659861E-2</c:v>
                </c:pt>
                <c:pt idx="1919">
                  <c:v>1.6334646530431485E-2</c:v>
                </c:pt>
                <c:pt idx="1920">
                  <c:v>1.6337339750398527E-2</c:v>
                </c:pt>
                <c:pt idx="1921">
                  <c:v>1.6340056828481053E-2</c:v>
                </c:pt>
                <c:pt idx="1922">
                  <c:v>1.6342797764679062E-2</c:v>
                </c:pt>
                <c:pt idx="1923">
                  <c:v>1.6345562559232363E-2</c:v>
                </c:pt>
                <c:pt idx="1924">
                  <c:v>1.634835121182121E-2</c:v>
                </c:pt>
                <c:pt idx="1925">
                  <c:v>1.6351163722605477E-2</c:v>
                </c:pt>
                <c:pt idx="1926">
                  <c:v>1.6354000091505227E-2</c:v>
                </c:pt>
                <c:pt idx="1927">
                  <c:v>1.6356860318600397E-2</c:v>
                </c:pt>
                <c:pt idx="1928">
                  <c:v>1.635974440381105E-2</c:v>
                </c:pt>
                <c:pt idx="1929">
                  <c:v>1.6362652347217121E-2</c:v>
                </c:pt>
                <c:pt idx="1930">
                  <c:v>1.6365584148978485E-2</c:v>
                </c:pt>
                <c:pt idx="1931">
                  <c:v>1.6368539808695459E-2</c:v>
                </c:pt>
                <c:pt idx="1932">
                  <c:v>1.6371519326687789E-2</c:v>
                </c:pt>
                <c:pt idx="1933">
                  <c:v>1.6374522702795602E-2</c:v>
                </c:pt>
                <c:pt idx="1934">
                  <c:v>1.6377549937098834E-2</c:v>
                </c:pt>
                <c:pt idx="1935">
                  <c:v>1.6380601029597486E-2</c:v>
                </c:pt>
                <c:pt idx="1936">
                  <c:v>1.6383675980291557E-2</c:v>
                </c:pt>
                <c:pt idx="1937">
                  <c:v>1.6386774789021175E-2</c:v>
                </c:pt>
                <c:pt idx="1938">
                  <c:v>1.6389897456106084E-2</c:v>
                </c:pt>
                <c:pt idx="1939">
                  <c:v>1.639304398122654E-2</c:v>
                </c:pt>
                <c:pt idx="1940">
                  <c:v>1.6396214364702288E-2</c:v>
                </c:pt>
                <c:pt idx="1941">
                  <c:v>1.6399408606213584E-2</c:v>
                </c:pt>
                <c:pt idx="1942">
                  <c:v>1.6402626706000234E-2</c:v>
                </c:pt>
                <c:pt idx="1943">
                  <c:v>1.6405868663742496E-2</c:v>
                </c:pt>
                <c:pt idx="1944">
                  <c:v>1.6409134479999921E-2</c:v>
                </c:pt>
                <c:pt idx="1945">
                  <c:v>1.6412424154133021E-2</c:v>
                </c:pt>
                <c:pt idx="1946">
                  <c:v>1.6415737686621412E-2</c:v>
                </c:pt>
                <c:pt idx="1947">
                  <c:v>1.6419075077305223E-2</c:v>
                </c:pt>
                <c:pt idx="1948">
                  <c:v>1.6422436326024581E-2</c:v>
                </c:pt>
                <c:pt idx="1949">
                  <c:v>1.642582143309923E-2</c:v>
                </c:pt>
                <c:pt idx="1950">
                  <c:v>1.6431709057822985E-2</c:v>
                </c:pt>
                <c:pt idx="1951">
                  <c:v>1.6432663221594979E-2</c:v>
                </c:pt>
                <c:pt idx="1952">
                  <c:v>1.643611990317595E-2</c:v>
                </c:pt>
                <c:pt idx="1953">
                  <c:v>1.6439600442872404E-2</c:v>
                </c:pt>
                <c:pt idx="1954">
                  <c:v>1.6443104840764278E-2</c:v>
                </c:pt>
                <c:pt idx="1955">
                  <c:v>1.6446633096931507E-2</c:v>
                </c:pt>
                <c:pt idx="1956">
                  <c:v>1.6450185211214219E-2</c:v>
                </c:pt>
                <c:pt idx="1957">
                  <c:v>1.645376118369235E-2</c:v>
                </c:pt>
                <c:pt idx="1958">
                  <c:v>1.6457361014445837E-2</c:v>
                </c:pt>
                <c:pt idx="1959">
                  <c:v>1.6460984703234871E-2</c:v>
                </c:pt>
                <c:pt idx="1960">
                  <c:v>1.646463225029926E-2</c:v>
                </c:pt>
                <c:pt idx="1961">
                  <c:v>1.6468303655559069E-2</c:v>
                </c:pt>
                <c:pt idx="1962">
                  <c:v>1.6471998918934361E-2</c:v>
                </c:pt>
                <c:pt idx="1963">
                  <c:v>1.6475718040585008E-2</c:v>
                </c:pt>
                <c:pt idx="1964">
                  <c:v>1.6479461020431074E-2</c:v>
                </c:pt>
                <c:pt idx="1965">
                  <c:v>1.6483227858392624E-2</c:v>
                </c:pt>
                <c:pt idx="1966">
                  <c:v>1.6487018554629529E-2</c:v>
                </c:pt>
                <c:pt idx="1967">
                  <c:v>1.6490833108981917E-2</c:v>
                </c:pt>
                <c:pt idx="1968">
                  <c:v>1.6494671521609661E-2</c:v>
                </c:pt>
                <c:pt idx="1969">
                  <c:v>1.6498533792432823E-2</c:v>
                </c:pt>
                <c:pt idx="1970">
                  <c:v>1.6502419921451406E-2</c:v>
                </c:pt>
                <c:pt idx="1971">
                  <c:v>1.6506329908745343E-2</c:v>
                </c:pt>
                <c:pt idx="1972">
                  <c:v>1.6510263753994892E-2</c:v>
                </c:pt>
                <c:pt idx="1973">
                  <c:v>1.6514214813874162E-2</c:v>
                </c:pt>
                <c:pt idx="1974">
                  <c:v>1.6518143584143274E-2</c:v>
                </c:pt>
                <c:pt idx="1975">
                  <c:v>1.6522043420996724E-2</c:v>
                </c:pt>
                <c:pt idx="1976">
                  <c:v>1.6525914324514446E-2</c:v>
                </c:pt>
                <c:pt idx="1977">
                  <c:v>1.652975629469644E-2</c:v>
                </c:pt>
                <c:pt idx="1978">
                  <c:v>1.6533569331462772E-2</c:v>
                </c:pt>
                <c:pt idx="1979">
                  <c:v>1.6537353435053248E-2</c:v>
                </c:pt>
                <c:pt idx="1980">
                  <c:v>1.6541108605228061E-2</c:v>
                </c:pt>
                <c:pt idx="1981">
                  <c:v>1.6544834841907274E-2</c:v>
                </c:pt>
                <c:pt idx="1982">
                  <c:v>1.6548532145250761E-2</c:v>
                </c:pt>
                <c:pt idx="1983">
                  <c:v>1.6552200515338455E-2</c:v>
                </c:pt>
                <c:pt idx="1984">
                  <c:v>1.6555839952010487E-2</c:v>
                </c:pt>
                <c:pt idx="1985">
                  <c:v>1.6559450455346791E-2</c:v>
                </c:pt>
                <c:pt idx="1986">
                  <c:v>1.6563032025267432E-2</c:v>
                </c:pt>
                <c:pt idx="1987">
                  <c:v>1.6566584661932282E-2</c:v>
                </c:pt>
                <c:pt idx="1988">
                  <c:v>1.6572503692837692E-2</c:v>
                </c:pt>
                <c:pt idx="1989">
                  <c:v>1.6575359244646037E-2</c:v>
                </c:pt>
                <c:pt idx="1990">
                  <c:v>1.6578817132888446E-2</c:v>
                </c:pt>
                <c:pt idx="1991">
                  <c:v>1.6582246085157237E-2</c:v>
                </c:pt>
                <c:pt idx="1992">
                  <c:v>1.6585646101452411E-2</c:v>
                </c:pt>
                <c:pt idx="1993">
                  <c:v>1.6589017181773968E-2</c:v>
                </c:pt>
                <c:pt idx="1994">
                  <c:v>1.6592359326148554E-2</c:v>
                </c:pt>
                <c:pt idx="1995">
                  <c:v>1.6595672534496231E-2</c:v>
                </c:pt>
                <c:pt idx="1996">
                  <c:v>1.6598956806923582E-2</c:v>
                </c:pt>
                <c:pt idx="1997">
                  <c:v>1.6602212143324024E-2</c:v>
                </c:pt>
                <c:pt idx="1998">
                  <c:v>1.660543854375085E-2</c:v>
                </c:pt>
                <c:pt idx="1999">
                  <c:v>1.6608636008204058E-2</c:v>
                </c:pt>
                <c:pt idx="2000">
                  <c:v>1.6612387217280755E-2</c:v>
                </c:pt>
                <c:pt idx="2001">
                  <c:v>1.6614944129136333E-2</c:v>
                </c:pt>
                <c:pt idx="2002">
                  <c:v>1.6618054785588754E-2</c:v>
                </c:pt>
                <c:pt idx="2003">
                  <c:v>1.6621136506067558E-2</c:v>
                </c:pt>
                <c:pt idx="2004">
                  <c:v>1.6624189290572744E-2</c:v>
                </c:pt>
                <c:pt idx="2005">
                  <c:v>1.6627213139051022E-2</c:v>
                </c:pt>
                <c:pt idx="2006">
                  <c:v>1.6630208051555684E-2</c:v>
                </c:pt>
                <c:pt idx="2007">
                  <c:v>1.6633174028033437E-2</c:v>
                </c:pt>
                <c:pt idx="2008">
                  <c:v>1.6636111068484283E-2</c:v>
                </c:pt>
                <c:pt idx="2009">
                  <c:v>1.6639019172961511E-2</c:v>
                </c:pt>
                <c:pt idx="2010">
                  <c:v>1.6641898341411832E-2</c:v>
                </c:pt>
                <c:pt idx="2011">
                  <c:v>1.6644748573888535E-2</c:v>
                </c:pt>
                <c:pt idx="2012">
                  <c:v>1.6647569870311685E-2</c:v>
                </c:pt>
                <c:pt idx="2013">
                  <c:v>1.6650362230707927E-2</c:v>
                </c:pt>
                <c:pt idx="2014">
                  <c:v>1.6653125655103906E-2</c:v>
                </c:pt>
                <c:pt idx="2015">
                  <c:v>1.6655860143472978E-2</c:v>
                </c:pt>
                <c:pt idx="2016">
                  <c:v>1.6658565695841787E-2</c:v>
                </c:pt>
                <c:pt idx="2017">
                  <c:v>1.6661242312157043E-2</c:v>
                </c:pt>
                <c:pt idx="2018">
                  <c:v>1.6663889992472036E-2</c:v>
                </c:pt>
                <c:pt idx="2019">
                  <c:v>1.6666508736733476E-2</c:v>
                </c:pt>
                <c:pt idx="2020">
                  <c:v>1.6669098544994654E-2</c:v>
                </c:pt>
                <c:pt idx="2021">
                  <c:v>1.6671659417228923E-2</c:v>
                </c:pt>
                <c:pt idx="2022">
                  <c:v>1.6674191353382994E-2</c:v>
                </c:pt>
                <c:pt idx="2023">
                  <c:v>1.6676694353510157E-2</c:v>
                </c:pt>
                <c:pt idx="2024">
                  <c:v>1.6679168417637058E-2</c:v>
                </c:pt>
                <c:pt idx="2025">
                  <c:v>1.6681613545710405E-2</c:v>
                </c:pt>
                <c:pt idx="2026">
                  <c:v>1.6684029737730199E-2</c:v>
                </c:pt>
                <c:pt idx="2027">
                  <c:v>1.668641699369644E-2</c:v>
                </c:pt>
                <c:pt idx="2028">
                  <c:v>1.6688775313635773E-2</c:v>
                </c:pt>
                <c:pt idx="2029">
                  <c:v>1.6691104697521553E-2</c:v>
                </c:pt>
                <c:pt idx="2030">
                  <c:v>1.669340514540707E-2</c:v>
                </c:pt>
                <c:pt idx="2031">
                  <c:v>1.6695676657185743E-2</c:v>
                </c:pt>
                <c:pt idx="2032">
                  <c:v>1.6697919232937508E-2</c:v>
                </c:pt>
                <c:pt idx="2033">
                  <c:v>1.670013287263572E-2</c:v>
                </c:pt>
                <c:pt idx="2034">
                  <c:v>1.6702317576253733E-2</c:v>
                </c:pt>
                <c:pt idx="2035">
                  <c:v>1.6704473343844839E-2</c:v>
                </c:pt>
                <c:pt idx="2036">
                  <c:v>1.6706600175382391E-2</c:v>
                </c:pt>
                <c:pt idx="2037">
                  <c:v>1.670869807086639E-2</c:v>
                </c:pt>
                <c:pt idx="2038">
                  <c:v>1.6710767030243545E-2</c:v>
                </c:pt>
                <c:pt idx="2039">
                  <c:v>1.6712807053593792E-2</c:v>
                </c:pt>
                <c:pt idx="2040">
                  <c:v>1.6715141452880999E-2</c:v>
                </c:pt>
                <c:pt idx="2041">
                  <c:v>1.6716585257077199E-2</c:v>
                </c:pt>
                <c:pt idx="2042">
                  <c:v>1.6718530024144584E-2</c:v>
                </c:pt>
                <c:pt idx="2043">
                  <c:v>1.6720445857876243E-2</c:v>
                </c:pt>
                <c:pt idx="2044">
                  <c:v>1.6722332758112302E-2</c:v>
                </c:pt>
                <c:pt idx="2045">
                  <c:v>1.6724190724932697E-2</c:v>
                </c:pt>
                <c:pt idx="2046">
                  <c:v>1.6726019758417365E-2</c:v>
                </c:pt>
                <c:pt idx="2047">
                  <c:v>1.6727819858566306E-2</c:v>
                </c:pt>
                <c:pt idx="2048">
                  <c:v>1.6729591025299584E-2</c:v>
                </c:pt>
                <c:pt idx="2049">
                  <c:v>1.6731333258537262E-2</c:v>
                </c:pt>
                <c:pt idx="2050">
                  <c:v>1.6733046558279341E-2</c:v>
                </c:pt>
                <c:pt idx="2051">
                  <c:v>1.6734730924765628E-2</c:v>
                </c:pt>
                <c:pt idx="2052">
                  <c:v>1.6736386357836253E-2</c:v>
                </c:pt>
                <c:pt idx="2053">
                  <c:v>1.6738012857331341E-2</c:v>
                </c:pt>
                <c:pt idx="2054">
                  <c:v>1.6739610423730511E-2</c:v>
                </c:pt>
                <c:pt idx="2055">
                  <c:v>1.6741621922937711E-2</c:v>
                </c:pt>
                <c:pt idx="2056">
                  <c:v>1.674271875588218E-2</c:v>
                </c:pt>
                <c:pt idx="2057">
                  <c:v>1.6744229521954423E-2</c:v>
                </c:pt>
                <c:pt idx="2058">
                  <c:v>1.6745711354611004E-2</c:v>
                </c:pt>
                <c:pt idx="2059">
                  <c:v>1.6747164253771984E-2</c:v>
                </c:pt>
                <c:pt idx="2060">
                  <c:v>1.6748588219517302E-2</c:v>
                </c:pt>
                <c:pt idx="2061">
                  <c:v>1.6749983251926892E-2</c:v>
                </c:pt>
                <c:pt idx="2062">
                  <c:v>1.6751349350840883E-2</c:v>
                </c:pt>
                <c:pt idx="2063">
                  <c:v>1.675268651633921E-2</c:v>
                </c:pt>
                <c:pt idx="2064">
                  <c:v>1.6753994748581746E-2</c:v>
                </c:pt>
                <c:pt idx="2065">
                  <c:v>1.6755274047328683E-2</c:v>
                </c:pt>
                <c:pt idx="2066">
                  <c:v>1.6756524412659957E-2</c:v>
                </c:pt>
                <c:pt idx="2067">
                  <c:v>1.6757745844575567E-2</c:v>
                </c:pt>
                <c:pt idx="2068">
                  <c:v>1.6758938342995577E-2</c:v>
                </c:pt>
                <c:pt idx="2069">
                  <c:v>1.6760101908239733E-2</c:v>
                </c:pt>
                <c:pt idx="2070">
                  <c:v>1.6761236539908353E-2</c:v>
                </c:pt>
                <c:pt idx="2071">
                  <c:v>1.6762342238081374E-2</c:v>
                </c:pt>
                <c:pt idx="2072">
                  <c:v>1.6763419002998603E-2</c:v>
                </c:pt>
                <c:pt idx="2073">
                  <c:v>1.6764466834340297E-2</c:v>
                </c:pt>
                <c:pt idx="2074">
                  <c:v>1.6765485732506136E-2</c:v>
                </c:pt>
                <c:pt idx="2075">
                  <c:v>1.6766475697096439E-2</c:v>
                </c:pt>
                <c:pt idx="2076">
                  <c:v>1.6767436728271079E-2</c:v>
                </c:pt>
                <c:pt idx="2077">
                  <c:v>1.6768368826109992E-2</c:v>
                </c:pt>
                <c:pt idx="2078">
                  <c:v>1.6769271990533241E-2</c:v>
                </c:pt>
                <c:pt idx="2079">
                  <c:v>1.6770146221460891E-2</c:v>
                </c:pt>
                <c:pt idx="2080">
                  <c:v>1.6770991519052814E-2</c:v>
                </c:pt>
                <c:pt idx="2081">
                  <c:v>1.6771807883229073E-2</c:v>
                </c:pt>
                <c:pt idx="2082">
                  <c:v>1.6772595313909733E-2</c:v>
                </c:pt>
                <c:pt idx="2083">
                  <c:v>1.6773353811254665E-2</c:v>
                </c:pt>
                <c:pt idx="2084">
                  <c:v>1.6774083375103999E-2</c:v>
                </c:pt>
                <c:pt idx="2085">
                  <c:v>1.6774784005697541E-2</c:v>
                </c:pt>
                <c:pt idx="2086">
                  <c:v>1.6775455702715547E-2</c:v>
                </c:pt>
                <c:pt idx="2087">
                  <c:v>1.6776098466397826E-2</c:v>
                </c:pt>
                <c:pt idx="2088">
                  <c:v>1.6776712296584506E-2</c:v>
                </c:pt>
                <c:pt idx="2089">
                  <c:v>1.6777297193435459E-2</c:v>
                </c:pt>
                <c:pt idx="2090">
                  <c:v>1.6777853156870748E-2</c:v>
                </c:pt>
                <c:pt idx="2091">
                  <c:v>1.6778380186810438E-2</c:v>
                </c:pt>
                <c:pt idx="2092">
                  <c:v>1.6779372200081966E-2</c:v>
                </c:pt>
                <c:pt idx="2093">
                  <c:v>1.6779412107998937E-2</c:v>
                </c:pt>
                <c:pt idx="2094">
                  <c:v>1.6779848204357961E-2</c:v>
                </c:pt>
                <c:pt idx="2095">
                  <c:v>1.6780255367381258E-2</c:v>
                </c:pt>
                <c:pt idx="2096">
                  <c:v>1.678063359682902E-2</c:v>
                </c:pt>
                <c:pt idx="2097">
                  <c:v>1.6780982893100926E-2</c:v>
                </c:pt>
                <c:pt idx="2098">
                  <c:v>1.6781303255877233E-2</c:v>
                </c:pt>
                <c:pt idx="2099">
                  <c:v>1.6781594685157941E-2</c:v>
                </c:pt>
                <c:pt idx="2100">
                  <c:v>1.6781857181022986E-2</c:v>
                </c:pt>
                <c:pt idx="2101">
                  <c:v>1.6782090743552303E-2</c:v>
                </c:pt>
                <c:pt idx="2102">
                  <c:v>1.678229537258602E-2</c:v>
                </c:pt>
                <c:pt idx="2103">
                  <c:v>1.6782471068363947E-2</c:v>
                </c:pt>
                <c:pt idx="2104">
                  <c:v>1.6782617830566338E-2</c:v>
                </c:pt>
                <c:pt idx="2105">
                  <c:v>1.6782735659433001E-2</c:v>
                </c:pt>
                <c:pt idx="2106">
                  <c:v>1.6782844639138261E-2</c:v>
                </c:pt>
                <c:pt idx="2107">
                  <c:v>1.6782896334426312E-2</c:v>
                </c:pt>
                <c:pt idx="2108">
                  <c:v>1.6782919096298698E-2</c:v>
                </c:pt>
                <c:pt idx="2109">
                  <c:v>1.6784081113661031E-2</c:v>
                </c:pt>
                <c:pt idx="2110">
                  <c:v>1.6782877819876418E-2</c:v>
                </c:pt>
                <c:pt idx="2111">
                  <c:v>1.6782813781421879E-2</c:v>
                </c:pt>
                <c:pt idx="2112">
                  <c:v>1.6782720809631613E-2</c:v>
                </c:pt>
                <c:pt idx="2113">
                  <c:v>1.6782598904425683E-2</c:v>
                </c:pt>
                <c:pt idx="2114">
                  <c:v>1.6782448065884026E-2</c:v>
                </c:pt>
                <c:pt idx="2115">
                  <c:v>1.6782268293766833E-2</c:v>
                </c:pt>
                <c:pt idx="2116">
                  <c:v>1.6782059588313913E-2</c:v>
                </c:pt>
                <c:pt idx="2117">
                  <c:v>1.678182194944533E-2</c:v>
                </c:pt>
                <c:pt idx="2118">
                  <c:v>1.678155537724102E-2</c:v>
                </c:pt>
                <c:pt idx="2119">
                  <c:v>1.6781259871461174E-2</c:v>
                </c:pt>
                <c:pt idx="2120">
                  <c:v>1.6780935432345601E-2</c:v>
                </c:pt>
                <c:pt idx="2121">
                  <c:v>1.6780582059734428E-2</c:v>
                </c:pt>
                <c:pt idx="2122">
                  <c:v>1.6780199753867464E-2</c:v>
                </c:pt>
                <c:pt idx="2123">
                  <c:v>1.6779788514424965E-2</c:v>
                </c:pt>
                <c:pt idx="2124">
                  <c:v>1.6779348341726674E-2</c:v>
                </c:pt>
                <c:pt idx="2125">
                  <c:v>1.6778879235452848E-2</c:v>
                </c:pt>
                <c:pt idx="2126">
                  <c:v>1.6778381195843295E-2</c:v>
                </c:pt>
                <c:pt idx="2127">
                  <c:v>1.6777854222818078E-2</c:v>
                </c:pt>
                <c:pt idx="2128">
                  <c:v>1.6777298316457134E-2</c:v>
                </c:pt>
                <c:pt idx="2129">
                  <c:v>1.6776713476440719E-2</c:v>
                </c:pt>
                <c:pt idx="2130">
                  <c:v>1.6776099703248448E-2</c:v>
                </c:pt>
                <c:pt idx="2131">
                  <c:v>1.6775456996480642E-2</c:v>
                </c:pt>
                <c:pt idx="2132">
                  <c:v>1.6774785356457045E-2</c:v>
                </c:pt>
                <c:pt idx="2133">
                  <c:v>1.6774084782857912E-2</c:v>
                </c:pt>
                <c:pt idx="2134">
                  <c:v>1.6773355275923052E-2</c:v>
                </c:pt>
                <c:pt idx="2135">
                  <c:v>1.6772596835572529E-2</c:v>
                </c:pt>
                <c:pt idx="2136">
                  <c:v>1.6771809461886278E-2</c:v>
                </c:pt>
                <c:pt idx="2137">
                  <c:v>1.6770993154544556E-2</c:v>
                </c:pt>
                <c:pt idx="2138">
                  <c:v>1.6770147914026978E-2</c:v>
                </c:pt>
                <c:pt idx="2139">
                  <c:v>1.6769273740013801E-2</c:v>
                </c:pt>
                <c:pt idx="2140">
                  <c:v>1.6768370632584961E-2</c:v>
                </c:pt>
                <c:pt idx="2141">
                  <c:v>1.6767438591740458E-2</c:v>
                </c:pt>
                <c:pt idx="2142">
                  <c:v>1.6766477617480291E-2</c:v>
                </c:pt>
                <c:pt idx="2143">
                  <c:v>1.6766442632805134E-2</c:v>
                </c:pt>
                <c:pt idx="2144">
                  <c:v>1.676541744850768E-2</c:v>
                </c:pt>
                <c:pt idx="2145">
                  <c:v>1.6763421094285746E-2</c:v>
                </c:pt>
                <c:pt idx="2146">
                  <c:v>1.6762344386362926E-2</c:v>
                </c:pt>
                <c:pt idx="2147">
                  <c:v>1.6761238745104379E-2</c:v>
                </c:pt>
                <c:pt idx="2148">
                  <c:v>1.6760104170270296E-2</c:v>
                </c:pt>
                <c:pt idx="2149">
                  <c:v>1.6758940662180422E-2</c:v>
                </c:pt>
                <c:pt idx="2150">
                  <c:v>1.6757748220674884E-2</c:v>
                </c:pt>
                <c:pt idx="2151">
                  <c:v>1.6756526845753683E-2</c:v>
                </c:pt>
                <c:pt idx="2152">
                  <c:v>1.6755276537177011E-2</c:v>
                </c:pt>
                <c:pt idx="2153">
                  <c:v>1.6753997295504419E-2</c:v>
                </c:pt>
                <c:pt idx="2154">
                  <c:v>1.6752689120336228E-2</c:v>
                </c:pt>
                <c:pt idx="2155">
                  <c:v>1.6751352011752374E-2</c:v>
                </c:pt>
                <c:pt idx="2156">
                  <c:v>1.6749985969752856E-2</c:v>
                </c:pt>
                <c:pt idx="2157">
                  <c:v>1.6748590994257739E-2</c:v>
                </c:pt>
                <c:pt idx="2158">
                  <c:v>1.6747167085506831E-2</c:v>
                </c:pt>
                <c:pt idx="2159">
                  <c:v>1.6746851117854789E-2</c:v>
                </c:pt>
                <c:pt idx="2160">
                  <c:v>1.6744232467518216E-2</c:v>
                </c:pt>
                <c:pt idx="2161">
                  <c:v>1.6742721758600254E-2</c:v>
                </c:pt>
                <c:pt idx="2162">
                  <c:v>1.6741182116106756E-2</c:v>
                </c:pt>
                <c:pt idx="2163">
                  <c:v>1.6739613540197595E-2</c:v>
                </c:pt>
                <c:pt idx="2164">
                  <c:v>1.6738016030952707E-2</c:v>
                </c:pt>
                <c:pt idx="2165">
                  <c:v>1.6736389588292155E-2</c:v>
                </c:pt>
                <c:pt idx="2166">
                  <c:v>1.6734734212136004E-2</c:v>
                </c:pt>
                <c:pt idx="2167">
                  <c:v>1.6733049902644126E-2</c:v>
                </c:pt>
                <c:pt idx="2168">
                  <c:v>1.6731336659896456E-2</c:v>
                </c:pt>
                <c:pt idx="2169">
                  <c:v>1.6729594483493315E-2</c:v>
                </c:pt>
                <c:pt idx="2170">
                  <c:v>1.6727823373754447E-2</c:v>
                </c:pt>
                <c:pt idx="2171">
                  <c:v>1.6726023330759787E-2</c:v>
                </c:pt>
                <c:pt idx="2172">
                  <c:v>1.6724194354269528E-2</c:v>
                </c:pt>
                <c:pt idx="2173">
                  <c:v>1.6722336444203734E-2</c:v>
                </c:pt>
                <c:pt idx="2174">
                  <c:v>1.6720449600962084E-2</c:v>
                </c:pt>
                <c:pt idx="2175">
                  <c:v>1.6718533824304771E-2</c:v>
                </c:pt>
                <c:pt idx="2176">
                  <c:v>1.6716589114151859E-2</c:v>
                </c:pt>
                <c:pt idx="2177">
                  <c:v>1.6714615470583283E-2</c:v>
                </c:pt>
                <c:pt idx="2178">
                  <c:v>1.6712612893758916E-2</c:v>
                </c:pt>
                <c:pt idx="2179">
                  <c:v>1.6710581383438949E-2</c:v>
                </c:pt>
                <c:pt idx="2180">
                  <c:v>1.6708520939623384E-2</c:v>
                </c:pt>
                <c:pt idx="2181">
                  <c:v>1.6706431562392154E-2</c:v>
                </c:pt>
                <c:pt idx="2182">
                  <c:v>1.670431325198507E-2</c:v>
                </c:pt>
                <c:pt idx="2183">
                  <c:v>1.6702166008162322E-2</c:v>
                </c:pt>
                <c:pt idx="2184">
                  <c:v>1.6699989830843975E-2</c:v>
                </c:pt>
                <c:pt idx="2185">
                  <c:v>1.6697784720109965E-2</c:v>
                </c:pt>
                <c:pt idx="2186">
                  <c:v>1.6695550675960291E-2</c:v>
                </c:pt>
                <c:pt idx="2187">
                  <c:v>1.669328769847489E-2</c:v>
                </c:pt>
                <c:pt idx="2188">
                  <c:v>1.6690995787653762E-2</c:v>
                </c:pt>
                <c:pt idx="2189">
                  <c:v>1.6688674943257098E-2</c:v>
                </c:pt>
                <c:pt idx="2190">
                  <c:v>1.6686325165604643E-2</c:v>
                </c:pt>
                <c:pt idx="2191">
                  <c:v>1.6683946454536525E-2</c:v>
                </c:pt>
                <c:pt idx="2192">
                  <c:v>1.6681538810052743E-2</c:v>
                </c:pt>
                <c:pt idx="2193">
                  <c:v>1.6679102232233234E-2</c:v>
                </c:pt>
                <c:pt idx="2194">
                  <c:v>1.6676636720998061E-2</c:v>
                </c:pt>
                <c:pt idx="2195">
                  <c:v>1.6674142276347226E-2</c:v>
                </c:pt>
                <c:pt idx="2196">
                  <c:v>1.6671618898200791E-2</c:v>
                </c:pt>
                <c:pt idx="2197">
                  <c:v>1.66690665868785E-2</c:v>
                </c:pt>
                <c:pt idx="2198">
                  <c:v>1.6666485342060611E-2</c:v>
                </c:pt>
                <c:pt idx="2199">
                  <c:v>1.6663875163827058E-2</c:v>
                </c:pt>
                <c:pt idx="2200">
                  <c:v>1.6661236052097905E-2</c:v>
                </c:pt>
                <c:pt idx="2201">
                  <c:v>1.6658568007192898E-2</c:v>
                </c:pt>
                <c:pt idx="2202">
                  <c:v>1.6655871028872227E-2</c:v>
                </c:pt>
                <c:pt idx="2203">
                  <c:v>1.6653145117055956E-2</c:v>
                </c:pt>
                <c:pt idx="2204">
                  <c:v>1.6650390271983895E-2</c:v>
                </c:pt>
                <c:pt idx="2205">
                  <c:v>1.6647606493416234E-2</c:v>
                </c:pt>
                <c:pt idx="2206">
                  <c:v>1.6644793781672718E-2</c:v>
                </c:pt>
                <c:pt idx="2207">
                  <c:v>1.664195213627373E-2</c:v>
                </c:pt>
                <c:pt idx="2208">
                  <c:v>1.6639081557618951E-2</c:v>
                </c:pt>
                <c:pt idx="2209">
                  <c:v>1.6636182045628445E-2</c:v>
                </c:pt>
                <c:pt idx="2210">
                  <c:v>1.6633947940343674E-2</c:v>
                </c:pt>
                <c:pt idx="2211">
                  <c:v>1.663029622124057E-2</c:v>
                </c:pt>
                <c:pt idx="2212">
                  <c:v>1.662730990908301E-2</c:v>
                </c:pt>
                <c:pt idx="2213">
                  <c:v>1.6624294663509787E-2</c:v>
                </c:pt>
                <c:pt idx="2214">
                  <c:v>1.66212504845209E-2</c:v>
                </c:pt>
                <c:pt idx="2215">
                  <c:v>1.6618177372116349E-2</c:v>
                </c:pt>
                <c:pt idx="2216">
                  <c:v>1.6615075326456008E-2</c:v>
                </c:pt>
                <c:pt idx="2217">
                  <c:v>1.6611944347380003E-2</c:v>
                </c:pt>
                <c:pt idx="2218">
                  <c:v>1.6608784434888335E-2</c:v>
                </c:pt>
                <c:pt idx="2219">
                  <c:v>1.660559558906094E-2</c:v>
                </c:pt>
                <c:pt idx="2220">
                  <c:v>1.6602377809897817E-2</c:v>
                </c:pt>
                <c:pt idx="2221">
                  <c:v>1.6599131097159159E-2</c:v>
                </c:pt>
                <c:pt idx="2222">
                  <c:v>1.6595855451244645E-2</c:v>
                </c:pt>
                <c:pt idx="2223">
                  <c:v>1.6592550871994405E-2</c:v>
                </c:pt>
                <c:pt idx="2224">
                  <c:v>1.6589217359248565E-2</c:v>
                </c:pt>
                <c:pt idx="2225">
                  <c:v>1.6585854913166997E-2</c:v>
                </c:pt>
                <c:pt idx="2226">
                  <c:v>1.6582463533669767E-2</c:v>
                </c:pt>
                <c:pt idx="2227">
                  <c:v>1.6579043220836809E-2</c:v>
                </c:pt>
                <c:pt idx="2228">
                  <c:v>1.6575593974827996E-2</c:v>
                </c:pt>
                <c:pt idx="2229">
                  <c:v>1.6572115795243647E-2</c:v>
                </c:pt>
                <c:pt idx="2230">
                  <c:v>1.6568608682403507E-2</c:v>
                </c:pt>
                <c:pt idx="2231">
                  <c:v>1.6565072635987832E-2</c:v>
                </c:pt>
                <c:pt idx="2232">
                  <c:v>1.6561507656396302E-2</c:v>
                </c:pt>
                <c:pt idx="2233">
                  <c:v>1.6557913743389108E-2</c:v>
                </c:pt>
                <c:pt idx="2234">
                  <c:v>1.6554290896966251E-2</c:v>
                </c:pt>
                <c:pt idx="2235">
                  <c:v>1.6550639117367538E-2</c:v>
                </c:pt>
                <c:pt idx="2236">
                  <c:v>1.6546958404113354E-2</c:v>
                </c:pt>
                <c:pt idx="2237">
                  <c:v>1.6543248757763251E-2</c:v>
                </c:pt>
                <c:pt idx="2238">
                  <c:v>1.6539510177997485E-2</c:v>
                </c:pt>
                <c:pt idx="2239">
                  <c:v>1.6535742664736119E-2</c:v>
                </c:pt>
                <c:pt idx="2240">
                  <c:v>1.6531946218139026E-2</c:v>
                </c:pt>
                <c:pt idx="2241">
                  <c:v>1.6528120838286142E-2</c:v>
                </c:pt>
                <c:pt idx="2242">
                  <c:v>1.6524266525177467E-2</c:v>
                </c:pt>
                <c:pt idx="2243">
                  <c:v>1.6520383278573192E-2</c:v>
                </c:pt>
                <c:pt idx="2244">
                  <c:v>1.6516471098553254E-2</c:v>
                </c:pt>
                <c:pt idx="2245">
                  <c:v>1.6512529985277524E-2</c:v>
                </c:pt>
                <c:pt idx="2246">
                  <c:v>1.6508559938666068E-2</c:v>
                </c:pt>
                <c:pt idx="2247">
                  <c:v>1.6504560958638947E-2</c:v>
                </c:pt>
                <c:pt idx="2248">
                  <c:v>1.6500533045196164E-2</c:v>
                </c:pt>
                <c:pt idx="2249">
                  <c:v>1.6496476198577525E-2</c:v>
                </c:pt>
                <c:pt idx="2250">
                  <c:v>1.6492390418463287E-2</c:v>
                </c:pt>
                <c:pt idx="2251">
                  <c:v>1.6488275705093258E-2</c:v>
                </c:pt>
                <c:pt idx="2252">
                  <c:v>1.6484132058387502E-2</c:v>
                </c:pt>
                <c:pt idx="2253">
                  <c:v>1.6479959478266082E-2</c:v>
                </c:pt>
                <c:pt idx="2254">
                  <c:v>1.6475757964808935E-2</c:v>
                </c:pt>
                <c:pt idx="2255">
                  <c:v>1.6471527518175932E-2</c:v>
                </c:pt>
                <c:pt idx="2256">
                  <c:v>1.6467268138047331E-2</c:v>
                </c:pt>
                <c:pt idx="2257">
                  <c:v>1.6462979824503066E-2</c:v>
                </c:pt>
                <c:pt idx="2258">
                  <c:v>1.6458662577703009E-2</c:v>
                </c:pt>
                <c:pt idx="2259">
                  <c:v>1.6454316397647162E-2</c:v>
                </c:pt>
                <c:pt idx="2260">
                  <c:v>1.6449941284095715E-2</c:v>
                </c:pt>
                <c:pt idx="2261">
                  <c:v>1.6445775402743834E-2</c:v>
                </c:pt>
                <c:pt idx="2262">
                  <c:v>1.6441104257145511E-2</c:v>
                </c:pt>
                <c:pt idx="2263">
                  <c:v>1.6436642343666819E-2</c:v>
                </c:pt>
                <c:pt idx="2264">
                  <c:v>1.6432151496852399E-2</c:v>
                </c:pt>
                <c:pt idx="2265">
                  <c:v>1.6427631716702251E-2</c:v>
                </c:pt>
                <c:pt idx="2266">
                  <c:v>1.6423083003296313E-2</c:v>
                </c:pt>
                <c:pt idx="2267">
                  <c:v>1.6418505356554647E-2</c:v>
                </c:pt>
                <c:pt idx="2268">
                  <c:v>1.6413898776317382E-2</c:v>
                </c:pt>
                <c:pt idx="2269">
                  <c:v>1.6409263262984197E-2</c:v>
                </c:pt>
                <c:pt idx="2270">
                  <c:v>1.6404598816155413E-2</c:v>
                </c:pt>
                <c:pt idx="2271">
                  <c:v>1.6399905435990902E-2</c:v>
                </c:pt>
                <c:pt idx="2272">
                  <c:v>1.6395183122490664E-2</c:v>
                </c:pt>
                <c:pt idx="2273">
                  <c:v>1.6390431875734635E-2</c:v>
                </c:pt>
                <c:pt idx="2274">
                  <c:v>1.6385651695722814E-2</c:v>
                </c:pt>
                <c:pt idx="2275">
                  <c:v>1.638084258229533E-2</c:v>
                </c:pt>
                <c:pt idx="2276">
                  <c:v>1.6376004535532118E-2</c:v>
                </c:pt>
                <c:pt idx="2277">
                  <c:v>1.6371137555593052E-2</c:v>
                </c:pt>
                <c:pt idx="2278">
                  <c:v>1.6366241642158386E-2</c:v>
                </c:pt>
                <c:pt idx="2279">
                  <c:v>1.6361316795467928E-2</c:v>
                </c:pt>
                <c:pt idx="2280">
                  <c:v>1.635636301552168E-2</c:v>
                </c:pt>
                <c:pt idx="2281">
                  <c:v>1.6351380302239704E-2</c:v>
                </c:pt>
                <c:pt idx="2282">
                  <c:v>1.6346368655462129E-2</c:v>
                </c:pt>
                <c:pt idx="2283">
                  <c:v>1.6341328075588635E-2</c:v>
                </c:pt>
                <c:pt idx="2284">
                  <c:v>1.6336258562379413E-2</c:v>
                </c:pt>
                <c:pt idx="2285">
                  <c:v>1.6331160115834464E-2</c:v>
                </c:pt>
                <c:pt idx="2286">
                  <c:v>1.6326032735873852E-2</c:v>
                </c:pt>
                <c:pt idx="2287">
                  <c:v>1.6320876422817321E-2</c:v>
                </c:pt>
                <c:pt idx="2288">
                  <c:v>1.6315691176425062E-2</c:v>
                </c:pt>
                <c:pt idx="2289">
                  <c:v>1.6310476996537204E-2</c:v>
                </c:pt>
                <c:pt idx="2290">
                  <c:v>1.6305233883393555E-2</c:v>
                </c:pt>
                <c:pt idx="2291">
                  <c:v>1.6299961837074051E-2</c:v>
                </c:pt>
                <c:pt idx="2292">
                  <c:v>1.6294660857338883E-2</c:v>
                </c:pt>
                <c:pt idx="2293">
                  <c:v>1.628933094442786E-2</c:v>
                </c:pt>
                <c:pt idx="2294">
                  <c:v>1.6283972098101174E-2</c:v>
                </c:pt>
                <c:pt idx="2295">
                  <c:v>1.6278584318598632E-2</c:v>
                </c:pt>
                <c:pt idx="2296">
                  <c:v>1.6273167605680428E-2</c:v>
                </c:pt>
                <c:pt idx="2297">
                  <c:v>1.6267721959506432E-2</c:v>
                </c:pt>
                <c:pt idx="2298">
                  <c:v>1.626224738015658E-2</c:v>
                </c:pt>
                <c:pt idx="2299">
                  <c:v>1.6256743867391066E-2</c:v>
                </c:pt>
                <c:pt idx="2300">
                  <c:v>1.6250328355789101E-2</c:v>
                </c:pt>
                <c:pt idx="2301">
                  <c:v>1.62447885467909E-2</c:v>
                </c:pt>
                <c:pt idx="2302">
                  <c:v>1.6239189462341486E-2</c:v>
                </c:pt>
                <c:pt idx="2303">
                  <c:v>1.6233561442184907E-2</c:v>
                </c:pt>
                <c:pt idx="2304">
                  <c:v>1.6227904486321165E-2</c:v>
                </c:pt>
                <c:pt idx="2305">
                  <c:v>1.6222218594723614E-2</c:v>
                </c:pt>
                <c:pt idx="2306">
                  <c:v>1.6216503767445545E-2</c:v>
                </c:pt>
                <c:pt idx="2307">
                  <c:v>1.6210760004433666E-2</c:v>
                </c:pt>
                <c:pt idx="2308">
                  <c:v>1.620498730574127E-2</c:v>
                </c:pt>
                <c:pt idx="2309">
                  <c:v>1.6199185671315064E-2</c:v>
                </c:pt>
                <c:pt idx="2310">
                  <c:v>1.6193355101261631E-2</c:v>
                </c:pt>
                <c:pt idx="2311">
                  <c:v>1.6187495595474388E-2</c:v>
                </c:pt>
                <c:pt idx="2312">
                  <c:v>1.6181607154033273E-2</c:v>
                </c:pt>
                <c:pt idx="2313">
                  <c:v>1.6175689776884994E-2</c:v>
                </c:pt>
                <c:pt idx="2314">
                  <c:v>1.6169743464082842E-2</c:v>
                </c:pt>
                <c:pt idx="2315">
                  <c:v>1.6163768215600172E-2</c:v>
                </c:pt>
                <c:pt idx="2316">
                  <c:v>1.6154457230950214E-2</c:v>
                </c:pt>
                <c:pt idx="2317">
                  <c:v>1.6151730911673212E-2</c:v>
                </c:pt>
                <c:pt idx="2318">
                  <c:v>1.6143207814032223E-2</c:v>
                </c:pt>
                <c:pt idx="2319">
                  <c:v>1.6137109102416503E-2</c:v>
                </c:pt>
                <c:pt idx="2320">
                  <c:v>1.6130981457465055E-2</c:v>
                </c:pt>
                <c:pt idx="2321">
                  <c:v>1.6124824879417687E-2</c:v>
                </c:pt>
                <c:pt idx="2322">
                  <c:v>1.6118639368114529E-2</c:v>
                </c:pt>
                <c:pt idx="2323">
                  <c:v>1.6112424923475643E-2</c:v>
                </c:pt>
                <c:pt idx="2324">
                  <c:v>1.6106181545580966E-2</c:v>
                </c:pt>
                <c:pt idx="2325">
                  <c:v>1.6099909234350562E-2</c:v>
                </c:pt>
                <c:pt idx="2326">
                  <c:v>1.6093607990184111E-2</c:v>
                </c:pt>
                <c:pt idx="2327">
                  <c:v>1.6087277812601997E-2</c:v>
                </c:pt>
                <c:pt idx="2328">
                  <c:v>1.6080918701524283E-2</c:v>
                </c:pt>
                <c:pt idx="2329">
                  <c:v>1.6074530657430586E-2</c:v>
                </c:pt>
                <c:pt idx="2330">
                  <c:v>1.6068113680161034E-2</c:v>
                </c:pt>
                <c:pt idx="2331">
                  <c:v>1.6061667769395882E-2</c:v>
                </c:pt>
                <c:pt idx="2332">
                  <c:v>1.6055192925614747E-2</c:v>
                </c:pt>
                <c:pt idx="2333">
                  <c:v>1.6048689148577822E-2</c:v>
                </c:pt>
                <c:pt idx="2334">
                  <c:v>1.6042156438125232E-2</c:v>
                </c:pt>
                <c:pt idx="2335">
                  <c:v>1.603559479465666E-2</c:v>
                </c:pt>
                <c:pt idx="2336">
                  <c:v>1.6029004217772425E-2</c:v>
                </c:pt>
                <c:pt idx="2337">
                  <c:v>1.6022384707872206E-2</c:v>
                </c:pt>
                <c:pt idx="2338">
                  <c:v>1.6015736264556324E-2</c:v>
                </c:pt>
                <c:pt idx="2339">
                  <c:v>1.6009058887904715E-2</c:v>
                </c:pt>
                <c:pt idx="2340">
                  <c:v>1.6002352578157186E-2</c:v>
                </c:pt>
                <c:pt idx="2341">
                  <c:v>1.5995617335233803E-2</c:v>
                </c:pt>
                <c:pt idx="2342">
                  <c:v>1.5988853158974692E-2</c:v>
                </c:pt>
                <c:pt idx="2343">
                  <c:v>1.5982060049619662E-2</c:v>
                </c:pt>
                <c:pt idx="2344">
                  <c:v>1.5975238007008841E-2</c:v>
                </c:pt>
                <c:pt idx="2345">
                  <c:v>1.5968387031062292E-2</c:v>
                </c:pt>
                <c:pt idx="2346">
                  <c:v>1.5961507122019825E-2</c:v>
                </c:pt>
                <c:pt idx="2347">
                  <c:v>1.595459827964163E-2</c:v>
                </c:pt>
                <c:pt idx="2348">
                  <c:v>1.5947660504167516E-2</c:v>
                </c:pt>
                <c:pt idx="2349">
                  <c:v>1.594069379543761E-2</c:v>
                </c:pt>
                <c:pt idx="2350">
                  <c:v>1.5933698153451914E-2</c:v>
                </c:pt>
                <c:pt idx="2351">
                  <c:v>1.5926673578370298E-2</c:v>
                </c:pt>
                <c:pt idx="2352">
                  <c:v>1.5918456690799943E-2</c:v>
                </c:pt>
                <c:pt idx="2353">
                  <c:v>1.591152348894731E-2</c:v>
                </c:pt>
                <c:pt idx="2354">
                  <c:v>1.5904407980844582E-2</c:v>
                </c:pt>
                <c:pt idx="2355">
                  <c:v>1.5897263539565998E-2</c:v>
                </c:pt>
                <c:pt idx="2356">
                  <c:v>1.5890090165031623E-2</c:v>
                </c:pt>
                <c:pt idx="2357">
                  <c:v>1.5882887857401329E-2</c:v>
                </c:pt>
                <c:pt idx="2358">
                  <c:v>1.5875656616275435E-2</c:v>
                </c:pt>
                <c:pt idx="2359">
                  <c:v>1.5868396442213495E-2</c:v>
                </c:pt>
                <c:pt idx="2360">
                  <c:v>1.5861107334975699E-2</c:v>
                </c:pt>
                <c:pt idx="2361">
                  <c:v>1.5853789294482112E-2</c:v>
                </c:pt>
                <c:pt idx="2362">
                  <c:v>1.5846442320652798E-2</c:v>
                </c:pt>
                <c:pt idx="2363">
                  <c:v>1.5839066413807501E-2</c:v>
                </c:pt>
                <c:pt idx="2364">
                  <c:v>1.5831661573786349E-2</c:v>
                </c:pt>
                <c:pt idx="2365">
                  <c:v>1.5824227800429469E-2</c:v>
                </c:pt>
                <c:pt idx="2366">
                  <c:v>1.5814627577892537E-2</c:v>
                </c:pt>
                <c:pt idx="2367">
                  <c:v>1.5807127671596533E-2</c:v>
                </c:pt>
                <c:pt idx="2368">
                  <c:v>1.5799598832204609E-2</c:v>
                </c:pt>
                <c:pt idx="2369">
                  <c:v>1.5790568751175016E-2</c:v>
                </c:pt>
                <c:pt idx="2370">
                  <c:v>1.5784454353893196E-2</c:v>
                </c:pt>
                <c:pt idx="2371">
                  <c:v>1.5776838714813834E-2</c:v>
                </c:pt>
                <c:pt idx="2372">
                  <c:v>1.5769194142638554E-2</c:v>
                </c:pt>
                <c:pt idx="2373">
                  <c:v>1.5761520637367354E-2</c:v>
                </c:pt>
                <c:pt idx="2374">
                  <c:v>1.5753818198840364E-2</c:v>
                </c:pt>
                <c:pt idx="2375">
                  <c:v>1.5746086827137518E-2</c:v>
                </c:pt>
                <c:pt idx="2376">
                  <c:v>1.5738326522258816E-2</c:v>
                </c:pt>
                <c:pt idx="2377">
                  <c:v>1.5730537284364132E-2</c:v>
                </c:pt>
                <c:pt idx="2378">
                  <c:v>1.5722719113053785E-2</c:v>
                </c:pt>
                <c:pt idx="2379">
                  <c:v>1.571487200880739E-2</c:v>
                </c:pt>
                <c:pt idx="2380">
                  <c:v>1.570699597138514E-2</c:v>
                </c:pt>
                <c:pt idx="2381">
                  <c:v>1.5699091000787035E-2</c:v>
                </c:pt>
                <c:pt idx="2382">
                  <c:v>1.5691157096933139E-2</c:v>
                </c:pt>
                <c:pt idx="2383">
                  <c:v>1.5683194259983324E-2</c:v>
                </c:pt>
                <c:pt idx="2384">
                  <c:v>1.5675202489777718E-2</c:v>
                </c:pt>
                <c:pt idx="2385">
                  <c:v>1.5667181786556128E-2</c:v>
                </c:pt>
                <c:pt idx="2386">
                  <c:v>1.5659132150078747E-2</c:v>
                </c:pt>
                <c:pt idx="2387">
                  <c:v>1.5651053580585383E-2</c:v>
                </c:pt>
                <c:pt idx="2388">
                  <c:v>1.56429460779961E-2</c:v>
                </c:pt>
                <c:pt idx="2389">
                  <c:v>1.563480964207109E-2</c:v>
                </c:pt>
                <c:pt idx="2390">
                  <c:v>1.5626644273130097E-2</c:v>
                </c:pt>
                <c:pt idx="2391">
                  <c:v>1.5618449971093185E-2</c:v>
                </c:pt>
                <c:pt idx="2392">
                  <c:v>1.5610226735880417E-2</c:v>
                </c:pt>
                <c:pt idx="2393">
                  <c:v>1.5601974567411858E-2</c:v>
                </c:pt>
                <c:pt idx="2394">
                  <c:v>1.5593693465927316E-2</c:v>
                </c:pt>
                <c:pt idx="2395">
                  <c:v>1.5585383431346855E-2</c:v>
                </c:pt>
                <c:pt idx="2396">
                  <c:v>1.5577044463510603E-2</c:v>
                </c:pt>
                <c:pt idx="2397">
                  <c:v>1.5568676562578432E-2</c:v>
                </c:pt>
                <c:pt idx="2398">
                  <c:v>1.5560279728630277E-2</c:v>
                </c:pt>
                <c:pt idx="2399">
                  <c:v>1.5551853961426332E-2</c:v>
                </c:pt>
                <c:pt idx="2400">
                  <c:v>1.5543399261206403E-2</c:v>
                </c:pt>
                <c:pt idx="2401">
                  <c:v>1.5534915627730683E-2</c:v>
                </c:pt>
                <c:pt idx="2402">
                  <c:v>1.5526403061318916E-2</c:v>
                </c:pt>
                <c:pt idx="2403">
                  <c:v>1.5512967714403914E-2</c:v>
                </c:pt>
                <c:pt idx="2404">
                  <c:v>1.5507504882377177E-2</c:v>
                </c:pt>
                <c:pt idx="2405">
                  <c:v>1.5500691763108421E-2</c:v>
                </c:pt>
                <c:pt idx="2406">
                  <c:v>1.5492063464233041E-2</c:v>
                </c:pt>
                <c:pt idx="2407">
                  <c:v>1.5483406232101871E-2</c:v>
                </c:pt>
                <c:pt idx="2408">
                  <c:v>1.5474720066954717E-2</c:v>
                </c:pt>
                <c:pt idx="2409">
                  <c:v>1.546600496879158E-2</c:v>
                </c:pt>
                <c:pt idx="2410">
                  <c:v>1.5457260937372652E-2</c:v>
                </c:pt>
                <c:pt idx="2411">
                  <c:v>1.5448487972937741E-2</c:v>
                </c:pt>
                <c:pt idx="2412">
                  <c:v>1.5439686075326975E-2</c:v>
                </c:pt>
                <c:pt idx="2413">
                  <c:v>1.5430855244780162E-2</c:v>
                </c:pt>
                <c:pt idx="2414">
                  <c:v>1.5421995480977557E-2</c:v>
                </c:pt>
                <c:pt idx="2415">
                  <c:v>1.5413106784238906E-2</c:v>
                </c:pt>
                <c:pt idx="2416">
                  <c:v>1.5402953247107831E-2</c:v>
                </c:pt>
                <c:pt idx="2417">
                  <c:v>1.5395242591313973E-2</c:v>
                </c:pt>
                <c:pt idx="2418">
                  <c:v>1.5386267095287565E-2</c:v>
                </c:pt>
                <c:pt idx="2419">
                  <c:v>1.5377262666085301E-2</c:v>
                </c:pt>
                <c:pt idx="2420">
                  <c:v>1.536822930394699E-2</c:v>
                </c:pt>
                <c:pt idx="2421">
                  <c:v>1.535820366708629E-2</c:v>
                </c:pt>
                <c:pt idx="2422">
                  <c:v>1.5350075780142802E-2</c:v>
                </c:pt>
                <c:pt idx="2423">
                  <c:v>1.5340955618716734E-2</c:v>
                </c:pt>
                <c:pt idx="2424">
                  <c:v>1.5331806524274683E-2</c:v>
                </c:pt>
                <c:pt idx="2425">
                  <c:v>1.5322628496656776E-2</c:v>
                </c:pt>
                <c:pt idx="2426">
                  <c:v>1.531342153594295E-2</c:v>
                </c:pt>
                <c:pt idx="2427">
                  <c:v>1.5304185642213142E-2</c:v>
                </c:pt>
                <c:pt idx="2428">
                  <c:v>1.5294920815547286E-2</c:v>
                </c:pt>
                <c:pt idx="2429">
                  <c:v>1.5285627055625639E-2</c:v>
                </c:pt>
                <c:pt idx="2430">
                  <c:v>1.5276304362767945E-2</c:v>
                </c:pt>
                <c:pt idx="2431">
                  <c:v>1.5266952736814332E-2</c:v>
                </c:pt>
                <c:pt idx="2432">
                  <c:v>1.5257572177844736E-2</c:v>
                </c:pt>
                <c:pt idx="2433">
                  <c:v>1.5248162685699285E-2</c:v>
                </c:pt>
                <c:pt idx="2434">
                  <c:v>1.5238724260697722E-2</c:v>
                </c:pt>
                <c:pt idx="2435">
                  <c:v>1.5229256902600241E-2</c:v>
                </c:pt>
                <c:pt idx="2436">
                  <c:v>1.5219760611406841E-2</c:v>
                </c:pt>
                <c:pt idx="2437">
                  <c:v>1.5210235387197457E-2</c:v>
                </c:pt>
                <c:pt idx="2438">
                  <c:v>1.5200681229972091E-2</c:v>
                </c:pt>
                <c:pt idx="2439">
                  <c:v>1.5191098139570869E-2</c:v>
                </c:pt>
                <c:pt idx="2440">
                  <c:v>1.5181486116313536E-2</c:v>
                </c:pt>
                <c:pt idx="2441">
                  <c:v>1.5171845159960284E-2</c:v>
                </c:pt>
                <c:pt idx="2442">
                  <c:v>1.5162175270511113E-2</c:v>
                </c:pt>
                <c:pt idx="2443">
                  <c:v>1.5152476448125896E-2</c:v>
                </c:pt>
                <c:pt idx="2444">
                  <c:v>1.5142748692724695E-2</c:v>
                </c:pt>
                <c:pt idx="2445">
                  <c:v>1.5132992004227575E-2</c:v>
                </c:pt>
                <c:pt idx="2446">
                  <c:v>1.5123206382794407E-2</c:v>
                </c:pt>
                <c:pt idx="2447">
                  <c:v>1.5113391828345257E-2</c:v>
                </c:pt>
                <c:pt idx="2448">
                  <c:v>1.5103548340800188E-2</c:v>
                </c:pt>
                <c:pt idx="2449">
                  <c:v>1.5093675920319072E-2</c:v>
                </c:pt>
                <c:pt idx="2450">
                  <c:v>1.5083774566821972E-2</c:v>
                </c:pt>
                <c:pt idx="2451">
                  <c:v>1.507384428030889E-2</c:v>
                </c:pt>
                <c:pt idx="2452">
                  <c:v>1.5063885060779825E-2</c:v>
                </c:pt>
                <c:pt idx="2453">
                  <c:v>1.5053896908234776E-2</c:v>
                </c:pt>
                <c:pt idx="2454">
                  <c:v>1.5043879822753681E-2</c:v>
                </c:pt>
                <c:pt idx="2455">
                  <c:v>1.5032618442565315E-2</c:v>
                </c:pt>
                <c:pt idx="2456">
                  <c:v>1.5022536028661548E-2</c:v>
                </c:pt>
                <c:pt idx="2457">
                  <c:v>1.5013654968054624E-2</c:v>
                </c:pt>
                <c:pt idx="2458">
                  <c:v>1.5003522150589532E-2</c:v>
                </c:pt>
                <c:pt idx="2459">
                  <c:v>1.4993360400108457E-2</c:v>
                </c:pt>
                <c:pt idx="2460">
                  <c:v>1.4983169716531464E-2</c:v>
                </c:pt>
                <c:pt idx="2461">
                  <c:v>1.4972950100098359E-2</c:v>
                </c:pt>
                <c:pt idx="2462">
                  <c:v>1.4962701550649271E-2</c:v>
                </c:pt>
                <c:pt idx="2463">
                  <c:v>1.49524240681842E-2</c:v>
                </c:pt>
                <c:pt idx="2464">
                  <c:v>1.4942117652863018E-2</c:v>
                </c:pt>
                <c:pt idx="2465">
                  <c:v>1.4931782304365981E-2</c:v>
                </c:pt>
                <c:pt idx="2466">
                  <c:v>1.4921418023012833E-2</c:v>
                </c:pt>
                <c:pt idx="2467">
                  <c:v>1.4911024808803575E-2</c:v>
                </c:pt>
                <c:pt idx="2468">
                  <c:v>1.4900602661418461E-2</c:v>
                </c:pt>
                <c:pt idx="2469">
                  <c:v>1.4890151581177236E-2</c:v>
                </c:pt>
                <c:pt idx="2470">
                  <c:v>1.48796715680799E-2</c:v>
                </c:pt>
                <c:pt idx="2471">
                  <c:v>1.4867382003705742E-2</c:v>
                </c:pt>
                <c:pt idx="2472">
                  <c:v>1.4858624742757343E-2</c:v>
                </c:pt>
                <c:pt idx="2473">
                  <c:v>1.4848057930612057E-2</c:v>
                </c:pt>
                <c:pt idx="2474">
                  <c:v>1.4837462185610661E-2</c:v>
                </c:pt>
                <c:pt idx="2475">
                  <c:v>1.4826837507753154E-2</c:v>
                </c:pt>
                <c:pt idx="2476">
                  <c:v>1.4816183896799728E-2</c:v>
                </c:pt>
                <c:pt idx="2477">
                  <c:v>1.4805501352910255E-2</c:v>
                </c:pt>
                <c:pt idx="2478">
                  <c:v>1.4794789876084735E-2</c:v>
                </c:pt>
                <c:pt idx="2479">
                  <c:v>1.4784049466403104E-2</c:v>
                </c:pt>
                <c:pt idx="2480">
                  <c:v>1.4773280123625554E-2</c:v>
                </c:pt>
                <c:pt idx="2481">
                  <c:v>1.4762481847991893E-2</c:v>
                </c:pt>
                <c:pt idx="2482">
                  <c:v>1.4751654639502121E-2</c:v>
                </c:pt>
                <c:pt idx="2483">
                  <c:v>1.4740798497996366E-2</c:v>
                </c:pt>
                <c:pt idx="2484">
                  <c:v>1.4729913423714436E-2</c:v>
                </c:pt>
                <c:pt idx="2485">
                  <c:v>1.4718999416336587E-2</c:v>
                </c:pt>
                <c:pt idx="2486">
                  <c:v>1.4708056476102627E-2</c:v>
                </c:pt>
                <c:pt idx="2487">
                  <c:v>1.4697084603092492E-2</c:v>
                </c:pt>
                <c:pt idx="2488">
                  <c:v>1.4686083796906502E-2</c:v>
                </c:pt>
                <c:pt idx="2489">
                  <c:v>1.4675054058024273E-2</c:v>
                </c:pt>
                <c:pt idx="2490">
                  <c:v>1.4663995386046125E-2</c:v>
                </c:pt>
                <c:pt idx="2491">
                  <c:v>1.4652907781291802E-2</c:v>
                </c:pt>
                <c:pt idx="2492">
                  <c:v>1.4641791243601432E-2</c:v>
                </c:pt>
                <c:pt idx="2493">
                  <c:v>1.4630653380010017E-2</c:v>
                </c:pt>
                <c:pt idx="2494">
                  <c:v>1.461953942065719E-2</c:v>
                </c:pt>
                <c:pt idx="2495">
                  <c:v>1.4608456972418082E-2</c:v>
                </c:pt>
                <c:pt idx="2496">
                  <c:v>1.4597406035532501E-2</c:v>
                </c:pt>
                <c:pt idx="2497">
                  <c:v>1.4586386610000446E-2</c:v>
                </c:pt>
                <c:pt idx="2498">
                  <c:v>1.4575398695662045E-2</c:v>
                </c:pt>
                <c:pt idx="2499">
                  <c:v>1.4564442292437363E-2</c:v>
                </c:pt>
                <c:pt idx="2500">
                  <c:v>1.4553517400486271E-2</c:v>
                </c:pt>
                <c:pt idx="2501">
                  <c:v>1.454262401980877E-2</c:v>
                </c:pt>
                <c:pt idx="2502">
                  <c:v>1.4531762150244987E-2</c:v>
                </c:pt>
                <c:pt idx="2503">
                  <c:v>1.452093179203473E-2</c:v>
                </c:pt>
                <c:pt idx="2504">
                  <c:v>1.451013294477832E-2</c:v>
                </c:pt>
                <c:pt idx="2505">
                  <c:v>1.4499365609035308E-2</c:v>
                </c:pt>
                <c:pt idx="2506">
                  <c:v>1.4488629784326079E-2</c:v>
                </c:pt>
                <c:pt idx="2507">
                  <c:v>1.4477925470970376E-2</c:v>
                </c:pt>
                <c:pt idx="2508">
                  <c:v>1.446725266856852E-2</c:v>
                </c:pt>
                <c:pt idx="2509">
                  <c:v>1.445661137752019E-2</c:v>
                </c:pt>
                <c:pt idx="2510">
                  <c:v>1.4446001597665514E-2</c:v>
                </c:pt>
                <c:pt idx="2511">
                  <c:v>1.4435423329004493E-2</c:v>
                </c:pt>
                <c:pt idx="2512">
                  <c:v>1.4424876571617062E-2</c:v>
                </c:pt>
                <c:pt idx="2513">
                  <c:v>1.4414361325263414E-2</c:v>
                </c:pt>
                <c:pt idx="2514">
                  <c:v>1.4403877590263292E-2</c:v>
                </c:pt>
                <c:pt idx="2515">
                  <c:v>1.4393425366296952E-2</c:v>
                </c:pt>
                <c:pt idx="2516">
                  <c:v>1.4383004653524267E-2</c:v>
                </c:pt>
                <c:pt idx="2517">
                  <c:v>1.43726154518653E-2</c:v>
                </c:pt>
                <c:pt idx="2518">
                  <c:v>1.4362257761639796E-2</c:v>
                </c:pt>
                <c:pt idx="2519">
                  <c:v>1.4351931582448074E-2</c:v>
                </c:pt>
                <c:pt idx="2520">
                  <c:v>1.4341636914370071E-2</c:v>
                </c:pt>
                <c:pt idx="2521">
                  <c:v>1.4329588483285249E-2</c:v>
                </c:pt>
                <c:pt idx="2522">
                  <c:v>1.4321142111715091E-2</c:v>
                </c:pt>
                <c:pt idx="2523">
                  <c:v>1.4310941977297986E-2</c:v>
                </c:pt>
                <c:pt idx="2524">
                  <c:v>1.4300773353754792E-2</c:v>
                </c:pt>
                <c:pt idx="2525">
                  <c:v>1.4290636241565124E-2</c:v>
                </c:pt>
                <c:pt idx="2526">
                  <c:v>1.4280530640569111E-2</c:v>
                </c:pt>
                <c:pt idx="2527">
                  <c:v>1.427045655060688E-2</c:v>
                </c:pt>
                <c:pt idx="2528">
                  <c:v>1.4260413971758368E-2</c:v>
                </c:pt>
                <c:pt idx="2529">
                  <c:v>1.425040290410351E-2</c:v>
                </c:pt>
                <c:pt idx="2530">
                  <c:v>1.4240423347642306E-2</c:v>
                </c:pt>
                <c:pt idx="2531">
                  <c:v>1.423047530229482E-2</c:v>
                </c:pt>
                <c:pt idx="2532">
                  <c:v>1.4220558768220926E-2</c:v>
                </c:pt>
                <c:pt idx="2533">
                  <c:v>1.4210673745020941E-2</c:v>
                </c:pt>
                <c:pt idx="2534">
                  <c:v>1.4200820232934674E-2</c:v>
                </c:pt>
                <c:pt idx="2535">
                  <c:v>1.4190998232201935E-2</c:v>
                </c:pt>
                <c:pt idx="2536">
                  <c:v>1.4181207742582913E-2</c:v>
                </c:pt>
                <c:pt idx="2537">
                  <c:v>1.4171448763997674E-2</c:v>
                </c:pt>
                <c:pt idx="2538">
                  <c:v>1.4161721296526153E-2</c:v>
                </c:pt>
                <c:pt idx="2539">
                  <c:v>1.415202534016835E-2</c:v>
                </c:pt>
                <c:pt idx="2540">
                  <c:v>1.4142360895004202E-2</c:v>
                </c:pt>
                <c:pt idx="2541">
                  <c:v>1.41327279607939E-2</c:v>
                </c:pt>
                <c:pt idx="2542">
                  <c:v>1.4123126537857189E-2</c:v>
                </c:pt>
                <c:pt idx="2543">
                  <c:v>1.4113556626114132E-2</c:v>
                </c:pt>
                <c:pt idx="2544">
                  <c:v>1.4104018225244985E-2</c:v>
                </c:pt>
                <c:pt idx="2545">
                  <c:v>1.4094511335569493E-2</c:v>
                </c:pt>
                <c:pt idx="2546">
                  <c:v>1.4085035957007719E-2</c:v>
                </c:pt>
                <c:pt idx="2547">
                  <c:v>1.4075592089559663E-2</c:v>
                </c:pt>
                <c:pt idx="2548">
                  <c:v>1.4066179733225326E-2</c:v>
                </c:pt>
                <c:pt idx="2549">
                  <c:v>1.4056798887924771E-2</c:v>
                </c:pt>
                <c:pt idx="2550">
                  <c:v>1.4047449553737934E-2</c:v>
                </c:pt>
                <c:pt idx="2551">
                  <c:v>1.4038131730664816E-2</c:v>
                </c:pt>
                <c:pt idx="2552">
                  <c:v>1.402884541862548E-2</c:v>
                </c:pt>
                <c:pt idx="2553">
                  <c:v>1.4019590617619926E-2</c:v>
                </c:pt>
                <c:pt idx="2554">
                  <c:v>1.4010367327808027E-2</c:v>
                </c:pt>
                <c:pt idx="2555">
                  <c:v>1.4001175549029909E-2</c:v>
                </c:pt>
                <c:pt idx="2556">
                  <c:v>1.3992015281285575E-2</c:v>
                </c:pt>
                <c:pt idx="2557">
                  <c:v>1.398288652481483E-2</c:v>
                </c:pt>
                <c:pt idx="2558">
                  <c:v>1.3973789279297932E-2</c:v>
                </c:pt>
                <c:pt idx="2559">
                  <c:v>1.3964723544814817E-2</c:v>
                </c:pt>
                <c:pt idx="2560">
                  <c:v>1.3953282003560386E-2</c:v>
                </c:pt>
                <c:pt idx="2561">
                  <c:v>1.3944660521545416E-2</c:v>
                </c:pt>
                <c:pt idx="2562">
                  <c:v>1.3935697629383625E-2</c:v>
                </c:pt>
                <c:pt idx="2563">
                  <c:v>1.3926766251159961E-2</c:v>
                </c:pt>
                <c:pt idx="2564">
                  <c:v>1.3917866386874422E-2</c:v>
                </c:pt>
                <c:pt idx="2565">
                  <c:v>1.3908998036500364E-2</c:v>
                </c:pt>
                <c:pt idx="2566">
                  <c:v>1.3900161200037786E-2</c:v>
                </c:pt>
                <c:pt idx="2567">
                  <c:v>1.3891355877513334E-2</c:v>
                </c:pt>
                <c:pt idx="2568">
                  <c:v>1.3882582068873717E-2</c:v>
                </c:pt>
                <c:pt idx="2569">
                  <c:v>1.3873839774172225E-2</c:v>
                </c:pt>
                <c:pt idx="2570">
                  <c:v>1.3865128993355569E-2</c:v>
                </c:pt>
                <c:pt idx="2571">
                  <c:v>1.3856449726423747E-2</c:v>
                </c:pt>
                <c:pt idx="2572">
                  <c:v>1.3847801973376761E-2</c:v>
                </c:pt>
                <c:pt idx="2573">
                  <c:v>1.3839185734187964E-2</c:v>
                </c:pt>
                <c:pt idx="2574">
                  <c:v>1.3830601008884003E-2</c:v>
                </c:pt>
                <c:pt idx="2575">
                  <c:v>1.3822047797438231E-2</c:v>
                </c:pt>
                <c:pt idx="2576">
                  <c:v>1.3809353652343148E-2</c:v>
                </c:pt>
                <c:pt idx="2577">
                  <c:v>1.3805035916121255E-2</c:v>
                </c:pt>
                <c:pt idx="2578">
                  <c:v>1.3796577246196762E-2</c:v>
                </c:pt>
                <c:pt idx="2579">
                  <c:v>1.3788150090130458E-2</c:v>
                </c:pt>
                <c:pt idx="2580">
                  <c:v>1.3779754447895698E-2</c:v>
                </c:pt>
                <c:pt idx="2581">
                  <c:v>1.3771390319492482E-2</c:v>
                </c:pt>
                <c:pt idx="2582">
                  <c:v>1.3763057704894166E-2</c:v>
                </c:pt>
                <c:pt idx="2583">
                  <c:v>1.3754756604100749E-2</c:v>
                </c:pt>
                <c:pt idx="2584">
                  <c:v>1.3746487017085585E-2</c:v>
                </c:pt>
                <c:pt idx="2585">
                  <c:v>1.3738248943901965E-2</c:v>
                </c:pt>
                <c:pt idx="2586">
                  <c:v>1.3730042384443308E-2</c:v>
                </c:pt>
                <c:pt idx="2587">
                  <c:v>1.3721867338869487E-2</c:v>
                </c:pt>
                <c:pt idx="2588">
                  <c:v>1.3713723807020628E-2</c:v>
                </c:pt>
                <c:pt idx="2589">
                  <c:v>1.3705611788923378E-2</c:v>
                </c:pt>
                <c:pt idx="2590">
                  <c:v>1.3697531284604381E-2</c:v>
                </c:pt>
                <c:pt idx="2591">
                  <c:v>1.3689482294010347E-2</c:v>
                </c:pt>
                <c:pt idx="2592">
                  <c:v>1.3681464817221212E-2</c:v>
                </c:pt>
                <c:pt idx="2593">
                  <c:v>1.367347885415704E-2</c:v>
                </c:pt>
                <c:pt idx="2594">
                  <c:v>1.366552440481783E-2</c:v>
                </c:pt>
                <c:pt idx="2595">
                  <c:v>1.3657601469203584E-2</c:v>
                </c:pt>
                <c:pt idx="2596">
                  <c:v>1.3649710047314301E-2</c:v>
                </c:pt>
                <c:pt idx="2597">
                  <c:v>1.364185013914998E-2</c:v>
                </c:pt>
                <c:pt idx="2598">
                  <c:v>1.3634021744710623E-2</c:v>
                </c:pt>
                <c:pt idx="2599">
                  <c:v>1.3626224863996228E-2</c:v>
                </c:pt>
                <c:pt idx="2600">
                  <c:v>1.3618459496953506E-2</c:v>
                </c:pt>
                <c:pt idx="2601">
                  <c:v>1.3610725643582455E-2</c:v>
                </c:pt>
                <c:pt idx="2602">
                  <c:v>1.3603023303936368E-2</c:v>
                </c:pt>
                <c:pt idx="2603">
                  <c:v>1.3595352477988598E-2</c:v>
                </c:pt>
                <c:pt idx="2604">
                  <c:v>1.358771316565921E-2</c:v>
                </c:pt>
                <c:pt idx="2605">
                  <c:v>1.3580105367054784E-2</c:v>
                </c:pt>
                <c:pt idx="2606">
                  <c:v>1.3572529082095386E-2</c:v>
                </c:pt>
                <c:pt idx="2607">
                  <c:v>1.3564984310754369E-2</c:v>
                </c:pt>
                <c:pt idx="2608">
                  <c:v>1.3557471053085024E-2</c:v>
                </c:pt>
                <c:pt idx="2609">
                  <c:v>1.3549989309087351E-2</c:v>
                </c:pt>
                <c:pt idx="2610">
                  <c:v>1.3542539078761351E-2</c:v>
                </c:pt>
                <c:pt idx="2611">
                  <c:v>1.3535120361973796E-2</c:v>
                </c:pt>
                <c:pt idx="2612">
                  <c:v>1.3524848320809468E-2</c:v>
                </c:pt>
                <c:pt idx="2613">
                  <c:v>1.3517773827338431E-2</c:v>
                </c:pt>
                <c:pt idx="2614">
                  <c:v>1.3510459204670866E-2</c:v>
                </c:pt>
                <c:pt idx="2615">
                  <c:v>1.3503176092797275E-2</c:v>
                </c:pt>
                <c:pt idx="2616">
                  <c:v>1.3495924491877531E-2</c:v>
                </c:pt>
                <c:pt idx="2617">
                  <c:v>1.3488704401911633E-2</c:v>
                </c:pt>
                <c:pt idx="2618">
                  <c:v>1.3481515822899581E-2</c:v>
                </c:pt>
                <c:pt idx="2619">
                  <c:v>1.347435875476144E-2</c:v>
                </c:pt>
                <c:pt idx="2620">
                  <c:v>1.346723319765708E-2</c:v>
                </c:pt>
                <c:pt idx="2621">
                  <c:v>1.3460139151506567E-2</c:v>
                </c:pt>
                <c:pt idx="2622">
                  <c:v>1.3453076616389836E-2</c:v>
                </c:pt>
                <c:pt idx="2623">
                  <c:v>1.3446045591987144E-2</c:v>
                </c:pt>
                <c:pt idx="2624">
                  <c:v>1.3439046078538297E-2</c:v>
                </c:pt>
                <c:pt idx="2625">
                  <c:v>1.3432078076043297E-2</c:v>
                </c:pt>
                <c:pt idx="2626">
                  <c:v>1.3425141584582079E-2</c:v>
                </c:pt>
                <c:pt idx="2627">
                  <c:v>1.341626953996311E-2</c:v>
                </c:pt>
                <c:pt idx="2628">
                  <c:v>1.3411363134201437E-2</c:v>
                </c:pt>
                <c:pt idx="2629">
                  <c:v>1.3404521175441886E-2</c:v>
                </c:pt>
                <c:pt idx="2630">
                  <c:v>1.3397710727556245E-2</c:v>
                </c:pt>
                <c:pt idx="2631">
                  <c:v>1.3390931790544514E-2</c:v>
                </c:pt>
                <c:pt idx="2632">
                  <c:v>1.3384184364726437E-2</c:v>
                </c:pt>
                <c:pt idx="2633">
                  <c:v>1.3377468449542462E-2</c:v>
                </c:pt>
                <c:pt idx="2634">
                  <c:v>1.337078404539227E-2</c:v>
                </c:pt>
                <c:pt idx="2635">
                  <c:v>1.3364131152195924E-2</c:v>
                </c:pt>
                <c:pt idx="2636">
                  <c:v>1.3357509769713616E-2</c:v>
                </c:pt>
                <c:pt idx="2637">
                  <c:v>1.3350919898345026E-2</c:v>
                </c:pt>
                <c:pt idx="2638">
                  <c:v>1.3344361537610538E-2</c:v>
                </c:pt>
                <c:pt idx="2639">
                  <c:v>1.3337834688069705E-2</c:v>
                </c:pt>
                <c:pt idx="2640">
                  <c:v>1.3331339349402782E-2</c:v>
                </c:pt>
                <c:pt idx="2641">
                  <c:v>1.3324875521529833E-2</c:v>
                </c:pt>
                <c:pt idx="2642">
                  <c:v>1.3318443204530794E-2</c:v>
                </c:pt>
                <c:pt idx="2643">
                  <c:v>1.3312042398485602E-2</c:v>
                </c:pt>
                <c:pt idx="2644">
                  <c:v>1.3305673103394255E-2</c:v>
                </c:pt>
                <c:pt idx="2645">
                  <c:v>1.3299335319176819E-2</c:v>
                </c:pt>
                <c:pt idx="2646">
                  <c:v>1.3293029045913229E-2</c:v>
                </c:pt>
                <c:pt idx="2647">
                  <c:v>1.3286754283363678E-2</c:v>
                </c:pt>
                <c:pt idx="2648">
                  <c:v>1.3280511031767972E-2</c:v>
                </c:pt>
                <c:pt idx="2649">
                  <c:v>1.3274299290966241E-2</c:v>
                </c:pt>
                <c:pt idx="2650">
                  <c:v>1.3268119061358163E-2</c:v>
                </c:pt>
                <c:pt idx="2651">
                  <c:v>1.3261970342384188E-2</c:v>
                </c:pt>
                <c:pt idx="2652">
                  <c:v>1.3255853134284123E-2</c:v>
                </c:pt>
                <c:pt idx="2653">
                  <c:v>1.3249767437137905E-2</c:v>
                </c:pt>
                <c:pt idx="2654">
                  <c:v>1.3243713250945532E-2</c:v>
                </c:pt>
                <c:pt idx="2655">
                  <c:v>1.323769057562707E-2</c:v>
                </c:pt>
                <c:pt idx="2656">
                  <c:v>1.323169941094271E-2</c:v>
                </c:pt>
                <c:pt idx="2657">
                  <c:v>1.3225739757292132E-2</c:v>
                </c:pt>
                <c:pt idx="2658">
                  <c:v>1.3219811614675336E-2</c:v>
                </c:pt>
                <c:pt idx="2659">
                  <c:v>1.3213914982772579E-2</c:v>
                </c:pt>
                <c:pt idx="2660">
                  <c:v>1.3208049861583859E-2</c:v>
                </c:pt>
                <c:pt idx="2661">
                  <c:v>1.3202216251508858E-2</c:v>
                </c:pt>
                <c:pt idx="2662">
                  <c:v>1.3196414152227831E-2</c:v>
                </c:pt>
                <c:pt idx="2663">
                  <c:v>1.3190643563740778E-2</c:v>
                </c:pt>
                <c:pt idx="2664">
                  <c:v>1.318392026582238E-2</c:v>
                </c:pt>
                <c:pt idx="2665">
                  <c:v>1.3178384125156484E-2</c:v>
                </c:pt>
                <c:pt idx="2666">
                  <c:v>1.3172712570970191E-2</c:v>
                </c:pt>
                <c:pt idx="2667">
                  <c:v>1.3167072527497936E-2</c:v>
                </c:pt>
                <c:pt idx="2668">
                  <c:v>1.3161463994899592E-2</c:v>
                </c:pt>
                <c:pt idx="2669">
                  <c:v>1.3155886973175157E-2</c:v>
                </c:pt>
                <c:pt idx="2670">
                  <c:v>1.3150341462244697E-2</c:v>
                </c:pt>
                <c:pt idx="2671">
                  <c:v>1.3144827462348019E-2</c:v>
                </c:pt>
                <c:pt idx="2672">
                  <c:v>1.3139344973245315E-2</c:v>
                </c:pt>
                <c:pt idx="2673">
                  <c:v>1.3133893994856649E-2</c:v>
                </c:pt>
                <c:pt idx="2674">
                  <c:v>1.3128474527501766E-2</c:v>
                </c:pt>
                <c:pt idx="2675">
                  <c:v>1.3123086570780984E-2</c:v>
                </c:pt>
                <c:pt idx="2676">
                  <c:v>1.3117730125014049E-2</c:v>
                </c:pt>
                <c:pt idx="2677">
                  <c:v>1.311088956793327E-2</c:v>
                </c:pt>
                <c:pt idx="2678">
                  <c:v>1.310560514695247E-2</c:v>
                </c:pt>
                <c:pt idx="2679">
                  <c:v>1.310035223684558E-2</c:v>
                </c:pt>
                <c:pt idx="2680">
                  <c:v>1.3095130837452729E-2</c:v>
                </c:pt>
                <c:pt idx="2681">
                  <c:v>1.3088939986927173E-2</c:v>
                </c:pt>
                <c:pt idx="2682">
                  <c:v>1.3084782571528564E-2</c:v>
                </c:pt>
                <c:pt idx="2683">
                  <c:v>1.307965570459757E-2</c:v>
                </c:pt>
                <c:pt idx="2684">
                  <c:v>1.3074560348700359E-2</c:v>
                </c:pt>
                <c:pt idx="2685">
                  <c:v>1.3069496503597122E-2</c:v>
                </c:pt>
                <c:pt idx="2686">
                  <c:v>1.3064464169367795E-2</c:v>
                </c:pt>
                <c:pt idx="2687">
                  <c:v>1.3059463346012379E-2</c:v>
                </c:pt>
                <c:pt idx="2688">
                  <c:v>1.3054494033450936E-2</c:v>
                </c:pt>
                <c:pt idx="2689">
                  <c:v>1.3049556231603532E-2</c:v>
                </c:pt>
                <c:pt idx="2690">
                  <c:v>1.3044649940709974E-2</c:v>
                </c:pt>
                <c:pt idx="2691">
                  <c:v>1.3039775160530453E-2</c:v>
                </c:pt>
                <c:pt idx="2692">
                  <c:v>1.3034931891224844E-2</c:v>
                </c:pt>
                <c:pt idx="2693">
                  <c:v>1.3030120132793144E-2</c:v>
                </c:pt>
                <c:pt idx="2694">
                  <c:v>1.3025339885155418E-2</c:v>
                </c:pt>
                <c:pt idx="2695">
                  <c:v>1.3020591148311667E-2</c:v>
                </c:pt>
                <c:pt idx="2696">
                  <c:v>1.3015873922181953E-2</c:v>
                </c:pt>
                <c:pt idx="2697">
                  <c:v>1.3011188207086022E-2</c:v>
                </c:pt>
                <c:pt idx="2698">
                  <c:v>1.3006534002704129E-2</c:v>
                </c:pt>
                <c:pt idx="2699">
                  <c:v>1.3001911309196146E-2</c:v>
                </c:pt>
                <c:pt idx="2700">
                  <c:v>1.2997320126322265E-2</c:v>
                </c:pt>
                <c:pt idx="2701">
                  <c:v>1.299276045440223E-2</c:v>
                </c:pt>
                <c:pt idx="2702">
                  <c:v>1.298823229327617E-2</c:v>
                </c:pt>
                <c:pt idx="2703">
                  <c:v>1.2983735642944083E-2</c:v>
                </c:pt>
                <c:pt idx="2704">
                  <c:v>1.2979270503405971E-2</c:v>
                </c:pt>
                <c:pt idx="2705">
                  <c:v>1.2974836874821705E-2</c:v>
                </c:pt>
                <c:pt idx="2706">
                  <c:v>1.2970434756951477E-2</c:v>
                </c:pt>
                <c:pt idx="2707">
                  <c:v>1.2966064149875223E-2</c:v>
                </c:pt>
                <c:pt idx="2708">
                  <c:v>1.2961725053592943E-2</c:v>
                </c:pt>
                <c:pt idx="2709">
                  <c:v>1.2957417468104637E-2</c:v>
                </c:pt>
                <c:pt idx="2710">
                  <c:v>1.2953141393490242E-2</c:v>
                </c:pt>
                <c:pt idx="2711">
                  <c:v>1.2948896829589884E-2</c:v>
                </c:pt>
                <c:pt idx="2712">
                  <c:v>1.2944683776563437E-2</c:v>
                </c:pt>
                <c:pt idx="2713">
                  <c:v>1.2940502234330964E-2</c:v>
                </c:pt>
                <c:pt idx="2714">
                  <c:v>1.2936352202812529E-2</c:v>
                </c:pt>
                <c:pt idx="2715">
                  <c:v>1.2929894389488439E-2</c:v>
                </c:pt>
                <c:pt idx="2716">
                  <c:v>1.2927449148731895E-2</c:v>
                </c:pt>
                <c:pt idx="2717">
                  <c:v>1.2924091173260877E-2</c:v>
                </c:pt>
                <c:pt idx="2718">
                  <c:v>1.2920067184918338E-2</c:v>
                </c:pt>
                <c:pt idx="2719">
                  <c:v>1.291607470744971E-2</c:v>
                </c:pt>
                <c:pt idx="2720">
                  <c:v>1.2912113740775055E-2</c:v>
                </c:pt>
                <c:pt idx="2721">
                  <c:v>1.2908184284814439E-2</c:v>
                </c:pt>
                <c:pt idx="2722">
                  <c:v>1.2904286339727733E-2</c:v>
                </c:pt>
                <c:pt idx="2723">
                  <c:v>1.2900419905355065E-2</c:v>
                </c:pt>
                <c:pt idx="2724">
                  <c:v>1.2896584981936243E-2</c:v>
                </c:pt>
                <c:pt idx="2725">
                  <c:v>1.2892781569071587E-2</c:v>
                </c:pt>
                <c:pt idx="2726">
                  <c:v>1.2889009667240714E-2</c:v>
                </c:pt>
                <c:pt idx="2727">
                  <c:v>1.2885269275964006E-2</c:v>
                </c:pt>
                <c:pt idx="2728">
                  <c:v>1.2881560395561209E-2</c:v>
                </c:pt>
                <c:pt idx="2729">
                  <c:v>1.2877883025952386E-2</c:v>
                </c:pt>
                <c:pt idx="2730">
                  <c:v>1.2874237167217473E-2</c:v>
                </c:pt>
                <c:pt idx="2731">
                  <c:v>1.2870516759219797E-2</c:v>
                </c:pt>
                <c:pt idx="2732">
                  <c:v>1.2867039981809825E-2</c:v>
                </c:pt>
                <c:pt idx="2733">
                  <c:v>1.2863488655376898E-2</c:v>
                </c:pt>
                <c:pt idx="2734">
                  <c:v>1.2859968839658009E-2</c:v>
                </c:pt>
                <c:pt idx="2735">
                  <c:v>1.2856480534813031E-2</c:v>
                </c:pt>
                <c:pt idx="2736">
                  <c:v>1.2853023740602154E-2</c:v>
                </c:pt>
                <c:pt idx="2737">
                  <c:v>1.2849598457185252E-2</c:v>
                </c:pt>
                <c:pt idx="2738">
                  <c:v>1.284620468464226E-2</c:v>
                </c:pt>
                <c:pt idx="2739">
                  <c:v>1.2842842422733369E-2</c:v>
                </c:pt>
                <c:pt idx="2740">
                  <c:v>1.2839511671698389E-2</c:v>
                </c:pt>
                <c:pt idx="2741">
                  <c:v>1.2836212431457383E-2</c:v>
                </c:pt>
                <c:pt idx="2742">
                  <c:v>1.2832944701930415E-2</c:v>
                </c:pt>
                <c:pt idx="2743">
                  <c:v>1.2829708483117486E-2</c:v>
                </c:pt>
                <c:pt idx="2744">
                  <c:v>1.2826503775178466E-2</c:v>
                </c:pt>
                <c:pt idx="2745">
                  <c:v>1.2823330578033421E-2</c:v>
                </c:pt>
                <c:pt idx="2746">
                  <c:v>1.2820188891602413E-2</c:v>
                </c:pt>
                <c:pt idx="2747">
                  <c:v>1.2817078715805508E-2</c:v>
                </c:pt>
                <c:pt idx="2748">
                  <c:v>1.2814000051042385E-2</c:v>
                </c:pt>
                <c:pt idx="2749">
                  <c:v>1.2810952896913363E-2</c:v>
                </c:pt>
                <c:pt idx="2750">
                  <c:v>1.280793725349838E-2</c:v>
                </c:pt>
                <c:pt idx="2751">
                  <c:v>1.2804953120877371E-2</c:v>
                </c:pt>
                <c:pt idx="2752">
                  <c:v>1.2802000499050337E-2</c:v>
                </c:pt>
                <c:pt idx="2753">
                  <c:v>1.2799079388017276E-2</c:v>
                </c:pt>
                <c:pt idx="2754">
                  <c:v>1.2796189787538381E-2</c:v>
                </c:pt>
                <c:pt idx="2755">
                  <c:v>1.2793331698093269E-2</c:v>
                </c:pt>
                <c:pt idx="2756">
                  <c:v>1.2790505119362194E-2</c:v>
                </c:pt>
                <c:pt idx="2757">
                  <c:v>1.2787710051265222E-2</c:v>
                </c:pt>
                <c:pt idx="2758">
                  <c:v>1.2784946493962224E-2</c:v>
                </c:pt>
                <c:pt idx="2759">
                  <c:v>1.27822144474532E-2</c:v>
                </c:pt>
                <c:pt idx="2760">
                  <c:v>1.2779513911658213E-2</c:v>
                </c:pt>
                <c:pt idx="2761">
                  <c:v>1.2776844886657202E-2</c:v>
                </c:pt>
                <c:pt idx="2762">
                  <c:v>1.2774207372370228E-2</c:v>
                </c:pt>
                <c:pt idx="2763">
                  <c:v>1.2771601368957164E-2</c:v>
                </c:pt>
                <c:pt idx="2764">
                  <c:v>1.2769026876258138E-2</c:v>
                </c:pt>
                <c:pt idx="2765">
                  <c:v>1.2766483894113279E-2</c:v>
                </c:pt>
                <c:pt idx="2766">
                  <c:v>1.2763972423002201E-2</c:v>
                </c:pt>
                <c:pt idx="2767">
                  <c:v>1.2761492462365354E-2</c:v>
                </c:pt>
                <c:pt idx="2768">
                  <c:v>1.2759044012682352E-2</c:v>
                </c:pt>
                <c:pt idx="2769">
                  <c:v>1.2756627073713389E-2</c:v>
                </c:pt>
                <c:pt idx="2770">
                  <c:v>1.2754241645458464E-2</c:v>
                </c:pt>
                <c:pt idx="2771">
                  <c:v>1.2751887727997513E-2</c:v>
                </c:pt>
                <c:pt idx="2772">
                  <c:v>1.27495653212506E-2</c:v>
                </c:pt>
                <c:pt idx="2773">
                  <c:v>1.2747274425297661E-2</c:v>
                </c:pt>
                <c:pt idx="2774">
                  <c:v>1.274501504005876E-2</c:v>
                </c:pt>
                <c:pt idx="2775">
                  <c:v>1.2742787165613834E-2</c:v>
                </c:pt>
                <c:pt idx="2776">
                  <c:v>1.2740590801803009E-2</c:v>
                </c:pt>
                <c:pt idx="2777">
                  <c:v>1.2738425948866094E-2</c:v>
                </c:pt>
                <c:pt idx="2778">
                  <c:v>1.2736292606563282E-2</c:v>
                </c:pt>
                <c:pt idx="2779">
                  <c:v>1.2734190774974508E-2</c:v>
                </c:pt>
                <c:pt idx="2780">
                  <c:v>1.2732120454259643E-2</c:v>
                </c:pt>
                <c:pt idx="2781">
                  <c:v>1.2730081644258817E-2</c:v>
                </c:pt>
                <c:pt idx="2782">
                  <c:v>1.272840723481572E-2</c:v>
                </c:pt>
                <c:pt idx="2783">
                  <c:v>1.2726098556399279E-2</c:v>
                </c:pt>
                <c:pt idx="2784">
                  <c:v>1.2724154278700439E-2</c:v>
                </c:pt>
                <c:pt idx="2785">
                  <c:v>1.2722241511635701E-2</c:v>
                </c:pt>
                <c:pt idx="2786">
                  <c:v>1.2720360255285001E-2</c:v>
                </c:pt>
                <c:pt idx="2787">
                  <c:v>1.271851050964834E-2</c:v>
                </c:pt>
                <c:pt idx="2788">
                  <c:v>1.2716692274965524E-2</c:v>
                </c:pt>
                <c:pt idx="2789">
                  <c:v>1.2714905550836875E-2</c:v>
                </c:pt>
                <c:pt idx="2790">
                  <c:v>1.2713150337422263E-2</c:v>
                </c:pt>
                <c:pt idx="2791">
                  <c:v>1.2711426634881562E-2</c:v>
                </c:pt>
                <c:pt idx="2792">
                  <c:v>1.2709734443054899E-2</c:v>
                </c:pt>
                <c:pt idx="2793">
                  <c:v>1.2708073761862337E-2</c:v>
                </c:pt>
                <c:pt idx="2794">
                  <c:v>1.270644459146375E-2</c:v>
                </c:pt>
                <c:pt idx="2795">
                  <c:v>1.2704846931779201E-2</c:v>
                </c:pt>
                <c:pt idx="2796">
                  <c:v>1.2703280782888626E-2</c:v>
                </c:pt>
                <c:pt idx="2797">
                  <c:v>1.2701746144712089E-2</c:v>
                </c:pt>
                <c:pt idx="2798">
                  <c:v>1.2700243017249591E-2</c:v>
                </c:pt>
                <c:pt idx="2799">
                  <c:v>1.269877140050113E-2</c:v>
                </c:pt>
                <c:pt idx="2800">
                  <c:v>1.2697331294626579E-2</c:v>
                </c:pt>
                <c:pt idx="2801">
                  <c:v>1.2695922699306195E-2</c:v>
                </c:pt>
                <c:pt idx="2802">
                  <c:v>1.269454561485972E-2</c:v>
                </c:pt>
                <c:pt idx="2803">
                  <c:v>1.2693200041127284E-2</c:v>
                </c:pt>
                <c:pt idx="2804">
                  <c:v>1.2691885978028949E-2</c:v>
                </c:pt>
                <c:pt idx="2805">
                  <c:v>1.2690603425724589E-2</c:v>
                </c:pt>
                <c:pt idx="2806">
                  <c:v>1.2689352384214203E-2</c:v>
                </c:pt>
                <c:pt idx="2807">
                  <c:v>1.2688132853337919E-2</c:v>
                </c:pt>
                <c:pt idx="2808">
                  <c:v>1.2686944833175673E-2</c:v>
                </c:pt>
                <c:pt idx="2809">
                  <c:v>1.2685788323807401E-2</c:v>
                </c:pt>
                <c:pt idx="2810">
                  <c:v>1.2684663325233103E-2</c:v>
                </c:pt>
                <c:pt idx="2811">
                  <c:v>1.2683569837292907E-2</c:v>
                </c:pt>
                <c:pt idx="2812">
                  <c:v>1.268250786006675E-2</c:v>
                </c:pt>
                <c:pt idx="2813">
                  <c:v>1.2681477393714502E-2</c:v>
                </c:pt>
                <c:pt idx="2814">
                  <c:v>1.268047843791642E-2</c:v>
                </c:pt>
                <c:pt idx="2815">
                  <c:v>1.2679510992992249E-2</c:v>
                </c:pt>
                <c:pt idx="2816">
                  <c:v>1.2678575058702179E-2</c:v>
                </c:pt>
                <c:pt idx="2817">
                  <c:v>1.2677670635126148E-2</c:v>
                </c:pt>
                <c:pt idx="2818">
                  <c:v>1.2676797722344091E-2</c:v>
                </c:pt>
                <c:pt idx="2819">
                  <c:v>1.2675956320276072E-2</c:v>
                </c:pt>
                <c:pt idx="2820">
                  <c:v>1.2675146428922091E-2</c:v>
                </c:pt>
                <c:pt idx="2821">
                  <c:v>1.2674368048362084E-2</c:v>
                </c:pt>
                <c:pt idx="2822">
                  <c:v>1.2673621178436179E-2</c:v>
                </c:pt>
                <c:pt idx="2823">
                  <c:v>1.2672905819224312E-2</c:v>
                </c:pt>
                <c:pt idx="2824">
                  <c:v>1.2672221970886355E-2</c:v>
                </c:pt>
                <c:pt idx="2825">
                  <c:v>1.2671569633102564E-2</c:v>
                </c:pt>
                <c:pt idx="2826">
                  <c:v>1.2670948806192683E-2</c:v>
                </c:pt>
                <c:pt idx="2827">
                  <c:v>1.2670359489996841E-2</c:v>
                </c:pt>
                <c:pt idx="2828">
                  <c:v>1.26698016844351E-2</c:v>
                </c:pt>
                <c:pt idx="2829">
                  <c:v>1.2669275389667334E-2</c:v>
                </c:pt>
                <c:pt idx="2830">
                  <c:v>1.2668780605613605E-2</c:v>
                </c:pt>
                <c:pt idx="2831">
                  <c:v>1.2668317332273915E-2</c:v>
                </c:pt>
                <c:pt idx="2832">
                  <c:v>1.2668660184164793E-2</c:v>
                </c:pt>
                <c:pt idx="2833">
                  <c:v>1.2667485317736649E-2</c:v>
                </c:pt>
                <c:pt idx="2834">
                  <c:v>1.2667116576619009E-2</c:v>
                </c:pt>
                <c:pt idx="2835">
                  <c:v>1.2666779346215407E-2</c:v>
                </c:pt>
                <c:pt idx="2836">
                  <c:v>1.2666473626525843E-2</c:v>
                </c:pt>
                <c:pt idx="2837">
                  <c:v>1.2666199417550317E-2</c:v>
                </c:pt>
                <c:pt idx="2838">
                  <c:v>1.2665956719368765E-2</c:v>
                </c:pt>
                <c:pt idx="2839">
                  <c:v>1.2665745531741379E-2</c:v>
                </c:pt>
                <c:pt idx="2840">
                  <c:v>1.2665565854987904E-2</c:v>
                </c:pt>
                <c:pt idx="2841">
                  <c:v>1.2665417688948466E-2</c:v>
                </c:pt>
                <c:pt idx="2842">
                  <c:v>1.2665301033623066E-2</c:v>
                </c:pt>
                <c:pt idx="2843">
                  <c:v>1.2665215889011705E-2</c:v>
                </c:pt>
                <c:pt idx="2844">
                  <c:v>1.2665162255114382E-2</c:v>
                </c:pt>
                <c:pt idx="2845">
                  <c:v>1.2665140131931096E-2</c:v>
                </c:pt>
                <c:pt idx="2846">
                  <c:v>1.2665149519541785E-2</c:v>
                </c:pt>
                <c:pt idx="2847">
                  <c:v>1.2665190417866512E-2</c:v>
                </c:pt>
                <c:pt idx="2848">
                  <c:v>1.2665262826825341E-2</c:v>
                </c:pt>
                <c:pt idx="2849">
                  <c:v>1.266536674665808E-2</c:v>
                </c:pt>
                <c:pt idx="2850">
                  <c:v>1.2665502177044985E-2</c:v>
                </c:pt>
                <c:pt idx="2851">
                  <c:v>1.2665669118225864E-2</c:v>
                </c:pt>
                <c:pt idx="2852">
                  <c:v>1.2665867570200717E-2</c:v>
                </c:pt>
                <c:pt idx="2853">
                  <c:v>1.2666097532809673E-2</c:v>
                </c:pt>
                <c:pt idx="2854">
                  <c:v>1.2666359006212602E-2</c:v>
                </c:pt>
                <c:pt idx="2855">
                  <c:v>1.2666651990329569E-2</c:v>
                </c:pt>
                <c:pt idx="2856">
                  <c:v>1.2666976485160575E-2</c:v>
                </c:pt>
                <c:pt idx="2857">
                  <c:v>1.2667332490785554E-2</c:v>
                </c:pt>
                <c:pt idx="2858">
                  <c:v>1.2667720007044636E-2</c:v>
                </c:pt>
                <c:pt idx="2859">
                  <c:v>1.2668139034017756E-2</c:v>
                </c:pt>
                <c:pt idx="2860">
                  <c:v>1.266858957178485E-2</c:v>
                </c:pt>
                <c:pt idx="2861">
                  <c:v>1.2669071620186045E-2</c:v>
                </c:pt>
                <c:pt idx="2862">
                  <c:v>1.2669585179381215E-2</c:v>
                </c:pt>
                <c:pt idx="2863">
                  <c:v>1.2670130249290423E-2</c:v>
                </c:pt>
                <c:pt idx="2864">
                  <c:v>1.2670706829993605E-2</c:v>
                </c:pt>
                <c:pt idx="2865">
                  <c:v>1.2671314921410826E-2</c:v>
                </c:pt>
                <c:pt idx="2866">
                  <c:v>1.2671954523462148E-2</c:v>
                </c:pt>
                <c:pt idx="2867">
                  <c:v>1.2672625636307444E-2</c:v>
                </c:pt>
                <c:pt idx="2868">
                  <c:v>1.2673328259866778E-2</c:v>
                </c:pt>
                <c:pt idx="2869">
                  <c:v>1.2674062394220087E-2</c:v>
                </c:pt>
                <c:pt idx="2870">
                  <c:v>1.2674828039207497E-2</c:v>
                </c:pt>
                <c:pt idx="2871">
                  <c:v>1.2675625194988882E-2</c:v>
                </c:pt>
                <c:pt idx="2872">
                  <c:v>1.267742745205247E-2</c:v>
                </c:pt>
                <c:pt idx="2873">
                  <c:v>1.2678012257163473E-2</c:v>
                </c:pt>
                <c:pt idx="2874">
                  <c:v>1.2678913011621162E-2</c:v>
                </c:pt>
                <c:pt idx="2875">
                  <c:v>1.2679845279004454E-2</c:v>
                </c:pt>
                <c:pt idx="2876">
                  <c:v>1.2680809059339992E-2</c:v>
                </c:pt>
                <c:pt idx="2877">
                  <c:v>1.2681804352654424E-2</c:v>
                </c:pt>
                <c:pt idx="2878">
                  <c:v>1.2682831158921104E-2</c:v>
                </c:pt>
                <c:pt idx="2879">
                  <c:v>1.2683889478166677E-2</c:v>
                </c:pt>
                <c:pt idx="2880">
                  <c:v>1.2684979310337852E-2</c:v>
                </c:pt>
                <c:pt idx="2881">
                  <c:v>1.2686100655461274E-2</c:v>
                </c:pt>
                <c:pt idx="2882">
                  <c:v>1.268725351356359E-2</c:v>
                </c:pt>
                <c:pt idx="2883">
                  <c:v>1.2688437884644799E-2</c:v>
                </c:pt>
                <c:pt idx="2884">
                  <c:v>1.268965376865161E-2</c:v>
                </c:pt>
                <c:pt idx="2885">
                  <c:v>1.2690901165637314E-2</c:v>
                </c:pt>
                <c:pt idx="2886">
                  <c:v>1.2692180075575266E-2</c:v>
                </c:pt>
                <c:pt idx="2887">
                  <c:v>1.269361395818791E-2</c:v>
                </c:pt>
                <c:pt idx="2888">
                  <c:v>1.2694832434361203E-2</c:v>
                </c:pt>
                <c:pt idx="2889">
                  <c:v>1.2696205883209188E-2</c:v>
                </c:pt>
                <c:pt idx="2890">
                  <c:v>1.2697610845009422E-2</c:v>
                </c:pt>
                <c:pt idx="2891">
                  <c:v>1.2699047319788548E-2</c:v>
                </c:pt>
                <c:pt idx="2892">
                  <c:v>1.2700515307573212E-2</c:v>
                </c:pt>
                <c:pt idx="2893">
                  <c:v>1.2702014808283479E-2</c:v>
                </c:pt>
                <c:pt idx="2894">
                  <c:v>1.2703545821972639E-2</c:v>
                </c:pt>
                <c:pt idx="2895">
                  <c:v>1.2705108348640692E-2</c:v>
                </c:pt>
                <c:pt idx="2896">
                  <c:v>1.2706702388260993E-2</c:v>
                </c:pt>
                <c:pt idx="2897">
                  <c:v>1.2708327940886832E-2</c:v>
                </c:pt>
                <c:pt idx="2898">
                  <c:v>1.2709985006464919E-2</c:v>
                </c:pt>
                <c:pt idx="2899">
                  <c:v>1.2711673585075189E-2</c:v>
                </c:pt>
                <c:pt idx="2900">
                  <c:v>1.2713393676611062E-2</c:v>
                </c:pt>
                <c:pt idx="2901">
                  <c:v>1.2715145281125828E-2</c:v>
                </c:pt>
                <c:pt idx="2902">
                  <c:v>1.2716928398646132E-2</c:v>
                </c:pt>
                <c:pt idx="2903">
                  <c:v>1.271874302914533E-2</c:v>
                </c:pt>
                <c:pt idx="2904">
                  <c:v>1.2720589172650065E-2</c:v>
                </c:pt>
                <c:pt idx="2905">
                  <c:v>1.2722466829080403E-2</c:v>
                </c:pt>
                <c:pt idx="2906">
                  <c:v>1.272437599856957E-2</c:v>
                </c:pt>
                <c:pt idx="2907">
                  <c:v>1.272631668103763E-2</c:v>
                </c:pt>
                <c:pt idx="2908">
                  <c:v>1.2728288876457938E-2</c:v>
                </c:pt>
                <c:pt idx="2909">
                  <c:v>1.2730292584883784E-2</c:v>
                </c:pt>
                <c:pt idx="2910">
                  <c:v>1.2732327806341814E-2</c:v>
                </c:pt>
                <c:pt idx="2911">
                  <c:v>1.2734394540752092E-2</c:v>
                </c:pt>
                <c:pt idx="2912">
                  <c:v>1.2736492788194553E-2</c:v>
                </c:pt>
                <c:pt idx="2913">
                  <c:v>1.2738622548615908E-2</c:v>
                </c:pt>
                <c:pt idx="2914">
                  <c:v>1.2740783822016155E-2</c:v>
                </c:pt>
                <c:pt idx="2915">
                  <c:v>1.2742976608448586E-2</c:v>
                </c:pt>
                <c:pt idx="2916">
                  <c:v>1.2745200907886556E-2</c:v>
                </c:pt>
                <c:pt idx="2917">
                  <c:v>1.2747456720330064E-2</c:v>
                </c:pt>
                <c:pt idx="2918">
                  <c:v>1.274974404577911E-2</c:v>
                </c:pt>
                <c:pt idx="2919">
                  <c:v>1.2752062884233695E-2</c:v>
                </c:pt>
                <c:pt idx="2920">
                  <c:v>1.2754413235693818E-2</c:v>
                </c:pt>
                <c:pt idx="2921">
                  <c:v>1.2756795100186125E-2</c:v>
                </c:pt>
                <c:pt idx="2922">
                  <c:v>1.2759208477657324E-2</c:v>
                </c:pt>
                <c:pt idx="2923">
                  <c:v>1.2761653368187353E-2</c:v>
                </c:pt>
                <c:pt idx="2924">
                  <c:v>1.2764795401727369E-2</c:v>
                </c:pt>
                <c:pt idx="2925">
                  <c:v>1.2766907043468834E-2</c:v>
                </c:pt>
                <c:pt idx="2926">
                  <c:v>1.2769455295877918E-2</c:v>
                </c:pt>
                <c:pt idx="2927">
                  <c:v>1.2772035059240849E-2</c:v>
                </c:pt>
                <c:pt idx="2928">
                  <c:v>1.2774646333317818E-2</c:v>
                </c:pt>
                <c:pt idx="2929">
                  <c:v>1.2777289118028889E-2</c:v>
                </c:pt>
                <c:pt idx="2930">
                  <c:v>1.2779963413613871E-2</c:v>
                </c:pt>
                <c:pt idx="2931">
                  <c:v>1.278266921991289E-2</c:v>
                </c:pt>
                <c:pt idx="2932">
                  <c:v>1.2785406536925947E-2</c:v>
                </c:pt>
                <c:pt idx="2933">
                  <c:v>1.2788175364812915E-2</c:v>
                </c:pt>
                <c:pt idx="2934">
                  <c:v>1.279097570341392E-2</c:v>
                </c:pt>
                <c:pt idx="2935">
                  <c:v>1.2793807552728964E-2</c:v>
                </c:pt>
                <c:pt idx="2936">
                  <c:v>1.2796670912837982E-2</c:v>
                </c:pt>
                <c:pt idx="2937">
                  <c:v>1.2799565783661038E-2</c:v>
                </c:pt>
                <c:pt idx="2938">
                  <c:v>1.2803334062070348E-2</c:v>
                </c:pt>
                <c:pt idx="2939">
                  <c:v>1.2805450057689072E-2</c:v>
                </c:pt>
                <c:pt idx="2940">
                  <c:v>1.280843946089405E-2</c:v>
                </c:pt>
                <c:pt idx="2941">
                  <c:v>1.2811460374813066E-2</c:v>
                </c:pt>
                <c:pt idx="2942">
                  <c:v>1.2814951432416066E-2</c:v>
                </c:pt>
                <c:pt idx="2943">
                  <c:v>1.2818039869522124E-2</c:v>
                </c:pt>
                <c:pt idx="2944">
                  <c:v>1.2821159817182348E-2</c:v>
                </c:pt>
                <c:pt idx="2945">
                  <c:v>1.2824311275636546E-2</c:v>
                </c:pt>
                <c:pt idx="2946">
                  <c:v>1.2827494245044591E-2</c:v>
                </c:pt>
                <c:pt idx="2947">
                  <c:v>1.2830708725086737E-2</c:v>
                </c:pt>
                <c:pt idx="2948">
                  <c:v>1.2833954715922857E-2</c:v>
                </c:pt>
                <c:pt idx="2949">
                  <c:v>1.283723221739308E-2</c:v>
                </c:pt>
                <c:pt idx="2950">
                  <c:v>1.2840541229897084E-2</c:v>
                </c:pt>
                <c:pt idx="2951">
                  <c:v>1.2843881753035191E-2</c:v>
                </c:pt>
                <c:pt idx="2952">
                  <c:v>1.2847253786967272E-2</c:v>
                </c:pt>
                <c:pt idx="2953">
                  <c:v>1.2850657331533455E-2</c:v>
                </c:pt>
                <c:pt idx="2954">
                  <c:v>1.285409238713342E-2</c:v>
                </c:pt>
                <c:pt idx="2955">
                  <c:v>1.2857558953367487E-2</c:v>
                </c:pt>
                <c:pt idx="2956">
                  <c:v>1.2861057030395528E-2</c:v>
                </c:pt>
                <c:pt idx="2957">
                  <c:v>1.2864586618137608E-2</c:v>
                </c:pt>
                <c:pt idx="2958">
                  <c:v>1.2868147716753597E-2</c:v>
                </c:pt>
                <c:pt idx="2959">
                  <c:v>1.2871740326083625E-2</c:v>
                </c:pt>
                <c:pt idx="2960">
                  <c:v>1.2875364446127691E-2</c:v>
                </c:pt>
                <c:pt idx="2961">
                  <c:v>1.2879020077125602E-2</c:v>
                </c:pt>
                <c:pt idx="2962">
                  <c:v>1.2882707218837552E-2</c:v>
                </c:pt>
                <c:pt idx="2963">
                  <c:v>1.288642587126354E-2</c:v>
                </c:pt>
                <c:pt idx="2964">
                  <c:v>1.2890176034563439E-2</c:v>
                </c:pt>
                <c:pt idx="2965">
                  <c:v>1.2893957708577375E-2</c:v>
                </c:pt>
                <c:pt idx="2966">
                  <c:v>1.2897770893465221E-2</c:v>
                </c:pt>
                <c:pt idx="2967">
                  <c:v>1.290161558898717E-2</c:v>
                </c:pt>
                <c:pt idx="2968">
                  <c:v>1.29054917955429E-2</c:v>
                </c:pt>
                <c:pt idx="2969">
                  <c:v>1.2909399512732733E-2</c:v>
                </c:pt>
                <c:pt idx="2970">
                  <c:v>1.291333874071654E-2</c:v>
                </c:pt>
                <c:pt idx="2971">
                  <c:v>1.2917309479494321E-2</c:v>
                </c:pt>
                <c:pt idx="2972">
                  <c:v>1.2921311729066076E-2</c:v>
                </c:pt>
                <c:pt idx="2973">
                  <c:v>1.2925345489431805E-2</c:v>
                </c:pt>
                <c:pt idx="2974">
                  <c:v>1.2929410760591509E-2</c:v>
                </c:pt>
                <c:pt idx="2975">
                  <c:v>1.2933507542545186E-2</c:v>
                </c:pt>
                <c:pt idx="2976">
                  <c:v>1.2938757157008318E-2</c:v>
                </c:pt>
                <c:pt idx="2977">
                  <c:v>1.2942392468859865E-2</c:v>
                </c:pt>
                <c:pt idx="2978">
                  <c:v>1.2946588284794558E-2</c:v>
                </c:pt>
                <c:pt idx="2979">
                  <c:v>1.2950815611363353E-2</c:v>
                </c:pt>
                <c:pt idx="2980">
                  <c:v>1.2955074448965931E-2</c:v>
                </c:pt>
                <c:pt idx="2981">
                  <c:v>1.295936479720261E-2</c:v>
                </c:pt>
                <c:pt idx="2982">
                  <c:v>1.2963686656393136E-2</c:v>
                </c:pt>
                <c:pt idx="2983">
                  <c:v>1.2968040026217764E-2</c:v>
                </c:pt>
                <c:pt idx="2984">
                  <c:v>1.2972424906996238E-2</c:v>
                </c:pt>
                <c:pt idx="2985">
                  <c:v>1.297684129848875E-2</c:v>
                </c:pt>
                <c:pt idx="2986">
                  <c:v>1.2981289200855173E-2</c:v>
                </c:pt>
                <c:pt idx="2987">
                  <c:v>1.2985768613935633E-2</c:v>
                </c:pt>
                <c:pt idx="2988">
                  <c:v>1.299027953796994E-2</c:v>
                </c:pt>
                <c:pt idx="2989">
                  <c:v>1.2995473464298968E-2</c:v>
                </c:pt>
                <c:pt idx="2990">
                  <c:v>1.300005191144038E-2</c:v>
                </c:pt>
                <c:pt idx="2991">
                  <c:v>1.300466186929583E-2</c:v>
                </c:pt>
                <c:pt idx="2992">
                  <c:v>1.3009303338105127E-2</c:v>
                </c:pt>
                <c:pt idx="2993">
                  <c:v>1.3015687979640589E-2</c:v>
                </c:pt>
                <c:pt idx="2994">
                  <c:v>1.3018680808025707E-2</c:v>
                </c:pt>
                <c:pt idx="2995">
                  <c:v>1.3023416809216926E-2</c:v>
                </c:pt>
                <c:pt idx="2996">
                  <c:v>1.3028184321202119E-2</c:v>
                </c:pt>
                <c:pt idx="2997">
                  <c:v>1.3032983344141158E-2</c:v>
                </c:pt>
                <c:pt idx="2998">
                  <c:v>1.3037813877794235E-2</c:v>
                </c:pt>
                <c:pt idx="2999">
                  <c:v>1.3042675922241287E-2</c:v>
                </c:pt>
                <c:pt idx="3000">
                  <c:v>1.3047569477562249E-2</c:v>
                </c:pt>
                <c:pt idx="3001">
                  <c:v>1.305249454375712E-2</c:v>
                </c:pt>
                <c:pt idx="3002">
                  <c:v>1.305745112066603E-2</c:v>
                </c:pt>
                <c:pt idx="3003">
                  <c:v>1.3062439208528787E-2</c:v>
                </c:pt>
                <c:pt idx="3004">
                  <c:v>1.3067458807105581E-2</c:v>
                </c:pt>
                <c:pt idx="3005">
                  <c:v>1.3072509916716157E-2</c:v>
                </c:pt>
                <c:pt idx="3006">
                  <c:v>1.3077592536800964E-2</c:v>
                </c:pt>
                <c:pt idx="3007">
                  <c:v>1.3082706668079425E-2</c:v>
                </c:pt>
                <c:pt idx="3008">
                  <c:v>1.3087852309991987E-2</c:v>
                </c:pt>
                <c:pt idx="3009">
                  <c:v>1.309302946277846E-2</c:v>
                </c:pt>
                <c:pt idx="3010">
                  <c:v>1.3098238126438844E-2</c:v>
                </c:pt>
                <c:pt idx="3011">
                  <c:v>1.3103478301053073E-2</c:v>
                </c:pt>
                <c:pt idx="3012">
                  <c:v>1.3108749986221468E-2</c:v>
                </c:pt>
                <c:pt idx="3013">
                  <c:v>1.3114035190895379E-2</c:v>
                </c:pt>
                <c:pt idx="3014">
                  <c:v>1.3119310398206352E-2</c:v>
                </c:pt>
                <c:pt idx="3015">
                  <c:v>1.3124575466427757E-2</c:v>
                </c:pt>
                <c:pt idx="3016">
                  <c:v>1.3129830395719466E-2</c:v>
                </c:pt>
                <c:pt idx="3017">
                  <c:v>1.313507518608148E-2</c:v>
                </c:pt>
                <c:pt idx="3018">
                  <c:v>1.3140309837353925E-2</c:v>
                </c:pt>
                <c:pt idx="3019">
                  <c:v>1.3145534349776611E-2</c:v>
                </c:pt>
                <c:pt idx="3020">
                  <c:v>1.3150748723109729E-2</c:v>
                </c:pt>
                <c:pt idx="3021">
                  <c:v>1.3155952957513151E-2</c:v>
                </c:pt>
                <c:pt idx="3022">
                  <c:v>1.3161147052906941E-2</c:v>
                </c:pt>
                <c:pt idx="3023">
                  <c:v>1.3166331009450971E-2</c:v>
                </c:pt>
                <c:pt idx="3024">
                  <c:v>1.3171504826825498E-2</c:v>
                </c:pt>
                <c:pt idx="3025">
                  <c:v>1.3176668505270328E-2</c:v>
                </c:pt>
                <c:pt idx="3026">
                  <c:v>1.3181822044625591E-2</c:v>
                </c:pt>
                <c:pt idx="3027">
                  <c:v>1.3188790859550714E-2</c:v>
                </c:pt>
                <c:pt idx="3028">
                  <c:v>1.3193922512413359E-2</c:v>
                </c:pt>
                <c:pt idx="3029">
                  <c:v>1.319722182919314E-2</c:v>
                </c:pt>
                <c:pt idx="3030">
                  <c:v>1.3202334812669747E-2</c:v>
                </c:pt>
                <c:pt idx="3031">
                  <c:v>1.3207437657136722E-2</c:v>
                </c:pt>
                <c:pt idx="3032">
                  <c:v>1.3212530362594066E-2</c:v>
                </c:pt>
                <c:pt idx="3033">
                  <c:v>1.321761292920165E-2</c:v>
                </c:pt>
                <c:pt idx="3034">
                  <c:v>1.3222685356879538E-2</c:v>
                </c:pt>
                <c:pt idx="3035">
                  <c:v>1.3227747645387922E-2</c:v>
                </c:pt>
                <c:pt idx="3036">
                  <c:v>1.323279979496661E-2</c:v>
                </c:pt>
                <c:pt idx="3037">
                  <c:v>1.3237841805535666E-2</c:v>
                </c:pt>
                <c:pt idx="3038">
                  <c:v>1.3242873677095091E-2</c:v>
                </c:pt>
                <c:pt idx="3039">
                  <c:v>1.3247895409724819E-2</c:v>
                </c:pt>
                <c:pt idx="3040">
                  <c:v>1.3252907003344916E-2</c:v>
                </c:pt>
                <c:pt idx="3041">
                  <c:v>1.3257908457955381E-2</c:v>
                </c:pt>
                <c:pt idx="3042">
                  <c:v>1.3265301287743725E-2</c:v>
                </c:pt>
                <c:pt idx="3043">
                  <c:v>1.3267880950227351E-2</c:v>
                </c:pt>
                <c:pt idx="3044">
                  <c:v>1.3272851987888856E-2</c:v>
                </c:pt>
                <c:pt idx="3045">
                  <c:v>1.327781288654073E-2</c:v>
                </c:pt>
                <c:pt idx="3046">
                  <c:v>1.3282763646103035E-2</c:v>
                </c:pt>
                <c:pt idx="3047">
                  <c:v>1.3287704266815581E-2</c:v>
                </c:pt>
                <c:pt idx="3048">
                  <c:v>1.3292634748358623E-2</c:v>
                </c:pt>
                <c:pt idx="3049">
                  <c:v>1.3297555091051905E-2</c:v>
                </c:pt>
                <c:pt idx="3050">
                  <c:v>1.3302465294735555E-2</c:v>
                </c:pt>
                <c:pt idx="3051">
                  <c:v>1.3307365359409573E-2</c:v>
                </c:pt>
                <c:pt idx="3052">
                  <c:v>1.3312255285073959E-2</c:v>
                </c:pt>
                <c:pt idx="3053">
                  <c:v>1.331713507180865E-2</c:v>
                </c:pt>
                <c:pt idx="3054">
                  <c:v>1.3322004719453773E-2</c:v>
                </c:pt>
                <c:pt idx="3055">
                  <c:v>1.3326864228089264E-2</c:v>
                </c:pt>
                <c:pt idx="3056">
                  <c:v>1.3331713597795058E-2</c:v>
                </c:pt>
                <c:pt idx="3057">
                  <c:v>1.3336552828491222E-2</c:v>
                </c:pt>
                <c:pt idx="3058">
                  <c:v>1.3341381920177753E-2</c:v>
                </c:pt>
                <c:pt idx="3059">
                  <c:v>1.3346200872854652E-2</c:v>
                </c:pt>
                <c:pt idx="3060">
                  <c:v>1.335100968652192E-2</c:v>
                </c:pt>
                <c:pt idx="3061">
                  <c:v>1.3355808361179555E-2</c:v>
                </c:pt>
                <c:pt idx="3062">
                  <c:v>1.3360596896827559E-2</c:v>
                </c:pt>
                <c:pt idx="3063">
                  <c:v>1.3365375293545867E-2</c:v>
                </c:pt>
                <c:pt idx="3064">
                  <c:v>1.3370143551174607E-2</c:v>
                </c:pt>
                <c:pt idx="3065">
                  <c:v>1.3374901669873651E-2</c:v>
                </c:pt>
                <c:pt idx="3066">
                  <c:v>1.3379649649563063E-2</c:v>
                </c:pt>
                <c:pt idx="3067">
                  <c:v>1.3384387490082972E-2</c:v>
                </c:pt>
                <c:pt idx="3068">
                  <c:v>1.3389115191833056E-2</c:v>
                </c:pt>
                <c:pt idx="3069">
                  <c:v>1.3393832754493573E-2</c:v>
                </c:pt>
                <c:pt idx="3070">
                  <c:v>1.3398540178144458E-2</c:v>
                </c:pt>
                <c:pt idx="3071">
                  <c:v>1.3403237462785711E-2</c:v>
                </c:pt>
                <c:pt idx="3072">
                  <c:v>1.3407924608417332E-2</c:v>
                </c:pt>
                <c:pt idx="3073">
                  <c:v>1.3412601615119257E-2</c:v>
                </c:pt>
                <c:pt idx="3074">
                  <c:v>1.3417268482731615E-2</c:v>
                </c:pt>
                <c:pt idx="3075">
                  <c:v>1.3421925211254404E-2</c:v>
                </c:pt>
                <c:pt idx="3076">
                  <c:v>1.342657180100737E-2</c:v>
                </c:pt>
                <c:pt idx="3077">
                  <c:v>1.3431208251510895E-2</c:v>
                </c:pt>
                <c:pt idx="3078">
                  <c:v>1.3435834563084725E-2</c:v>
                </c:pt>
                <c:pt idx="3079">
                  <c:v>1.3440450735728859E-2</c:v>
                </c:pt>
                <c:pt idx="3080">
                  <c:v>1.3445056769283426E-2</c:v>
                </c:pt>
                <c:pt idx="3081">
                  <c:v>1.344965266382836E-2</c:v>
                </c:pt>
                <c:pt idx="3082">
                  <c:v>1.3454238419363662E-2</c:v>
                </c:pt>
                <c:pt idx="3083">
                  <c:v>1.3458814035969269E-2</c:v>
                </c:pt>
                <c:pt idx="3084">
                  <c:v>1.3463379513565243E-2</c:v>
                </c:pt>
                <c:pt idx="3085">
                  <c:v>1.3467934851991714E-2</c:v>
                </c:pt>
                <c:pt idx="3086">
                  <c:v>1.3472480051568425E-2</c:v>
                </c:pt>
                <c:pt idx="3087">
                  <c:v>1.3477015112135504E-2</c:v>
                </c:pt>
                <c:pt idx="3088">
                  <c:v>1.3481540033533079E-2</c:v>
                </c:pt>
                <c:pt idx="3089">
                  <c:v>1.3486054816080895E-2</c:v>
                </c:pt>
                <c:pt idx="3090">
                  <c:v>1.3490559459539142E-2</c:v>
                </c:pt>
                <c:pt idx="3091">
                  <c:v>1.3495053964067694E-2</c:v>
                </c:pt>
                <c:pt idx="3092">
                  <c:v>1.3499538329426741E-2</c:v>
                </c:pt>
                <c:pt idx="3093">
                  <c:v>1.3506302168627471E-2</c:v>
                </c:pt>
                <c:pt idx="3094">
                  <c:v>1.3508476643355749E-2</c:v>
                </c:pt>
                <c:pt idx="3095">
                  <c:v>1.3512930591685901E-2</c:v>
                </c:pt>
                <c:pt idx="3096">
                  <c:v>1.3517374401086357E-2</c:v>
                </c:pt>
                <c:pt idx="3097">
                  <c:v>1.3521808071477182E-2</c:v>
                </c:pt>
                <c:pt idx="3098">
                  <c:v>1.3526231602858374E-2</c:v>
                </c:pt>
                <c:pt idx="3099">
                  <c:v>1.3530644995229935E-2</c:v>
                </c:pt>
                <c:pt idx="3100">
                  <c:v>1.3535048248511927E-2</c:v>
                </c:pt>
                <c:pt idx="3101">
                  <c:v>1.353944136294416E-2</c:v>
                </c:pt>
                <c:pt idx="3102">
                  <c:v>1.3543824338206889E-2</c:v>
                </c:pt>
                <c:pt idx="3103">
                  <c:v>1.354819717438005E-2</c:v>
                </c:pt>
                <c:pt idx="3104">
                  <c:v>1.3552559871703451E-2</c:v>
                </c:pt>
                <c:pt idx="3105">
                  <c:v>1.3556912429937285E-2</c:v>
                </c:pt>
                <c:pt idx="3106">
                  <c:v>1.3561254849241422E-2</c:v>
                </c:pt>
                <c:pt idx="3107">
                  <c:v>1.3565587129296119E-2</c:v>
                </c:pt>
                <c:pt idx="3108">
                  <c:v>1.3569909270580993E-2</c:v>
                </c:pt>
                <c:pt idx="3109">
                  <c:v>1.3574221272696363E-2</c:v>
                </c:pt>
                <c:pt idx="3110">
                  <c:v>1.3578523135882037E-2</c:v>
                </c:pt>
                <c:pt idx="3111">
                  <c:v>1.3582814860058079E-2</c:v>
                </c:pt>
                <c:pt idx="3112">
                  <c:v>1.3587096445064617E-2</c:v>
                </c:pt>
                <c:pt idx="3113">
                  <c:v>1.3591367891221395E-2</c:v>
                </c:pt>
                <c:pt idx="3114">
                  <c:v>1.3595629198288606E-2</c:v>
                </c:pt>
                <c:pt idx="3115">
                  <c:v>1.3599880366346184E-2</c:v>
                </c:pt>
                <c:pt idx="3116">
                  <c:v>1.3604121395314195E-2</c:v>
                </c:pt>
                <c:pt idx="3117">
                  <c:v>1.3608352285272574E-2</c:v>
                </c:pt>
                <c:pt idx="3118">
                  <c:v>1.3612573036301256E-2</c:v>
                </c:pt>
                <c:pt idx="3119">
                  <c:v>1.3616783648240371E-2</c:v>
                </c:pt>
                <c:pt idx="3120">
                  <c:v>1.3620984121169855E-2</c:v>
                </c:pt>
                <c:pt idx="3121">
                  <c:v>1.3625174455169642E-2</c:v>
                </c:pt>
                <c:pt idx="3122">
                  <c:v>1.3629354649999925E-2</c:v>
                </c:pt>
                <c:pt idx="3123">
                  <c:v>1.3633524705820577E-2</c:v>
                </c:pt>
                <c:pt idx="3124">
                  <c:v>1.3637684622711532E-2</c:v>
                </c:pt>
                <c:pt idx="3125">
                  <c:v>1.364183440051292E-2</c:v>
                </c:pt>
                <c:pt idx="3126">
                  <c:v>1.3645974039304676E-2</c:v>
                </c:pt>
                <c:pt idx="3127">
                  <c:v>1.36501035390868E-2</c:v>
                </c:pt>
                <c:pt idx="3128">
                  <c:v>1.3654222899779356E-2</c:v>
                </c:pt>
                <c:pt idx="3129">
                  <c:v>1.365833212146228E-2</c:v>
                </c:pt>
                <c:pt idx="3130">
                  <c:v>1.3662431204135572E-2</c:v>
                </c:pt>
                <c:pt idx="3131">
                  <c:v>1.3666520147799233E-2</c:v>
                </c:pt>
                <c:pt idx="3132">
                  <c:v>1.3670598952453261E-2</c:v>
                </c:pt>
                <c:pt idx="3133">
                  <c:v>1.3674667618017722E-2</c:v>
                </c:pt>
                <c:pt idx="3134">
                  <c:v>1.3678726144652487E-2</c:v>
                </c:pt>
                <c:pt idx="3135">
                  <c:v>1.3682774532117747E-2</c:v>
                </c:pt>
                <c:pt idx="3136">
                  <c:v>1.3686812780573376E-2</c:v>
                </c:pt>
                <c:pt idx="3137">
                  <c:v>1.3690840890179246E-2</c:v>
                </c:pt>
                <c:pt idx="3138">
                  <c:v>1.3694858860615611E-2</c:v>
                </c:pt>
                <c:pt idx="3139">
                  <c:v>1.3698866691962408E-2</c:v>
                </c:pt>
                <c:pt idx="3140">
                  <c:v>1.3702864384379509E-2</c:v>
                </c:pt>
                <c:pt idx="3141">
                  <c:v>1.3706851937707043E-2</c:v>
                </c:pt>
                <c:pt idx="3142">
                  <c:v>1.3710829352184817E-2</c:v>
                </c:pt>
                <c:pt idx="3143">
                  <c:v>1.3714796627333214E-2</c:v>
                </c:pt>
                <c:pt idx="3144">
                  <c:v>1.3718753763551916E-2</c:v>
                </c:pt>
                <c:pt idx="3145">
                  <c:v>1.3722700760840922E-2</c:v>
                </c:pt>
                <c:pt idx="3146">
                  <c:v>1.3726637619040361E-2</c:v>
                </c:pt>
                <c:pt idx="3147">
                  <c:v>1.3730564338230167E-2</c:v>
                </c:pt>
                <c:pt idx="3148">
                  <c:v>1.3736646060092284E-2</c:v>
                </c:pt>
                <c:pt idx="3149">
                  <c:v>1.3738387359500948E-2</c:v>
                </c:pt>
                <c:pt idx="3150">
                  <c:v>1.3743919635311741E-2</c:v>
                </c:pt>
                <c:pt idx="3151">
                  <c:v>1.3747803198009834E-2</c:v>
                </c:pt>
                <c:pt idx="3152">
                  <c:v>1.375167662097887E-2</c:v>
                </c:pt>
                <c:pt idx="3153">
                  <c:v>1.3755539904245495E-2</c:v>
                </c:pt>
                <c:pt idx="3154">
                  <c:v>1.3759393047783064E-2</c:v>
                </c:pt>
                <c:pt idx="3155">
                  <c:v>1.3763236051564931E-2</c:v>
                </c:pt>
                <c:pt idx="3156">
                  <c:v>1.3767068915644387E-2</c:v>
                </c:pt>
                <c:pt idx="3157">
                  <c:v>1.3770891639994787E-2</c:v>
                </c:pt>
                <c:pt idx="3158">
                  <c:v>1.3774704224642775E-2</c:v>
                </c:pt>
                <c:pt idx="3159">
                  <c:v>1.3778506669481771E-2</c:v>
                </c:pt>
                <c:pt idx="3160">
                  <c:v>1.3782298974671647E-2</c:v>
                </c:pt>
                <c:pt idx="3161">
                  <c:v>1.3786081140052531E-2</c:v>
                </c:pt>
                <c:pt idx="3162">
                  <c:v>1.3789853165757648E-2</c:v>
                </c:pt>
                <c:pt idx="3163">
                  <c:v>1.3793615051680419E-2</c:v>
                </c:pt>
                <c:pt idx="3164">
                  <c:v>1.3797366797874133E-2</c:v>
                </c:pt>
                <c:pt idx="3165">
                  <c:v>1.3801108404338791E-2</c:v>
                </c:pt>
                <c:pt idx="3166">
                  <c:v>1.3804839871074392E-2</c:v>
                </c:pt>
                <c:pt idx="3167">
                  <c:v>1.3808561198080938E-2</c:v>
                </c:pt>
                <c:pt idx="3168">
                  <c:v>1.3812272385358426E-2</c:v>
                </c:pt>
                <c:pt idx="3169">
                  <c:v>1.3815973432826922E-2</c:v>
                </c:pt>
                <c:pt idx="3170">
                  <c:v>1.3819664340593008E-2</c:v>
                </c:pt>
                <c:pt idx="3171">
                  <c:v>1.3823345108630036E-2</c:v>
                </c:pt>
                <c:pt idx="3172">
                  <c:v>1.3827015736911363E-2</c:v>
                </c:pt>
                <c:pt idx="3173">
                  <c:v>1.3830676225436989E-2</c:v>
                </c:pt>
                <c:pt idx="3174">
                  <c:v>1.3834326574206912E-2</c:v>
                </c:pt>
                <c:pt idx="3175">
                  <c:v>1.3837966783274425E-2</c:v>
                </c:pt>
                <c:pt idx="3176">
                  <c:v>1.3841596852532945E-2</c:v>
                </c:pt>
                <c:pt idx="3177">
                  <c:v>1.3845216782062408E-2</c:v>
                </c:pt>
                <c:pt idx="3178">
                  <c:v>1.3848826571889461E-2</c:v>
                </c:pt>
                <c:pt idx="3179">
                  <c:v>1.3852426221907521E-2</c:v>
                </c:pt>
                <c:pt idx="3180">
                  <c:v>1.3856015732196525E-2</c:v>
                </c:pt>
                <c:pt idx="3181">
                  <c:v>1.3859595102756472E-2</c:v>
                </c:pt>
                <c:pt idx="3182">
                  <c:v>1.3863164333507427E-2</c:v>
                </c:pt>
                <c:pt idx="3183">
                  <c:v>1.3866723424555971E-2</c:v>
                </c:pt>
                <c:pt idx="3184">
                  <c:v>1.3871270208585251E-2</c:v>
                </c:pt>
                <c:pt idx="3185">
                  <c:v>1.3874285765469452E-2</c:v>
                </c:pt>
                <c:pt idx="3186">
                  <c:v>1.3877811268478979E-2</c:v>
                </c:pt>
                <c:pt idx="3187">
                  <c:v>1.3881326632239066E-2</c:v>
                </c:pt>
                <c:pt idx="3188">
                  <c:v>1.3884831857069457E-2</c:v>
                </c:pt>
                <c:pt idx="3189">
                  <c:v>1.3888326942730345E-2</c:v>
                </c:pt>
                <c:pt idx="3190">
                  <c:v>1.3891811889541472E-2</c:v>
                </c:pt>
                <c:pt idx="3191">
                  <c:v>1.3895286697183096E-2</c:v>
                </c:pt>
                <c:pt idx="3192">
                  <c:v>1.3898751365815087E-2</c:v>
                </c:pt>
                <c:pt idx="3193">
                  <c:v>1.3902205895437447E-2</c:v>
                </c:pt>
                <c:pt idx="3194">
                  <c:v>1.3905650285970239E-2</c:v>
                </c:pt>
                <c:pt idx="3195">
                  <c:v>1.3909084537413463E-2</c:v>
                </c:pt>
                <c:pt idx="3196">
                  <c:v>1.3912508649847055E-2</c:v>
                </c:pt>
                <c:pt idx="3197">
                  <c:v>1.3915922623191079E-2</c:v>
                </c:pt>
                <c:pt idx="3198">
                  <c:v>1.3919326457605408E-2</c:v>
                </c:pt>
                <c:pt idx="3199">
                  <c:v>1.3923687917838379E-2</c:v>
                </c:pt>
                <c:pt idx="3200">
                  <c:v>1.3926103709085424E-2</c:v>
                </c:pt>
                <c:pt idx="3201">
                  <c:v>1.3929477126310985E-2</c:v>
                </c:pt>
                <c:pt idx="3202">
                  <c:v>1.3932840404526914E-2</c:v>
                </c:pt>
                <c:pt idx="3203">
                  <c:v>1.3936193543493403E-2</c:v>
                </c:pt>
                <c:pt idx="3204">
                  <c:v>1.3939536543610132E-2</c:v>
                </c:pt>
                <c:pt idx="3205">
                  <c:v>1.3942869404557356E-2</c:v>
                </c:pt>
                <c:pt idx="3206">
                  <c:v>1.3946192126574886E-2</c:v>
                </c:pt>
                <c:pt idx="3207">
                  <c:v>1.3949504709342975E-2</c:v>
                </c:pt>
                <c:pt idx="3208">
                  <c:v>1.3952807153181368E-2</c:v>
                </c:pt>
                <c:pt idx="3209">
                  <c:v>1.3956099458010129E-2</c:v>
                </c:pt>
                <c:pt idx="3210">
                  <c:v>1.3959381623669387E-2</c:v>
                </c:pt>
                <c:pt idx="3211">
                  <c:v>1.3962653650398948E-2</c:v>
                </c:pt>
                <c:pt idx="3212">
                  <c:v>1.3965915538038942E-2</c:v>
                </c:pt>
                <c:pt idx="3213">
                  <c:v>1.3969167286589368E-2</c:v>
                </c:pt>
                <c:pt idx="3214">
                  <c:v>1.3972408896130162E-2</c:v>
                </c:pt>
                <c:pt idx="3215">
                  <c:v>1.3975640366661324E-2</c:v>
                </c:pt>
                <c:pt idx="3216">
                  <c:v>1.3978861697943046E-2</c:v>
                </c:pt>
                <c:pt idx="3217">
                  <c:v>1.3982072890375008E-2</c:v>
                </c:pt>
                <c:pt idx="3218">
                  <c:v>1.3985273943637466E-2</c:v>
                </c:pt>
                <c:pt idx="3219">
                  <c:v>1.3988464857970229E-2</c:v>
                </c:pt>
                <c:pt idx="3220">
                  <c:v>1.3991645633133487E-2</c:v>
                </c:pt>
                <c:pt idx="3221">
                  <c:v>1.3994816269207178E-2</c:v>
                </c:pt>
                <c:pt idx="3222">
                  <c:v>1.3997976766351172E-2</c:v>
                </c:pt>
                <c:pt idx="3223">
                  <c:v>1.4001127124405599E-2</c:v>
                </c:pt>
                <c:pt idx="3224">
                  <c:v>1.4004267343370458E-2</c:v>
                </c:pt>
                <c:pt idx="3225">
                  <c:v>1.4007397423245749E-2</c:v>
                </c:pt>
                <c:pt idx="3226">
                  <c:v>1.4010517364111408E-2</c:v>
                </c:pt>
                <c:pt idx="3227">
                  <c:v>1.4013627165967435E-2</c:v>
                </c:pt>
                <c:pt idx="3228">
                  <c:v>1.4016726828653958E-2</c:v>
                </c:pt>
                <c:pt idx="3229">
                  <c:v>1.4019816352410785E-2</c:v>
                </c:pt>
                <c:pt idx="3230">
                  <c:v>1.4022895736998109E-2</c:v>
                </c:pt>
                <c:pt idx="3231">
                  <c:v>1.40259649825758E-2</c:v>
                </c:pt>
                <c:pt idx="3232">
                  <c:v>1.4029024089063924E-2</c:v>
                </c:pt>
                <c:pt idx="3233">
                  <c:v>1.4032073056542416E-2</c:v>
                </c:pt>
                <c:pt idx="3234">
                  <c:v>1.4035111885011275E-2</c:v>
                </c:pt>
                <c:pt idx="3235">
                  <c:v>1.4038140574310631E-2</c:v>
                </c:pt>
                <c:pt idx="3236">
                  <c:v>1.4042078462206398E-2</c:v>
                </c:pt>
                <c:pt idx="3237">
                  <c:v>1.4044596481159743E-2</c:v>
                </c:pt>
                <c:pt idx="3238">
                  <c:v>1.4047593304908901E-2</c:v>
                </c:pt>
                <c:pt idx="3239">
                  <c:v>1.4050579989488554E-2</c:v>
                </c:pt>
                <c:pt idx="3240">
                  <c:v>1.4053556535138512E-2</c:v>
                </c:pt>
                <c:pt idx="3241">
                  <c:v>1.4056522941698901E-2</c:v>
                </c:pt>
                <c:pt idx="3242">
                  <c:v>1.4059479209169723E-2</c:v>
                </c:pt>
                <c:pt idx="3243">
                  <c:v>1.4062425337630913E-2</c:v>
                </c:pt>
                <c:pt idx="3244">
                  <c:v>1.4065361326922599E-2</c:v>
                </c:pt>
                <c:pt idx="3245">
                  <c:v>1.4068287177284589E-2</c:v>
                </c:pt>
                <c:pt idx="3246">
                  <c:v>1.4071202888477075E-2</c:v>
                </c:pt>
                <c:pt idx="3247">
                  <c:v>1.4074108460739865E-2</c:v>
                </c:pt>
                <c:pt idx="3248">
                  <c:v>1.4077003893833151E-2</c:v>
                </c:pt>
                <c:pt idx="3249">
                  <c:v>1.4080711695338977E-2</c:v>
                </c:pt>
                <c:pt idx="3250">
                  <c:v>1.4083583953450329E-2</c:v>
                </c:pt>
                <c:pt idx="3251">
                  <c:v>1.4086446072392178E-2</c:v>
                </c:pt>
                <c:pt idx="3252">
                  <c:v>1.4089298052484267E-2</c:v>
                </c:pt>
                <c:pt idx="3253">
                  <c:v>1.4093501621790239E-2</c:v>
                </c:pt>
                <c:pt idx="3254">
                  <c:v>1.4094971595239869E-2</c:v>
                </c:pt>
                <c:pt idx="3255">
                  <c:v>1.409779315814319E-2</c:v>
                </c:pt>
                <c:pt idx="3256">
                  <c:v>1.4100604581797072E-2</c:v>
                </c:pt>
                <c:pt idx="3257">
                  <c:v>1.4103405866521257E-2</c:v>
                </c:pt>
                <c:pt idx="3258">
                  <c:v>1.4106197012075938E-2</c:v>
                </c:pt>
                <c:pt idx="3259">
                  <c:v>1.4108978018700924E-2</c:v>
                </c:pt>
                <c:pt idx="3260">
                  <c:v>1.4111748886156406E-2</c:v>
                </c:pt>
                <c:pt idx="3261">
                  <c:v>1.4114509614522319E-2</c:v>
                </c:pt>
                <c:pt idx="3262">
                  <c:v>1.4117260203878601E-2</c:v>
                </c:pt>
                <c:pt idx="3263">
                  <c:v>1.4120000654145315E-2</c:v>
                </c:pt>
                <c:pt idx="3264">
                  <c:v>1.4122730965402397E-2</c:v>
                </c:pt>
                <c:pt idx="3265">
                  <c:v>1.4125451137489975E-2</c:v>
                </c:pt>
                <c:pt idx="3266">
                  <c:v>1.4128161170647857E-2</c:v>
                </c:pt>
                <c:pt idx="3267">
                  <c:v>1.4130861064716171E-2</c:v>
                </c:pt>
                <c:pt idx="3268">
                  <c:v>1.4133550819614982E-2</c:v>
                </c:pt>
                <c:pt idx="3269">
                  <c:v>1.4136230435424224E-2</c:v>
                </c:pt>
                <c:pt idx="3270">
                  <c:v>1.4138899912303771E-2</c:v>
                </c:pt>
                <c:pt idx="3271">
                  <c:v>1.4141559250013813E-2</c:v>
                </c:pt>
                <c:pt idx="3272">
                  <c:v>1.4144208448634288E-2</c:v>
                </c:pt>
                <c:pt idx="3273">
                  <c:v>1.4146847508325067E-2</c:v>
                </c:pt>
                <c:pt idx="3274">
                  <c:v>1.4149476428846341E-2</c:v>
                </c:pt>
                <c:pt idx="3275">
                  <c:v>1.4152095210437921E-2</c:v>
                </c:pt>
                <c:pt idx="3276">
                  <c:v>1.4154703852700123E-2</c:v>
                </c:pt>
                <c:pt idx="3277">
                  <c:v>1.4157302356032631E-2</c:v>
                </c:pt>
                <c:pt idx="3278">
                  <c:v>1.4159890720355506E-2</c:v>
                </c:pt>
                <c:pt idx="3279">
                  <c:v>1.4162468945588813E-2</c:v>
                </c:pt>
                <c:pt idx="3280">
                  <c:v>1.4165037031652616E-2</c:v>
                </c:pt>
                <c:pt idx="3281">
                  <c:v>1.4167594978706788E-2</c:v>
                </c:pt>
                <c:pt idx="3282">
                  <c:v>1.4170142786751327E-2</c:v>
                </c:pt>
                <c:pt idx="3283">
                  <c:v>1.4172680455626363E-2</c:v>
                </c:pt>
                <c:pt idx="3284">
                  <c:v>1.4175207985411831E-2</c:v>
                </c:pt>
                <c:pt idx="3285">
                  <c:v>1.4177725376347539E-2</c:v>
                </c:pt>
                <c:pt idx="3286">
                  <c:v>1.418023262795387E-2</c:v>
                </c:pt>
                <c:pt idx="3287">
                  <c:v>1.4184152109812942E-2</c:v>
                </c:pt>
                <c:pt idx="3288">
                  <c:v>1.4186484355489526E-2</c:v>
                </c:pt>
                <c:pt idx="3289">
                  <c:v>1.4187693548715075E-2</c:v>
                </c:pt>
                <c:pt idx="3290">
                  <c:v>1.4190160244123007E-2</c:v>
                </c:pt>
                <c:pt idx="3291">
                  <c:v>1.4192616800441371E-2</c:v>
                </c:pt>
                <c:pt idx="3292">
                  <c:v>1.419506321783004E-2</c:v>
                </c:pt>
                <c:pt idx="3293">
                  <c:v>1.4197499495969268E-2</c:v>
                </c:pt>
                <c:pt idx="3294">
                  <c:v>1.4199925635098865E-2</c:v>
                </c:pt>
                <c:pt idx="3295">
                  <c:v>1.4202341635138893E-2</c:v>
                </c:pt>
                <c:pt idx="3296">
                  <c:v>1.4204747496089354E-2</c:v>
                </c:pt>
                <c:pt idx="3297">
                  <c:v>1.4207143218110119E-2</c:v>
                </c:pt>
                <c:pt idx="3298">
                  <c:v>1.4209528800881444E-2</c:v>
                </c:pt>
                <c:pt idx="3299">
                  <c:v>1.4211904244723073E-2</c:v>
                </c:pt>
                <c:pt idx="3300">
                  <c:v>1.4214269549395198E-2</c:v>
                </c:pt>
                <c:pt idx="3301">
                  <c:v>1.4216624714977755E-2</c:v>
                </c:pt>
                <c:pt idx="3302">
                  <c:v>1.421896974155068E-2</c:v>
                </c:pt>
                <c:pt idx="3303">
                  <c:v>1.4223093406128484E-2</c:v>
                </c:pt>
                <c:pt idx="3304">
                  <c:v>1.4223629377347891E-2</c:v>
                </c:pt>
                <c:pt idx="3305">
                  <c:v>1.4227281846355133E-2</c:v>
                </c:pt>
                <c:pt idx="3306">
                  <c:v>1.4228248457026638E-2</c:v>
                </c:pt>
                <c:pt idx="3307">
                  <c:v>1.4230542788151723E-2</c:v>
                </c:pt>
                <c:pt idx="3308">
                  <c:v>1.4232826980187241E-2</c:v>
                </c:pt>
                <c:pt idx="3309">
                  <c:v>1.4235101033213127E-2</c:v>
                </c:pt>
                <c:pt idx="3310">
                  <c:v>1.4237364947229381E-2</c:v>
                </c:pt>
                <c:pt idx="3311">
                  <c:v>1.4239618722156067E-2</c:v>
                </c:pt>
                <c:pt idx="3312">
                  <c:v>1.4241862357913249E-2</c:v>
                </c:pt>
                <c:pt idx="3313">
                  <c:v>1.4244095854660799E-2</c:v>
                </c:pt>
                <c:pt idx="3314">
                  <c:v>1.4246319212238845E-2</c:v>
                </c:pt>
                <c:pt idx="3315">
                  <c:v>1.4248532430887195E-2</c:v>
                </c:pt>
                <c:pt idx="3316">
                  <c:v>1.4250735510286106E-2</c:v>
                </c:pt>
                <c:pt idx="3317">
                  <c:v>1.425292845075532E-2</c:v>
                </c:pt>
                <c:pt idx="3318">
                  <c:v>1.4255111252134967E-2</c:v>
                </c:pt>
                <c:pt idx="3319">
                  <c:v>1.4257283914265173E-2</c:v>
                </c:pt>
                <c:pt idx="3320">
                  <c:v>1.4259446437465684E-2</c:v>
                </c:pt>
                <c:pt idx="3321">
                  <c:v>1.4261598821656563E-2</c:v>
                </c:pt>
                <c:pt idx="3322">
                  <c:v>1.4263741066598001E-2</c:v>
                </c:pt>
                <c:pt idx="3323">
                  <c:v>1.4265873172609744E-2</c:v>
                </c:pt>
                <c:pt idx="3324">
                  <c:v>1.4267995139531919E-2</c:v>
                </c:pt>
                <c:pt idx="3325">
                  <c:v>1.427010696728459E-2</c:v>
                </c:pt>
                <c:pt idx="3326">
                  <c:v>1.4272208655947694E-2</c:v>
                </c:pt>
                <c:pt idx="3327">
                  <c:v>1.4274300205601165E-2</c:v>
                </c:pt>
                <c:pt idx="3328">
                  <c:v>1.4276381616165068E-2</c:v>
                </c:pt>
                <c:pt idx="3329">
                  <c:v>1.4278452887639403E-2</c:v>
                </c:pt>
                <c:pt idx="3330">
                  <c:v>1.4280514020024171E-2</c:v>
                </c:pt>
                <c:pt idx="3331">
                  <c:v>1.428256501331937E-2</c:v>
                </c:pt>
                <c:pt idx="3332">
                  <c:v>1.4284605867604938E-2</c:v>
                </c:pt>
                <c:pt idx="3333">
                  <c:v>1.4286636582800938E-2</c:v>
                </c:pt>
                <c:pt idx="3334">
                  <c:v>1.4288657158827434E-2</c:v>
                </c:pt>
                <c:pt idx="3335">
                  <c:v>1.4290667595844297E-2</c:v>
                </c:pt>
                <c:pt idx="3336">
                  <c:v>1.4292667893771593E-2</c:v>
                </c:pt>
                <c:pt idx="3337">
                  <c:v>1.4294658052529385E-2</c:v>
                </c:pt>
                <c:pt idx="3338">
                  <c:v>1.4296638072277545E-2</c:v>
                </c:pt>
                <c:pt idx="3339">
                  <c:v>1.4299880570307621E-2</c:v>
                </c:pt>
                <c:pt idx="3340">
                  <c:v>1.4301838372527964E-2</c:v>
                </c:pt>
                <c:pt idx="3341">
                  <c:v>1.4302517297064554E-2</c:v>
                </c:pt>
                <c:pt idx="3342">
                  <c:v>1.4304456760454443E-2</c:v>
                </c:pt>
                <c:pt idx="3343">
                  <c:v>1.4306386084914635E-2</c:v>
                </c:pt>
                <c:pt idx="3344">
                  <c:v>1.4308305270205324E-2</c:v>
                </c:pt>
                <c:pt idx="3345">
                  <c:v>1.4310214316326508E-2</c:v>
                </c:pt>
                <c:pt idx="3346">
                  <c:v>1.4312113223438061E-2</c:v>
                </c:pt>
                <c:pt idx="3347">
                  <c:v>1.4314001991539982E-2</c:v>
                </c:pt>
                <c:pt idx="3348">
                  <c:v>1.4315880620312527E-2</c:v>
                </c:pt>
                <c:pt idx="3349">
                  <c:v>1.4317749110235312E-2</c:v>
                </c:pt>
                <c:pt idx="3350">
                  <c:v>1.4319607460988593E-2</c:v>
                </c:pt>
                <c:pt idx="3351">
                  <c:v>1.4321455672732242E-2</c:v>
                </c:pt>
                <c:pt idx="3352">
                  <c:v>1.4323293745306387E-2</c:v>
                </c:pt>
                <c:pt idx="3353">
                  <c:v>1.43251216788709E-2</c:v>
                </c:pt>
                <c:pt idx="3354">
                  <c:v>1.4328597241636487E-2</c:v>
                </c:pt>
                <c:pt idx="3355">
                  <c:v>1.4328747128651287E-2</c:v>
                </c:pt>
                <c:pt idx="3356">
                  <c:v>1.4330544644947096E-2</c:v>
                </c:pt>
                <c:pt idx="3357">
                  <c:v>1.4332332022073402E-2</c:v>
                </c:pt>
                <c:pt idx="3358">
                  <c:v>1.4334109260270012E-2</c:v>
                </c:pt>
                <c:pt idx="3359">
                  <c:v>1.4335876359217181E-2</c:v>
                </c:pt>
                <c:pt idx="3360">
                  <c:v>1.4337633319234655E-2</c:v>
                </c:pt>
                <c:pt idx="3361">
                  <c:v>1.4339380140082625E-2</c:v>
                </c:pt>
                <c:pt idx="3362">
                  <c:v>1.4341116821841027E-2</c:v>
                </c:pt>
                <c:pt idx="3363">
                  <c:v>1.4342843364429925E-2</c:v>
                </c:pt>
                <c:pt idx="3364">
                  <c:v>1.4344559768089127E-2</c:v>
                </c:pt>
                <c:pt idx="3365">
                  <c:v>1.4346266032658761E-2</c:v>
                </c:pt>
                <c:pt idx="3366">
                  <c:v>1.4347962158058891E-2</c:v>
                </c:pt>
                <c:pt idx="3367">
                  <c:v>1.4349648144369453E-2</c:v>
                </c:pt>
                <c:pt idx="3368">
                  <c:v>1.4351323991670384E-2</c:v>
                </c:pt>
                <c:pt idx="3369">
                  <c:v>1.435298969980181E-2</c:v>
                </c:pt>
                <c:pt idx="3370">
                  <c:v>1.4354645268843669E-2</c:v>
                </c:pt>
                <c:pt idx="3371">
                  <c:v>1.4356290698955831E-2</c:v>
                </c:pt>
                <c:pt idx="3372">
                  <c:v>1.435792598989849E-2</c:v>
                </c:pt>
                <c:pt idx="3373">
                  <c:v>1.4359551141671645E-2</c:v>
                </c:pt>
                <c:pt idx="3374">
                  <c:v>1.4361166154355232E-2</c:v>
                </c:pt>
                <c:pt idx="3375">
                  <c:v>1.4362771028109123E-2</c:v>
                </c:pt>
                <c:pt idx="3376">
                  <c:v>1.4364365762613573E-2</c:v>
                </c:pt>
                <c:pt idx="3377">
                  <c:v>1.4365950358108392E-2</c:v>
                </c:pt>
                <c:pt idx="3378">
                  <c:v>1.436752481459358E-2</c:v>
                </c:pt>
                <c:pt idx="3379">
                  <c:v>1.4369089131829327E-2</c:v>
                </c:pt>
                <c:pt idx="3380">
                  <c:v>1.4370643310055442E-2</c:v>
                </c:pt>
                <c:pt idx="3381">
                  <c:v>1.4372187349271925E-2</c:v>
                </c:pt>
                <c:pt idx="3382">
                  <c:v>1.4373721249318905E-2</c:v>
                </c:pt>
                <c:pt idx="3383">
                  <c:v>1.4375245010276316E-2</c:v>
                </c:pt>
                <c:pt idx="3384">
                  <c:v>1.437675863214416E-2</c:v>
                </c:pt>
                <c:pt idx="3385">
                  <c:v>1.4378262114842499E-2</c:v>
                </c:pt>
                <c:pt idx="3386">
                  <c:v>1.4379755458611143E-2</c:v>
                </c:pt>
                <c:pt idx="3387">
                  <c:v>1.4381238663210283E-2</c:v>
                </c:pt>
                <c:pt idx="3388">
                  <c:v>1.4382711728719855E-2</c:v>
                </c:pt>
                <c:pt idx="3389">
                  <c:v>1.4384174655219795E-2</c:v>
                </c:pt>
                <c:pt idx="3390">
                  <c:v>1.4385627442550231E-2</c:v>
                </c:pt>
                <c:pt idx="3391">
                  <c:v>1.4387070090791099E-2</c:v>
                </c:pt>
                <c:pt idx="3392">
                  <c:v>1.4388502599942399E-2</c:v>
                </c:pt>
                <c:pt idx="3393">
                  <c:v>1.4389924970084067E-2</c:v>
                </c:pt>
                <c:pt idx="3394">
                  <c:v>1.4391337201056231E-2</c:v>
                </c:pt>
                <c:pt idx="3395">
                  <c:v>1.4392739292938828E-2</c:v>
                </c:pt>
                <c:pt idx="3396">
                  <c:v>1.4394131245811792E-2</c:v>
                </c:pt>
                <c:pt idx="3397">
                  <c:v>1.4395513059515253E-2</c:v>
                </c:pt>
                <c:pt idx="3398">
                  <c:v>1.4396884734209081E-2</c:v>
                </c:pt>
                <c:pt idx="3399">
                  <c:v>1.439824626965347E-2</c:v>
                </c:pt>
                <c:pt idx="3400">
                  <c:v>1.4399597666168162E-2</c:v>
                </c:pt>
                <c:pt idx="3401">
                  <c:v>1.4400938923513351E-2</c:v>
                </c:pt>
                <c:pt idx="3402">
                  <c:v>1.4402270041768972E-2</c:v>
                </c:pt>
                <c:pt idx="3403">
                  <c:v>1.4403591021014961E-2</c:v>
                </c:pt>
                <c:pt idx="3404">
                  <c:v>1.4406427207836359E-2</c:v>
                </c:pt>
                <c:pt idx="3405">
                  <c:v>1.4406202562158299E-2</c:v>
                </c:pt>
                <c:pt idx="3406">
                  <c:v>1.4407493123975712E-2</c:v>
                </c:pt>
                <c:pt idx="3407">
                  <c:v>1.4408773546943365E-2</c:v>
                </c:pt>
                <c:pt idx="3408">
                  <c:v>1.4410043830661579E-2</c:v>
                </c:pt>
                <c:pt idx="3409">
                  <c:v>1.4411303975290224E-2</c:v>
                </c:pt>
                <c:pt idx="3410">
                  <c:v>1.4412553980829301E-2</c:v>
                </c:pt>
                <c:pt idx="3411">
                  <c:v>1.4413793847278811E-2</c:v>
                </c:pt>
                <c:pt idx="3412">
                  <c:v>1.4415023574718688E-2</c:v>
                </c:pt>
                <c:pt idx="3413">
                  <c:v>1.4416243162909126E-2</c:v>
                </c:pt>
                <c:pt idx="3414">
                  <c:v>1.4417452612169868E-2</c:v>
                </c:pt>
                <c:pt idx="3415">
                  <c:v>1.4418651922261105E-2</c:v>
                </c:pt>
                <c:pt idx="3416">
                  <c:v>1.4419841093342711E-2</c:v>
                </c:pt>
                <c:pt idx="3417">
                  <c:v>1.4421020125174877E-2</c:v>
                </c:pt>
                <c:pt idx="3418">
                  <c:v>1.4422189017997411E-2</c:v>
                </c:pt>
                <c:pt idx="3419">
                  <c:v>1.4423347771730377E-2</c:v>
                </c:pt>
                <c:pt idx="3420">
                  <c:v>1.4424496386373775E-2</c:v>
                </c:pt>
                <c:pt idx="3421">
                  <c:v>1.4425634861927605E-2</c:v>
                </c:pt>
                <c:pt idx="3422">
                  <c:v>1.4426763198471804E-2</c:v>
                </c:pt>
                <c:pt idx="3423">
                  <c:v>1.4427881395846498E-2</c:v>
                </c:pt>
                <c:pt idx="3424">
                  <c:v>1.4428989454051688E-2</c:v>
                </c:pt>
                <c:pt idx="3425">
                  <c:v>1.4430087373327183E-2</c:v>
                </c:pt>
                <c:pt idx="3426">
                  <c:v>1.4431175153433173E-2</c:v>
                </c:pt>
                <c:pt idx="3427">
                  <c:v>1.443225279436966E-2</c:v>
                </c:pt>
                <c:pt idx="3428">
                  <c:v>1.4433320296296515E-2</c:v>
                </c:pt>
                <c:pt idx="3429">
                  <c:v>1.4434377659133801E-2</c:v>
                </c:pt>
                <c:pt idx="3430">
                  <c:v>1.443542488288152E-2</c:v>
                </c:pt>
                <c:pt idx="3431">
                  <c:v>1.4436461967459735E-2</c:v>
                </c:pt>
                <c:pt idx="3432">
                  <c:v>1.4437488913028318E-2</c:v>
                </c:pt>
                <c:pt idx="3433">
                  <c:v>1.4438505719427397E-2</c:v>
                </c:pt>
                <c:pt idx="3434">
                  <c:v>1.4439512386816844E-2</c:v>
                </c:pt>
                <c:pt idx="3435">
                  <c:v>1.4440508915036787E-2</c:v>
                </c:pt>
                <c:pt idx="3436">
                  <c:v>1.4441495304327034E-2</c:v>
                </c:pt>
                <c:pt idx="3437">
                  <c:v>1.4442471554447778E-2</c:v>
                </c:pt>
                <c:pt idx="3438">
                  <c:v>1.4443437665319081E-2</c:v>
                </c:pt>
                <c:pt idx="3439">
                  <c:v>1.4444393637260688E-2</c:v>
                </c:pt>
                <c:pt idx="3440">
                  <c:v>1.4445339469952856E-2</c:v>
                </c:pt>
                <c:pt idx="3441">
                  <c:v>1.4446275163715327E-2</c:v>
                </c:pt>
                <c:pt idx="3442">
                  <c:v>1.4447200718388231E-2</c:v>
                </c:pt>
                <c:pt idx="3443">
                  <c:v>1.4448116133891631E-2</c:v>
                </c:pt>
                <c:pt idx="3444">
                  <c:v>1.445021209127928E-2</c:v>
                </c:pt>
                <c:pt idx="3445">
                  <c:v>1.4450750398271595E-2</c:v>
                </c:pt>
                <c:pt idx="3446">
                  <c:v>1.4451632570446904E-2</c:v>
                </c:pt>
                <c:pt idx="3447">
                  <c:v>1.445250460270664E-2</c:v>
                </c:pt>
                <c:pt idx="3448">
                  <c:v>1.4453366495077447E-2</c:v>
                </c:pt>
                <c:pt idx="3449">
                  <c:v>1.445421824753268E-2</c:v>
                </c:pt>
                <c:pt idx="3450">
                  <c:v>1.4455059860098984E-2</c:v>
                </c:pt>
                <c:pt idx="3451">
                  <c:v>1.4455891332749715E-2</c:v>
                </c:pt>
                <c:pt idx="3452">
                  <c:v>1.4456712665484872E-2</c:v>
                </c:pt>
                <c:pt idx="3453">
                  <c:v>1.4457523858331101E-2</c:v>
                </c:pt>
                <c:pt idx="3454">
                  <c:v>1.445832491123511E-2</c:v>
                </c:pt>
                <c:pt idx="3455">
                  <c:v>1.4459115824303481E-2</c:v>
                </c:pt>
                <c:pt idx="3456">
                  <c:v>1.4459896597429633E-2</c:v>
                </c:pt>
                <c:pt idx="3457">
                  <c:v>1.4460667230640212E-2</c:v>
                </c:pt>
                <c:pt idx="3458">
                  <c:v>1.4461427723935216E-2</c:v>
                </c:pt>
                <c:pt idx="3459">
                  <c:v>1.4461915650620938E-2</c:v>
                </c:pt>
                <c:pt idx="3460">
                  <c:v>1.4462918290885085E-2</c:v>
                </c:pt>
                <c:pt idx="3461">
                  <c:v>1.4463648364460013E-2</c:v>
                </c:pt>
                <c:pt idx="3462">
                  <c:v>1.4464368298146013E-2</c:v>
                </c:pt>
                <c:pt idx="3463">
                  <c:v>1.4465078091916439E-2</c:v>
                </c:pt>
                <c:pt idx="3464">
                  <c:v>1.4465777745797936E-2</c:v>
                </c:pt>
                <c:pt idx="3465">
                  <c:v>1.446646725976386E-2</c:v>
                </c:pt>
                <c:pt idx="3466">
                  <c:v>1.4467146633840855E-2</c:v>
                </c:pt>
                <c:pt idx="3467">
                  <c:v>1.4467815867975631E-2</c:v>
                </c:pt>
                <c:pt idx="3468">
                  <c:v>1.4468474962221478E-2</c:v>
                </c:pt>
                <c:pt idx="3469">
                  <c:v>1.4469123916551752E-2</c:v>
                </c:pt>
                <c:pt idx="3470">
                  <c:v>1.4469762730993097E-2</c:v>
                </c:pt>
                <c:pt idx="3471">
                  <c:v>1.4470391405492222E-2</c:v>
                </c:pt>
                <c:pt idx="3472">
                  <c:v>1.4471009940102419E-2</c:v>
                </c:pt>
                <c:pt idx="3473">
                  <c:v>1.4471618334823688E-2</c:v>
                </c:pt>
                <c:pt idx="3474">
                  <c:v>1.4472216589602738E-2</c:v>
                </c:pt>
                <c:pt idx="3475">
                  <c:v>1.4472804704492859E-2</c:v>
                </c:pt>
                <c:pt idx="3476">
                  <c:v>1.4473382679440761E-2</c:v>
                </c:pt>
                <c:pt idx="3477">
                  <c:v>1.4473950514526379E-2</c:v>
                </c:pt>
                <c:pt idx="3478">
                  <c:v>1.4474508209696424E-2</c:v>
                </c:pt>
                <c:pt idx="3479">
                  <c:v>1.4475055764950895E-2</c:v>
                </c:pt>
                <c:pt idx="3480">
                  <c:v>1.4475593180289792E-2</c:v>
                </c:pt>
                <c:pt idx="3481">
                  <c:v>1.447612045568647E-2</c:v>
                </c:pt>
                <c:pt idx="3482">
                  <c:v>1.4476637591220864E-2</c:v>
                </c:pt>
                <c:pt idx="3483">
                  <c:v>1.447714458681304E-2</c:v>
                </c:pt>
                <c:pt idx="3484">
                  <c:v>1.4477641442542932E-2</c:v>
                </c:pt>
                <c:pt idx="3485">
                  <c:v>1.447812815830396E-2</c:v>
                </c:pt>
                <c:pt idx="3486">
                  <c:v>1.4478604734202705E-2</c:v>
                </c:pt>
                <c:pt idx="3487">
                  <c:v>1.447907117015923E-2</c:v>
                </c:pt>
                <c:pt idx="3488">
                  <c:v>1.4479527466253472E-2</c:v>
                </c:pt>
                <c:pt idx="3489">
                  <c:v>1.4479973622405495E-2</c:v>
                </c:pt>
                <c:pt idx="3490">
                  <c:v>1.4480409638615299E-2</c:v>
                </c:pt>
                <c:pt idx="3491">
                  <c:v>1.4480835514936174E-2</c:v>
                </c:pt>
                <c:pt idx="3492">
                  <c:v>1.4481251251341476E-2</c:v>
                </c:pt>
                <c:pt idx="3493">
                  <c:v>1.4481656847884494E-2</c:v>
                </c:pt>
                <c:pt idx="3494">
                  <c:v>1.4482052304405357E-2</c:v>
                </c:pt>
                <c:pt idx="3495">
                  <c:v>1.4482437621117228E-2</c:v>
                </c:pt>
                <c:pt idx="3496">
                  <c:v>1.448265306364771E-2</c:v>
                </c:pt>
                <c:pt idx="3497">
                  <c:v>1.4482697694946367E-2</c:v>
                </c:pt>
                <c:pt idx="3498">
                  <c:v>1.4483049666438319E-2</c:v>
                </c:pt>
                <c:pt idx="3499">
                  <c:v>1.4483391498840703E-2</c:v>
                </c:pt>
                <c:pt idx="3500">
                  <c:v>1.4483723192153519E-2</c:v>
                </c:pt>
                <c:pt idx="3501">
                  <c:v>1.4484044746296831E-2</c:v>
                </c:pt>
                <c:pt idx="3502">
                  <c:v>1.4484356161510448E-2</c:v>
                </c:pt>
                <c:pt idx="3503">
                  <c:v>1.448465743755456E-2</c:v>
                </c:pt>
                <c:pt idx="3504">
                  <c:v>1.4484948574429168E-2</c:v>
                </c:pt>
                <c:pt idx="3505">
                  <c:v>1.4485229572294145E-2</c:v>
                </c:pt>
                <c:pt idx="3506">
                  <c:v>1.4485500430989617E-2</c:v>
                </c:pt>
                <c:pt idx="3507">
                  <c:v>1.4485761150675458E-2</c:v>
                </c:pt>
                <c:pt idx="3508">
                  <c:v>1.4486011731191795E-2</c:v>
                </c:pt>
                <c:pt idx="3509">
                  <c:v>1.4486252172618563E-2</c:v>
                </c:pt>
                <c:pt idx="3510">
                  <c:v>1.4486546413410295E-2</c:v>
                </c:pt>
                <c:pt idx="3511">
                  <c:v>1.4486702638283333E-2</c:v>
                </c:pt>
                <c:pt idx="3512">
                  <c:v>1.4486912662361462E-2</c:v>
                </c:pt>
                <c:pt idx="3513">
                  <c:v>1.4487112547429959E-2</c:v>
                </c:pt>
                <c:pt idx="3514">
                  <c:v>1.4487302293408888E-2</c:v>
                </c:pt>
                <c:pt idx="3515">
                  <c:v>1.4487481900298249E-2</c:v>
                </c:pt>
                <c:pt idx="3516">
                  <c:v>1.448765136793817E-2</c:v>
                </c:pt>
                <c:pt idx="3517">
                  <c:v>1.4487810696648395E-2</c:v>
                </c:pt>
                <c:pt idx="3518">
                  <c:v>1.4487959886269053E-2</c:v>
                </c:pt>
                <c:pt idx="3519">
                  <c:v>1.4488098936800142E-2</c:v>
                </c:pt>
                <c:pt idx="3520">
                  <c:v>1.4488227848081792E-2</c:v>
                </c:pt>
                <c:pt idx="3521">
                  <c:v>1.4488346620353809E-2</c:v>
                </c:pt>
                <c:pt idx="3522">
                  <c:v>1.4488455253616195E-2</c:v>
                </c:pt>
                <c:pt idx="3523">
                  <c:v>1.448855374762914E-2</c:v>
                </c:pt>
                <c:pt idx="3524">
                  <c:v>1.4488642102632454E-2</c:v>
                </c:pt>
                <c:pt idx="3525">
                  <c:v>1.4488720318626136E-2</c:v>
                </c:pt>
                <c:pt idx="3526">
                  <c:v>1.4488788395370378E-2</c:v>
                </c:pt>
                <c:pt idx="3527">
                  <c:v>1.4488846332945116E-2</c:v>
                </c:pt>
                <c:pt idx="3528">
                  <c:v>1.4488894131590158E-2</c:v>
                </c:pt>
                <c:pt idx="3529">
                  <c:v>1.4488931791145632E-2</c:v>
                </c:pt>
                <c:pt idx="3530">
                  <c:v>1.4488959311531602E-2</c:v>
                </c:pt>
                <c:pt idx="3531">
                  <c:v>1.4488976692828004E-2</c:v>
                </c:pt>
                <c:pt idx="3532">
                  <c:v>1.4488983935034838E-2</c:v>
                </c:pt>
                <c:pt idx="3533">
                  <c:v>1.4488984176521669E-2</c:v>
                </c:pt>
              </c:numCache>
            </c:numRef>
          </c:val>
          <c:smooth val="0"/>
        </c:ser>
        <c:dLbls>
          <c:showLegendKey val="0"/>
          <c:showVal val="0"/>
          <c:showCatName val="0"/>
          <c:showSerName val="0"/>
          <c:showPercent val="0"/>
          <c:showBubbleSize val="0"/>
        </c:dLbls>
        <c:marker val="1"/>
        <c:smooth val="0"/>
        <c:axId val="501986432"/>
        <c:axId val="501988352"/>
      </c:lineChart>
      <c:dateAx>
        <c:axId val="501986432"/>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01988352"/>
        <c:crosses val="autoZero"/>
        <c:auto val="1"/>
        <c:lblOffset val="100"/>
        <c:baseTimeUnit val="days"/>
        <c:majorUnit val="3"/>
        <c:majorTimeUnit val="months"/>
      </c:dateAx>
      <c:valAx>
        <c:axId val="501988352"/>
        <c:scaling>
          <c:orientation val="minMax"/>
          <c:max val="8.0000000000000002E-3"/>
          <c:min val="-1E-3"/>
        </c:scaling>
        <c:delete val="0"/>
        <c:axPos val="l"/>
        <c:majorGridlines/>
        <c:numFmt formatCode="0.00%" sourceLinked="0"/>
        <c:majorTickMark val="out"/>
        <c:minorTickMark val="none"/>
        <c:tickLblPos val="nextTo"/>
        <c:crossAx val="50198643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19050</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123825</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0">
          <cell r="E10" t="str">
            <v>EUR3M#0002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M30"/>
  <sheetViews>
    <sheetView tabSelected="1" workbookViewId="0">
      <selection activeCell="D11" sqref="D11"/>
    </sheetView>
  </sheetViews>
  <sheetFormatPr defaultColWidth="8" defaultRowHeight="11.25" x14ac:dyDescent="0.2"/>
  <cols>
    <col min="1" max="2" width="2.7109375" style="93" customWidth="1"/>
    <col min="3" max="3" width="20.28515625" style="93" bestFit="1" customWidth="1"/>
    <col min="4" max="4" width="31.7109375" style="93" bestFit="1" customWidth="1"/>
    <col min="5" max="6" width="2.7109375" style="93" customWidth="1"/>
    <col min="7" max="7" width="4" style="93" bestFit="1" customWidth="1"/>
    <col min="8" max="8" width="3" style="93" bestFit="1" customWidth="1"/>
    <col min="9" max="10" width="2.7109375" style="93" customWidth="1"/>
    <col min="11" max="11" width="18.5703125" style="93" bestFit="1" customWidth="1"/>
    <col min="12" max="12" width="40.7109375" style="93" customWidth="1"/>
    <col min="13" max="13" width="2.7109375" style="93" customWidth="1"/>
    <col min="14" max="16384" width="8" style="93"/>
  </cols>
  <sheetData>
    <row r="1" spans="2:13" ht="12" thickBot="1" x14ac:dyDescent="0.25">
      <c r="B1" s="93" t="str">
        <f>_xll.qlxlVersion(TRUE,Trigger)</f>
        <v>QuantLibXL 1.7.0 - MS VC++ (version unknown) - Multithreaded Dynamic Runtime library - Release Configuration - Sep  9 2015 17:33:21</v>
      </c>
    </row>
    <row r="2" spans="2:13" ht="16.5" thickBot="1" x14ac:dyDescent="0.3">
      <c r="B2" s="325" t="s">
        <v>116</v>
      </c>
      <c r="C2" s="326"/>
      <c r="D2" s="326"/>
      <c r="E2" s="327"/>
      <c r="J2" s="325" t="s">
        <v>116</v>
      </c>
      <c r="K2" s="326"/>
      <c r="L2" s="326"/>
      <c r="M2" s="328"/>
    </row>
    <row r="3" spans="2:13" ht="12" thickBot="1" x14ac:dyDescent="0.25">
      <c r="B3" s="50"/>
      <c r="C3" s="74"/>
      <c r="D3" s="49"/>
      <c r="E3" s="48"/>
      <c r="J3" s="89"/>
      <c r="K3" s="92"/>
      <c r="L3" s="92"/>
      <c r="M3" s="91"/>
    </row>
    <row r="4" spans="2:13" x14ac:dyDescent="0.2">
      <c r="B4" s="50"/>
      <c r="C4" s="73" t="s">
        <v>98</v>
      </c>
      <c r="D4" s="61" t="s">
        <v>95</v>
      </c>
      <c r="E4" s="48"/>
      <c r="G4" s="95" t="s">
        <v>97</v>
      </c>
      <c r="H4" s="96"/>
      <c r="J4" s="89"/>
      <c r="K4" s="88" t="s">
        <v>115</v>
      </c>
      <c r="L4" s="82" t="b">
        <v>0</v>
      </c>
      <c r="M4" s="87"/>
    </row>
    <row r="5" spans="2:13" x14ac:dyDescent="0.2">
      <c r="B5" s="50"/>
      <c r="C5" s="72" t="s">
        <v>96</v>
      </c>
      <c r="D5" s="51">
        <v>3</v>
      </c>
      <c r="E5" s="48"/>
      <c r="G5" s="97" t="s">
        <v>95</v>
      </c>
      <c r="H5" s="98" t="s">
        <v>94</v>
      </c>
      <c r="J5" s="89"/>
      <c r="K5" s="88" t="s">
        <v>114</v>
      </c>
      <c r="L5" s="90"/>
      <c r="M5" s="87"/>
    </row>
    <row r="6" spans="2:13" x14ac:dyDescent="0.2">
      <c r="B6" s="50"/>
      <c r="C6" s="72" t="s">
        <v>93</v>
      </c>
      <c r="D6" s="51" t="str">
        <f>_xll.qlPeriodEquivalent(D5&amp;"M")</f>
        <v>3M</v>
      </c>
      <c r="E6" s="48"/>
      <c r="G6" s="97" t="s">
        <v>92</v>
      </c>
      <c r="H6" s="98"/>
      <c r="J6" s="89"/>
      <c r="K6" s="88" t="s">
        <v>113</v>
      </c>
      <c r="L6" s="79" t="b">
        <v>1</v>
      </c>
      <c r="M6" s="87"/>
    </row>
    <row r="7" spans="2:13" ht="12" thickBot="1" x14ac:dyDescent="0.25">
      <c r="B7" s="50"/>
      <c r="C7" s="72" t="s">
        <v>91</v>
      </c>
      <c r="D7" s="51" t="str">
        <f>Months&amp;IF(UPPER(Currency)="EUR","E","L")</f>
        <v>3E</v>
      </c>
      <c r="E7" s="48"/>
      <c r="G7" s="97" t="s">
        <v>90</v>
      </c>
      <c r="H7" s="98"/>
      <c r="J7" s="86"/>
      <c r="K7" s="85"/>
      <c r="L7" s="85"/>
      <c r="M7" s="84"/>
    </row>
    <row r="8" spans="2:13" ht="12" thickBot="1" x14ac:dyDescent="0.25">
      <c r="B8" s="50"/>
      <c r="C8" s="72" t="s">
        <v>89</v>
      </c>
      <c r="D8" s="51" t="str">
        <f>VLOOKUP(Currency,G4:H8,2)</f>
        <v>AB</v>
      </c>
      <c r="E8" s="48"/>
      <c r="G8" s="99" t="s">
        <v>88</v>
      </c>
      <c r="H8" s="100" t="s">
        <v>87</v>
      </c>
      <c r="J8" s="94"/>
      <c r="K8" s="94"/>
      <c r="L8" s="94"/>
      <c r="M8" s="94"/>
    </row>
    <row r="9" spans="2:13" ht="16.5" thickBot="1" x14ac:dyDescent="0.3">
      <c r="B9" s="50"/>
      <c r="C9" s="72" t="s">
        <v>86</v>
      </c>
      <c r="D9" s="51" t="str">
        <f>Currency&amp;"_YC"&amp;IndexTenor&amp;"RH"</f>
        <v>EUR_YC3MRH</v>
      </c>
      <c r="E9" s="48"/>
      <c r="J9" s="325" t="s">
        <v>112</v>
      </c>
      <c r="K9" s="326"/>
      <c r="L9" s="326"/>
      <c r="M9" s="328"/>
    </row>
    <row r="10" spans="2:13" ht="12.75" x14ac:dyDescent="0.2">
      <c r="B10" s="50"/>
      <c r="C10" s="71" t="s">
        <v>85</v>
      </c>
      <c r="D10" s="51" t="b">
        <v>1</v>
      </c>
      <c r="E10" s="48"/>
      <c r="J10" s="81"/>
      <c r="K10" s="83"/>
      <c r="L10" s="83"/>
      <c r="M10" s="78"/>
    </row>
    <row r="11" spans="2:13" ht="12.75" x14ac:dyDescent="0.2">
      <c r="B11" s="50"/>
      <c r="C11" s="71" t="s">
        <v>84</v>
      </c>
      <c r="D11" s="70"/>
      <c r="E11" s="48"/>
      <c r="J11" s="81"/>
      <c r="K11" s="80" t="s">
        <v>111</v>
      </c>
      <c r="L11" s="82" t="s">
        <v>110</v>
      </c>
      <c r="M11" s="78"/>
    </row>
    <row r="12" spans="2:13" ht="12.75" x14ac:dyDescent="0.2">
      <c r="B12" s="50"/>
      <c r="C12" s="69" t="s">
        <v>83</v>
      </c>
      <c r="D12" s="68" t="b">
        <v>1</v>
      </c>
      <c r="E12" s="48"/>
      <c r="J12" s="81"/>
      <c r="K12" s="80" t="s">
        <v>109</v>
      </c>
      <c r="L12" s="79" t="s">
        <v>108</v>
      </c>
      <c r="M12" s="78"/>
    </row>
    <row r="13" spans="2:13" ht="12.75" x14ac:dyDescent="0.2">
      <c r="B13" s="50"/>
      <c r="C13" s="55"/>
      <c r="D13" s="55"/>
      <c r="E13" s="48"/>
      <c r="J13" s="81"/>
      <c r="K13" s="80" t="s">
        <v>137</v>
      </c>
      <c r="L13" s="82" t="s">
        <v>136</v>
      </c>
      <c r="M13" s="78"/>
    </row>
    <row r="14" spans="2:13" ht="12.75" x14ac:dyDescent="0.2">
      <c r="B14" s="50"/>
      <c r="C14" s="65" t="s">
        <v>82</v>
      </c>
      <c r="D14" s="67" t="str">
        <f>_xll.qlPiecewiseYieldCurve(D16,NDays,Calendar,_xll.ohPack(Selected!D2:D126),DayCounter,JumpQuotes,JumpDates,Accuracy,TraitsID,InterpolatorID,Permanent,,ObjectOverwrite)</f>
        <v>_EURYC3M#0006</v>
      </c>
      <c r="E14" s="48"/>
      <c r="J14" s="81"/>
      <c r="K14" s="80" t="s">
        <v>135</v>
      </c>
      <c r="L14" s="82" t="s">
        <v>123</v>
      </c>
      <c r="M14" s="78"/>
    </row>
    <row r="15" spans="2:13" ht="12.75" x14ac:dyDescent="0.2">
      <c r="B15" s="50"/>
      <c r="C15" s="57" t="s">
        <v>0</v>
      </c>
      <c r="D15" s="66" t="str">
        <f>_xll.ohRangeRetrieveError(YieldCurve)</f>
        <v/>
      </c>
      <c r="E15" s="48"/>
      <c r="J15" s="81"/>
      <c r="K15" s="80" t="s">
        <v>134</v>
      </c>
      <c r="L15" s="82" t="str">
        <f>PROPER(Currency)&amp;"ON"</f>
        <v>EurON</v>
      </c>
      <c r="M15" s="78"/>
    </row>
    <row r="16" spans="2:13" ht="13.5" thickBot="1" x14ac:dyDescent="0.25">
      <c r="B16" s="50"/>
      <c r="C16" s="65" t="s">
        <v>81</v>
      </c>
      <c r="D16" s="64" t="str">
        <f>"_"&amp;Currency&amp;"YC"&amp;IndexTenor</f>
        <v>_EURYC3M</v>
      </c>
      <c r="E16" s="48"/>
      <c r="J16" s="77"/>
      <c r="K16" s="76"/>
      <c r="L16" s="76"/>
      <c r="M16" s="75"/>
    </row>
    <row r="17" spans="2:5" x14ac:dyDescent="0.2">
      <c r="B17" s="50"/>
      <c r="C17" s="59" t="s">
        <v>80</v>
      </c>
      <c r="D17" s="63">
        <v>2</v>
      </c>
      <c r="E17" s="48"/>
    </row>
    <row r="18" spans="2:5" x14ac:dyDescent="0.2">
      <c r="B18" s="50"/>
      <c r="C18" s="59" t="s">
        <v>79</v>
      </c>
      <c r="D18" s="62" t="s">
        <v>78</v>
      </c>
      <c r="E18" s="48"/>
    </row>
    <row r="19" spans="2:5" x14ac:dyDescent="0.2">
      <c r="B19" s="50"/>
      <c r="C19" s="59" t="s">
        <v>77</v>
      </c>
      <c r="D19" s="62"/>
      <c r="E19" s="48"/>
    </row>
    <row r="20" spans="2:5" x14ac:dyDescent="0.2">
      <c r="B20" s="50"/>
      <c r="C20" s="59" t="s">
        <v>76</v>
      </c>
      <c r="D20" s="60" t="e">
        <f>NA()</f>
        <v>#N/A</v>
      </c>
      <c r="E20" s="48"/>
    </row>
    <row r="21" spans="2:5" x14ac:dyDescent="0.2">
      <c r="B21" s="50"/>
      <c r="C21" s="59" t="s">
        <v>75</v>
      </c>
      <c r="D21" s="58" t="s">
        <v>74</v>
      </c>
      <c r="E21" s="48"/>
    </row>
    <row r="22" spans="2:5" x14ac:dyDescent="0.2">
      <c r="B22" s="50"/>
      <c r="C22" s="57" t="s">
        <v>73</v>
      </c>
      <c r="D22" s="56" t="s">
        <v>72</v>
      </c>
      <c r="E22" s="48"/>
    </row>
    <row r="23" spans="2:5" x14ac:dyDescent="0.2">
      <c r="B23" s="50"/>
      <c r="C23" s="55"/>
      <c r="D23" s="55"/>
      <c r="E23" s="48"/>
    </row>
    <row r="24" spans="2:5" x14ac:dyDescent="0.2">
      <c r="B24" s="50"/>
      <c r="C24" s="54">
        <f>_xll.qlTermStructureReferenceDate(YieldCurve)</f>
        <v>42258</v>
      </c>
      <c r="D24" s="53">
        <f>MAX(_xll.ohPack(Selected!J1:J126))</f>
        <v>1.0005065244728633</v>
      </c>
      <c r="E24" s="48"/>
    </row>
    <row r="25" spans="2:5" x14ac:dyDescent="0.2">
      <c r="B25" s="50"/>
      <c r="C25" s="52">
        <f>MAX(_xll.ohPack(Selected!I2:I126))</f>
        <v>64173</v>
      </c>
      <c r="D25" s="51">
        <f>MIN(_xll.ohPack(Selected!J1:J126))</f>
        <v>0.39977115769671145</v>
      </c>
      <c r="E25" s="48"/>
    </row>
    <row r="26" spans="2:5" x14ac:dyDescent="0.2">
      <c r="B26" s="50"/>
      <c r="C26" s="103" t="s">
        <v>0</v>
      </c>
      <c r="D26" s="105" t="str">
        <f>_xll.ohRangeRetrieveError(Selected!J1)</f>
        <v/>
      </c>
      <c r="E26" s="48"/>
    </row>
    <row r="27" spans="2:5" x14ac:dyDescent="0.2">
      <c r="B27" s="50"/>
      <c r="C27" s="103" t="str">
        <f>[1]Euribor!$E$10</f>
        <v>EUR3M#0002</v>
      </c>
      <c r="D27" s="160" t="b">
        <f>_xll.qlRelinkableHandleLinkTo(C27,YieldCurve)</f>
        <v>1</v>
      </c>
      <c r="E27" s="48"/>
    </row>
    <row r="28" spans="2:5" x14ac:dyDescent="0.2">
      <c r="B28" s="50"/>
      <c r="C28" s="102" t="s">
        <v>168</v>
      </c>
      <c r="D28" s="104" t="b">
        <v>0</v>
      </c>
      <c r="E28" s="48"/>
    </row>
    <row r="29" spans="2:5" ht="12" thickBot="1" x14ac:dyDescent="0.25">
      <c r="B29" s="47"/>
      <c r="C29" s="101"/>
      <c r="D29" s="101"/>
      <c r="E29" s="46"/>
    </row>
    <row r="30" spans="2:5" ht="11.25" customHeight="1" x14ac:dyDescent="0.2"/>
  </sheetData>
  <mergeCells count="3">
    <mergeCell ref="B2:E2"/>
    <mergeCell ref="J2:M2"/>
    <mergeCell ref="J9:M9"/>
  </mergeCells>
  <dataValidations disablePrompts="1"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44"/>
  <sheetViews>
    <sheetView workbookViewId="0">
      <selection activeCell="F102" sqref="F1:F102"/>
    </sheetView>
  </sheetViews>
  <sheetFormatPr defaultRowHeight="11.25" outlineLevelCol="1" x14ac:dyDescent="0.2"/>
  <cols>
    <col min="1" max="1" width="6" style="1" customWidth="1" outlineLevel="1"/>
    <col min="2" max="2" width="4" style="2" customWidth="1" outlineLevel="1"/>
    <col min="3" max="3" width="8" style="2" customWidth="1" outlineLevel="1"/>
    <col min="4" max="4" width="4" style="2" customWidth="1" outlineLevel="1"/>
    <col min="5" max="5" width="29.7109375" style="2" customWidth="1" outlineLevel="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8" width="6" style="1" hidden="1" customWidth="1"/>
    <col min="19" max="19" width="16.140625" style="1" bestFit="1" customWidth="1"/>
    <col min="20" max="20" width="6" style="1" bestFit="1" customWidth="1"/>
    <col min="21" max="16384" width="9.140625" style="1"/>
  </cols>
  <sheetData>
    <row r="1" spans="2:16" ht="22.5" x14ac:dyDescent="0.2">
      <c r="B1" s="329" t="s">
        <v>71</v>
      </c>
      <c r="C1" s="330"/>
      <c r="D1" s="331"/>
      <c r="E1" s="45" t="s">
        <v>70</v>
      </c>
      <c r="F1" s="45" t="s">
        <v>177</v>
      </c>
      <c r="G1" s="45" t="s">
        <v>69</v>
      </c>
      <c r="H1" s="45" t="s">
        <v>68</v>
      </c>
      <c r="I1" s="45" t="s">
        <v>67</v>
      </c>
      <c r="J1" s="45" t="s">
        <v>66</v>
      </c>
      <c r="K1" s="45" t="s">
        <v>65</v>
      </c>
      <c r="L1" s="45" t="s">
        <v>7</v>
      </c>
      <c r="M1" s="45" t="s">
        <v>6</v>
      </c>
    </row>
    <row r="2" spans="2:16" x14ac:dyDescent="0.2">
      <c r="B2" s="44"/>
      <c r="C2" s="32"/>
      <c r="D2" s="31" t="s">
        <v>64</v>
      </c>
      <c r="E2" s="31" t="str">
        <f>Deposits!J3</f>
        <v>obj_005c0#0014</v>
      </c>
      <c r="F2" s="31" t="str">
        <f>_xll.qlRateHelperQuoteName(E2)</f>
        <v>EURSND_SYNTH3M_Quote</v>
      </c>
      <c r="G2" s="30">
        <f>_xll.qlRateHelperQuoteValue($E2,Trigger)</f>
        <v>-3.4699999999999998E-4</v>
      </c>
      <c r="H2" s="30"/>
      <c r="I2" s="29" t="b">
        <v>0</v>
      </c>
      <c r="J2" s="29">
        <v>10</v>
      </c>
      <c r="K2" s="29">
        <v>1</v>
      </c>
      <c r="L2" s="28">
        <f>_xll.qlRateHelperEarliestDate($E2,Trigger)</f>
        <v>42258</v>
      </c>
      <c r="M2" s="27" t="e">
        <f ca="1">_xll.qlRateHelperLatestDate($E2,Trigger)</f>
        <v>#NAME?</v>
      </c>
      <c r="N2" s="1">
        <v>30</v>
      </c>
      <c r="O2" s="1" t="s">
        <v>63</v>
      </c>
    </row>
    <row r="3" spans="2:16" x14ac:dyDescent="0.2">
      <c r="B3" s="44"/>
      <c r="C3" s="32"/>
      <c r="D3" s="31" t="s">
        <v>62</v>
      </c>
      <c r="E3" s="31" t="str">
        <f>Deposits!J4</f>
        <v>obj_005be#0004</v>
      </c>
      <c r="F3" s="31" t="str">
        <f>_xll.qlRateHelperQuoteName(E3)</f>
        <v>EURSWD_SYNTH3M_Quote</v>
      </c>
      <c r="G3" s="30">
        <f>_xll.qlRateHelperQuoteValue($E3,Trigger)</f>
        <v>-3.5500000000000001E-4</v>
      </c>
      <c r="H3" s="30"/>
      <c r="I3" s="29" t="b">
        <v>0</v>
      </c>
      <c r="J3" s="29">
        <v>10</v>
      </c>
      <c r="K3" s="29">
        <v>1</v>
      </c>
      <c r="L3" s="28">
        <f>_xll.qlRateHelperEarliestDate($E3,Trigger)</f>
        <v>42258</v>
      </c>
      <c r="M3" s="27" t="e">
        <f ca="1">_xll.qlRateHelperLatestDate($E3,Trigger)</f>
        <v>#NAME?</v>
      </c>
      <c r="N3" s="1">
        <v>40</v>
      </c>
      <c r="O3" s="1" t="s">
        <v>61</v>
      </c>
    </row>
    <row r="4" spans="2:16" x14ac:dyDescent="0.2">
      <c r="B4" s="44"/>
      <c r="C4" s="32"/>
      <c r="D4" s="31" t="s">
        <v>60</v>
      </c>
      <c r="E4" s="31" t="str">
        <f>Deposits!J5</f>
        <v>obj_005c3#0004</v>
      </c>
      <c r="F4" s="31" t="str">
        <f>_xll.qlRateHelperQuoteName(E4)</f>
        <v>EUR2WD_SYNTH3M_Quote</v>
      </c>
      <c r="G4" s="30">
        <f>_xll.qlRateHelperQuoteValue($E4,Trigger)</f>
        <v>-3.6200000000000002E-4</v>
      </c>
      <c r="H4" s="30"/>
      <c r="I4" s="29" t="b">
        <v>0</v>
      </c>
      <c r="J4" s="29">
        <v>10</v>
      </c>
      <c r="K4" s="29">
        <v>1</v>
      </c>
      <c r="L4" s="28">
        <f>_xll.qlRateHelperEarliestDate($E4,Trigger)</f>
        <v>42258</v>
      </c>
      <c r="M4" s="27" t="e">
        <f ca="1">_xll.qlRateHelperLatestDate($E4,Trigger)</f>
        <v>#NAME?</v>
      </c>
      <c r="N4" s="1">
        <v>50</v>
      </c>
      <c r="O4" s="1" t="s">
        <v>59</v>
      </c>
    </row>
    <row r="5" spans="2:16" x14ac:dyDescent="0.2">
      <c r="B5" s="44"/>
      <c r="C5" s="32"/>
      <c r="D5" s="31" t="s">
        <v>58</v>
      </c>
      <c r="E5" s="31" t="str">
        <f>Deposits!J6</f>
        <v>obj_005bf#0004</v>
      </c>
      <c r="F5" s="31" t="str">
        <f>_xll.qlRateHelperQuoteName(E5)</f>
        <v>EUR3WD_SYNTH3M_Quote</v>
      </c>
      <c r="G5" s="30">
        <f>_xll.qlRateHelperQuoteValue($E5,Trigger)</f>
        <v>-3.4000000000000002E-4</v>
      </c>
      <c r="H5" s="30"/>
      <c r="I5" s="29" t="b">
        <v>0</v>
      </c>
      <c r="J5" s="29">
        <v>10</v>
      </c>
      <c r="K5" s="29">
        <v>1</v>
      </c>
      <c r="L5" s="28">
        <f>_xll.qlRateHelperEarliestDate($E5,Trigger)</f>
        <v>42258</v>
      </c>
      <c r="M5" s="27" t="e">
        <f ca="1">_xll.qlRateHelperLatestDate($E5,Trigger)</f>
        <v>#NAME?</v>
      </c>
      <c r="N5" s="1">
        <v>60</v>
      </c>
      <c r="O5" s="1" t="s">
        <v>57</v>
      </c>
    </row>
    <row r="6" spans="2:16" x14ac:dyDescent="0.2">
      <c r="B6" s="44"/>
      <c r="C6" s="32"/>
      <c r="D6" s="31" t="s">
        <v>56</v>
      </c>
      <c r="E6" s="31" t="str">
        <f>Deposits!J7</f>
        <v>obj_005c4#0004</v>
      </c>
      <c r="F6" s="31" t="str">
        <f>_xll.qlRateHelperQuoteName(E6)</f>
        <v>EUR1MD_SYNTH3M_Quote</v>
      </c>
      <c r="G6" s="30">
        <f>_xll.qlRateHelperQuoteValue($E6,Trigger)</f>
        <v>-3.57E-4</v>
      </c>
      <c r="H6" s="30"/>
      <c r="I6" s="29" t="b">
        <v>1</v>
      </c>
      <c r="J6" s="29">
        <v>10</v>
      </c>
      <c r="K6" s="29">
        <v>1</v>
      </c>
      <c r="L6" s="28">
        <f>_xll.qlRateHelperEarliestDate($E6,Trigger)</f>
        <v>42258</v>
      </c>
      <c r="M6" s="27" t="e">
        <f ca="1">_xll.qlRateHelperLatestDate($E6,Trigger)</f>
        <v>#NAME?</v>
      </c>
      <c r="N6" s="1">
        <v>70</v>
      </c>
      <c r="O6" s="1" t="s">
        <v>55</v>
      </c>
    </row>
    <row r="7" spans="2:16" x14ac:dyDescent="0.2">
      <c r="B7" s="44"/>
      <c r="C7" s="32"/>
      <c r="D7" s="31" t="s">
        <v>54</v>
      </c>
      <c r="E7" s="31" t="str">
        <f>Deposits!J8</f>
        <v>obj_005c1#0004</v>
      </c>
      <c r="F7" s="31" t="str">
        <f>_xll.qlRateHelperQuoteName(E7)</f>
        <v>EUR2MD_SYNTH3M_Quote</v>
      </c>
      <c r="G7" s="30">
        <f>_xll.qlRateHelperQuoteValue($E7,Trigger)</f>
        <v>-3.4600000000000001E-4</v>
      </c>
      <c r="H7" s="30"/>
      <c r="I7" s="29" t="b">
        <v>1</v>
      </c>
      <c r="J7" s="29">
        <v>10</v>
      </c>
      <c r="K7" s="29">
        <v>1</v>
      </c>
      <c r="L7" s="28">
        <f>_xll.qlRateHelperEarliestDate($E7,Trigger)</f>
        <v>42258</v>
      </c>
      <c r="M7" s="27" t="e">
        <f ca="1">_xll.qlRateHelperLatestDate($E7,Trigger)</f>
        <v>#NAME?</v>
      </c>
    </row>
    <row r="8" spans="2:16" x14ac:dyDescent="0.2">
      <c r="B8" s="44"/>
      <c r="C8" s="32"/>
      <c r="D8" s="31" t="s">
        <v>53</v>
      </c>
      <c r="E8" s="31" t="str">
        <f>Deposits!J9</f>
        <v>obj_005c2#0004</v>
      </c>
      <c r="F8" s="31" t="str">
        <f>_xll.qlRateHelperQuoteName(E8)</f>
        <v>EUR3MD_SYNTH3M_Quote</v>
      </c>
      <c r="G8" s="30">
        <f>_xll.qlRateHelperQuoteValue($E8,Trigger)</f>
        <v>-3.6699999999999998E-4</v>
      </c>
      <c r="H8" s="30"/>
      <c r="I8" s="29" t="b">
        <v>1</v>
      </c>
      <c r="J8" s="29">
        <v>10</v>
      </c>
      <c r="K8" s="29">
        <v>1</v>
      </c>
      <c r="L8" s="28">
        <f>_xll.qlRateHelperEarliestDate($E8,Trigger)</f>
        <v>42258</v>
      </c>
      <c r="M8" s="27" t="e">
        <f ca="1">_xll.qlRateHelperLatestDate($E8,Trigger)</f>
        <v>#NAME?</v>
      </c>
    </row>
    <row r="9" spans="2:16" x14ac:dyDescent="0.2">
      <c r="B9" s="41">
        <v>1</v>
      </c>
      <c r="C9" s="40" t="s">
        <v>52</v>
      </c>
      <c r="D9" s="39" t="str">
        <f t="shared" ref="D9:D13" si="0">(B9+Months)&amp;"F"</f>
        <v>4F</v>
      </c>
      <c r="E9" s="39" t="str">
        <f>FRAs!G3</f>
        <v>obj_006b0#0004</v>
      </c>
      <c r="F9" s="39" t="str">
        <f>_xll.qlRateHelperQuoteName(E9)</f>
        <v>EUR1x4F_Quote</v>
      </c>
      <c r="G9" s="38">
        <f>_xll.qlRateHelperQuoteValue($E9,Trigger)</f>
        <v>-3.8999999999999999E-4</v>
      </c>
      <c r="H9" s="38"/>
      <c r="I9" s="37" t="b">
        <v>0</v>
      </c>
      <c r="J9" s="37">
        <v>20</v>
      </c>
      <c r="K9" s="37">
        <v>1</v>
      </c>
      <c r="L9" s="36">
        <f>_xll.qlRateHelperEarliestDate($E9,Trigger)</f>
        <v>42289</v>
      </c>
      <c r="M9" s="35" t="e">
        <f ca="1">_xll.qlRateHelperLatestDate($E9,Trigger)</f>
        <v>#NAME?</v>
      </c>
      <c r="P9" s="166"/>
    </row>
    <row r="10" spans="2:16" x14ac:dyDescent="0.2">
      <c r="B10" s="33">
        <v>2</v>
      </c>
      <c r="C10" s="32" t="s">
        <v>52</v>
      </c>
      <c r="D10" s="31" t="str">
        <f t="shared" si="0"/>
        <v>5F</v>
      </c>
      <c r="E10" s="31" t="str">
        <f>FRAs!G4</f>
        <v>obj_006b9#0004</v>
      </c>
      <c r="F10" s="31" t="str">
        <f>_xll.qlRateHelperQuoteName(E10)</f>
        <v>EUR2x5F_Quote</v>
      </c>
      <c r="G10" s="30">
        <f>_xll.qlRateHelperQuoteValue($E10,Trigger)</f>
        <v>-3.8999999999999999E-4</v>
      </c>
      <c r="H10" s="30"/>
      <c r="I10" s="29" t="b">
        <v>0</v>
      </c>
      <c r="J10" s="29">
        <v>20</v>
      </c>
      <c r="K10" s="29">
        <v>1</v>
      </c>
      <c r="L10" s="28">
        <f>_xll.qlRateHelperEarliestDate($E10,Trigger)</f>
        <v>42319</v>
      </c>
      <c r="M10" s="27" t="e">
        <f ca="1">_xll.qlRateHelperLatestDate($E10,Trigger)</f>
        <v>#NAME?</v>
      </c>
      <c r="P10" s="166"/>
    </row>
    <row r="11" spans="2:16" x14ac:dyDescent="0.2">
      <c r="B11" s="33">
        <v>3</v>
      </c>
      <c r="C11" s="32" t="s">
        <v>52</v>
      </c>
      <c r="D11" s="31" t="str">
        <f t="shared" si="0"/>
        <v>6F</v>
      </c>
      <c r="E11" s="31" t="str">
        <f>FRAs!G5</f>
        <v>obj_006b5#0004</v>
      </c>
      <c r="F11" s="31" t="str">
        <f>_xll.qlRateHelperQuoteName(E11)</f>
        <v>EUR3x6F_Quote</v>
      </c>
      <c r="G11" s="30">
        <f>_xll.qlRateHelperQuoteValue($E11,Trigger)</f>
        <v>-3.7999999999999997E-4</v>
      </c>
      <c r="H11" s="30"/>
      <c r="I11" s="29" t="b">
        <v>0</v>
      </c>
      <c r="J11" s="29">
        <v>20</v>
      </c>
      <c r="K11" s="29">
        <v>1</v>
      </c>
      <c r="L11" s="28">
        <f>_xll.qlRateHelperEarliestDate($E11,Trigger)</f>
        <v>42349</v>
      </c>
      <c r="M11" s="27" t="e">
        <f ca="1">_xll.qlRateHelperLatestDate($E11,Trigger)</f>
        <v>#NAME?</v>
      </c>
      <c r="P11" s="166"/>
    </row>
    <row r="12" spans="2:16" x14ac:dyDescent="0.2">
      <c r="B12" s="33">
        <v>4</v>
      </c>
      <c r="C12" s="32" t="s">
        <v>52</v>
      </c>
      <c r="D12" s="31" t="str">
        <f t="shared" si="0"/>
        <v>7F</v>
      </c>
      <c r="E12" s="31" t="str">
        <f>FRAs!G6</f>
        <v>obj_006b2#0004</v>
      </c>
      <c r="F12" s="31" t="str">
        <f>_xll.qlRateHelperQuoteName(E12)</f>
        <v>EUR4x7F_Quote</v>
      </c>
      <c r="G12" s="30">
        <f>_xll.qlRateHelperQuoteValue($E12,Trigger)</f>
        <v>-3.8999999999999999E-4</v>
      </c>
      <c r="H12" s="30"/>
      <c r="I12" s="29" t="b">
        <v>0</v>
      </c>
      <c r="J12" s="29">
        <v>20</v>
      </c>
      <c r="K12" s="29">
        <v>1</v>
      </c>
      <c r="L12" s="28">
        <f>_xll.qlRateHelperEarliestDate($E12,Trigger)</f>
        <v>42380</v>
      </c>
      <c r="M12" s="27" t="e">
        <f ca="1">_xll.qlRateHelperLatestDate($E12,Trigger)</f>
        <v>#NAME?</v>
      </c>
      <c r="P12" s="166"/>
    </row>
    <row r="13" spans="2:16" x14ac:dyDescent="0.2">
      <c r="B13" s="33">
        <v>5</v>
      </c>
      <c r="C13" s="32" t="s">
        <v>52</v>
      </c>
      <c r="D13" s="31" t="str">
        <f t="shared" si="0"/>
        <v>8F</v>
      </c>
      <c r="E13" s="31" t="str">
        <f>FRAs!G7</f>
        <v>obj_006bb#0004</v>
      </c>
      <c r="F13" s="31" t="str">
        <f>_xll.qlRateHelperQuoteName(E13)</f>
        <v>EUR5x8F_Quote</v>
      </c>
      <c r="G13" s="30">
        <f>_xll.qlRateHelperQuoteValue($E13,Trigger)</f>
        <v>-3.7999999999999997E-4</v>
      </c>
      <c r="H13" s="30"/>
      <c r="I13" s="29" t="b">
        <v>0</v>
      </c>
      <c r="J13" s="29">
        <v>20</v>
      </c>
      <c r="K13" s="29">
        <v>1</v>
      </c>
      <c r="L13" s="28">
        <f>_xll.qlRateHelperEarliestDate($E13,Trigger)</f>
        <v>42411</v>
      </c>
      <c r="M13" s="27" t="e">
        <f ca="1">_xll.qlRateHelperLatestDate($E13,Trigger)</f>
        <v>#NAME?</v>
      </c>
      <c r="P13" s="166"/>
    </row>
    <row r="14" spans="2:16" x14ac:dyDescent="0.2">
      <c r="B14" s="33">
        <v>6</v>
      </c>
      <c r="C14" s="32" t="s">
        <v>52</v>
      </c>
      <c r="D14" s="31" t="str">
        <f t="shared" ref="D14:D20" si="1">(B14+Months)&amp;"F"</f>
        <v>9F</v>
      </c>
      <c r="E14" s="31" t="str">
        <f>FRAs!G8</f>
        <v>obj_006b7#0004</v>
      </c>
      <c r="F14" s="31" t="str">
        <f>_xll.qlRateHelperQuoteName(E14)</f>
        <v>EUR6x9F_Quote</v>
      </c>
      <c r="G14" s="30">
        <f>_xll.qlRateHelperQuoteValue($E14,Trigger)</f>
        <v>-3.7999999999999997E-4</v>
      </c>
      <c r="H14" s="30"/>
      <c r="I14" s="29" t="b">
        <v>0</v>
      </c>
      <c r="J14" s="29">
        <v>20</v>
      </c>
      <c r="K14" s="29">
        <v>1</v>
      </c>
      <c r="L14" s="28">
        <f>_xll.qlRateHelperEarliestDate($E14,Trigger)</f>
        <v>42440</v>
      </c>
      <c r="M14" s="27" t="e">
        <f ca="1">_xll.qlRateHelperLatestDate($E14,Trigger)</f>
        <v>#NAME?</v>
      </c>
      <c r="P14" s="166"/>
    </row>
    <row r="15" spans="2:16" x14ac:dyDescent="0.2">
      <c r="B15" s="33">
        <v>7</v>
      </c>
      <c r="C15" s="32" t="s">
        <v>52</v>
      </c>
      <c r="D15" s="31" t="str">
        <f t="shared" si="1"/>
        <v>10F</v>
      </c>
      <c r="E15" s="31" t="str">
        <f>FRAs!G9</f>
        <v>obj_006b3#0004</v>
      </c>
      <c r="F15" s="31" t="str">
        <f>_xll.qlRateHelperQuoteName(E15)</f>
        <v>EUR7x10F_Quote</v>
      </c>
      <c r="G15" s="30">
        <f>_xll.qlRateHelperQuoteValue($E15,Trigger)</f>
        <v>-3.6999999999999999E-4</v>
      </c>
      <c r="H15" s="30"/>
      <c r="I15" s="29" t="b">
        <v>0</v>
      </c>
      <c r="J15" s="29">
        <v>20</v>
      </c>
      <c r="K15" s="29">
        <v>1</v>
      </c>
      <c r="L15" s="28">
        <f>_xll.qlRateHelperEarliestDate($E15,Trigger)</f>
        <v>42471</v>
      </c>
      <c r="M15" s="27" t="e">
        <f ca="1">_xll.qlRateHelperLatestDate($E15,Trigger)</f>
        <v>#NAME?</v>
      </c>
      <c r="P15" s="166"/>
    </row>
    <row r="16" spans="2:16" x14ac:dyDescent="0.2">
      <c r="B16" s="33">
        <v>8</v>
      </c>
      <c r="C16" s="32" t="s">
        <v>52</v>
      </c>
      <c r="D16" s="31" t="str">
        <f t="shared" si="1"/>
        <v>11F</v>
      </c>
      <c r="E16" s="31" t="str">
        <f>FRAs!G10</f>
        <v>obj_006b6#0004</v>
      </c>
      <c r="F16" s="31" t="str">
        <f>_xll.qlRateHelperQuoteName(E16)</f>
        <v>EUR8x11F_Quote</v>
      </c>
      <c r="G16" s="30">
        <f>_xll.qlRateHelperQuoteValue($E16,Trigger)</f>
        <v>-3.5999999999999997E-4</v>
      </c>
      <c r="H16" s="30"/>
      <c r="I16" s="29" t="b">
        <v>0</v>
      </c>
      <c r="J16" s="29">
        <v>20</v>
      </c>
      <c r="K16" s="29">
        <v>1</v>
      </c>
      <c r="L16" s="28">
        <f>_xll.qlRateHelperEarliestDate($E16,Trigger)</f>
        <v>42501</v>
      </c>
      <c r="M16" s="27" t="e">
        <f ca="1">_xll.qlRateHelperLatestDate($E16,Trigger)</f>
        <v>#NAME?</v>
      </c>
      <c r="P16" s="166"/>
    </row>
    <row r="17" spans="1:18" x14ac:dyDescent="0.2">
      <c r="B17" s="33">
        <v>9</v>
      </c>
      <c r="C17" s="32" t="s">
        <v>52</v>
      </c>
      <c r="D17" s="31" t="str">
        <f t="shared" si="1"/>
        <v>12F</v>
      </c>
      <c r="E17" s="31" t="str">
        <f>FRAs!G11</f>
        <v>obj_006ba#0004</v>
      </c>
      <c r="F17" s="31" t="str">
        <f>_xll.qlRateHelperQuoteName(E17)</f>
        <v>EUR9x12F_Quote</v>
      </c>
      <c r="G17" s="30">
        <f>_xll.qlRateHelperQuoteValue($E17,Trigger)</f>
        <v>-3.4999999999999994E-4</v>
      </c>
      <c r="H17" s="30"/>
      <c r="I17" s="29" t="b">
        <v>0</v>
      </c>
      <c r="J17" s="29">
        <v>20</v>
      </c>
      <c r="K17" s="29">
        <v>1</v>
      </c>
      <c r="L17" s="28">
        <f>_xll.qlRateHelperEarliestDate($E17,Trigger)</f>
        <v>42534</v>
      </c>
      <c r="M17" s="27" t="e">
        <f ca="1">_xll.qlRateHelperLatestDate($E17,Trigger)</f>
        <v>#NAME?</v>
      </c>
      <c r="P17" s="166"/>
    </row>
    <row r="18" spans="1:18" x14ac:dyDescent="0.2">
      <c r="B18" s="33">
        <v>10</v>
      </c>
      <c r="C18" s="32" t="s">
        <v>52</v>
      </c>
      <c r="D18" s="31" t="str">
        <f t="shared" si="1"/>
        <v>13F</v>
      </c>
      <c r="E18" s="31" t="str">
        <f>FRAs!G12</f>
        <v>obj_006b8#0004</v>
      </c>
      <c r="F18" s="31" t="str">
        <f>_xll.qlRateHelperQuoteName(E18)</f>
        <v>EUR10x13F_Quote</v>
      </c>
      <c r="G18" s="30">
        <f>_xll.qlRateHelperQuoteValue($E18,Trigger)</f>
        <v>-3.0999999999999995E-4</v>
      </c>
      <c r="H18" s="30"/>
      <c r="I18" s="29" t="b">
        <v>0</v>
      </c>
      <c r="J18" s="29">
        <v>20</v>
      </c>
      <c r="K18" s="29">
        <v>1</v>
      </c>
      <c r="L18" s="28">
        <f>_xll.qlRateHelperEarliestDate($E18,Trigger)</f>
        <v>42562</v>
      </c>
      <c r="M18" s="27" t="e">
        <f ca="1">_xll.qlRateHelperLatestDate($E18,Trigger)</f>
        <v>#NAME?</v>
      </c>
      <c r="P18" s="166"/>
    </row>
    <row r="19" spans="1:18" x14ac:dyDescent="0.2">
      <c r="B19" s="33">
        <v>11</v>
      </c>
      <c r="C19" s="32" t="s">
        <v>52</v>
      </c>
      <c r="D19" s="31" t="str">
        <f t="shared" si="1"/>
        <v>14F</v>
      </c>
      <c r="E19" s="31" t="str">
        <f>FRAs!G13</f>
        <v>obj_006b4#0004</v>
      </c>
      <c r="F19" s="31" t="str">
        <f>_xll.qlRateHelperQuoteName(E19)</f>
        <v>EUR11x14F_Quote</v>
      </c>
      <c r="G19" s="30">
        <f>_xll.qlRateHelperQuoteValue($E19,Trigger)</f>
        <v>-2.7000000000000006E-4</v>
      </c>
      <c r="H19" s="30"/>
      <c r="I19" s="29" t="b">
        <v>0</v>
      </c>
      <c r="J19" s="29">
        <v>20</v>
      </c>
      <c r="K19" s="29">
        <v>1</v>
      </c>
      <c r="L19" s="28">
        <f>_xll.qlRateHelperEarliestDate($E19,Trigger)</f>
        <v>42593</v>
      </c>
      <c r="M19" s="27" t="e">
        <f ca="1">_xll.qlRateHelperLatestDate($E19,Trigger)</f>
        <v>#NAME?</v>
      </c>
      <c r="P19" s="166"/>
    </row>
    <row r="20" spans="1:18" x14ac:dyDescent="0.2">
      <c r="B20" s="33">
        <v>12</v>
      </c>
      <c r="C20" s="32" t="s">
        <v>52</v>
      </c>
      <c r="D20" s="31" t="str">
        <f t="shared" si="1"/>
        <v>15F</v>
      </c>
      <c r="E20" s="24" t="str">
        <f>FRAs!G14</f>
        <v>obj_006b1#0004</v>
      </c>
      <c r="F20" s="31" t="str">
        <f>_xll.qlRateHelperQuoteName(E20)</f>
        <v>EUR12x15F_Quote</v>
      </c>
      <c r="G20" s="30">
        <f>_xll.qlRateHelperQuoteValue($E20,Trigger)</f>
        <v>-2.1999999999999998E-4</v>
      </c>
      <c r="H20" s="30"/>
      <c r="I20" s="29" t="b">
        <v>0</v>
      </c>
      <c r="J20" s="29">
        <v>20</v>
      </c>
      <c r="K20" s="29">
        <v>1</v>
      </c>
      <c r="L20" s="28">
        <f>_xll.qlRateHelperEarliestDate($E20,Trigger)</f>
        <v>42625</v>
      </c>
      <c r="M20" s="27" t="e">
        <f ca="1">_xll.qlRateHelperLatestDate($E20,Trigger)</f>
        <v>#NAME?</v>
      </c>
      <c r="P20" s="166"/>
    </row>
    <row r="21" spans="1:18" ht="11.25" customHeight="1" x14ac:dyDescent="0.2">
      <c r="A21" s="40" t="b">
        <v>0</v>
      </c>
      <c r="B21" s="41"/>
      <c r="C21" s="40" t="str">
        <f t="shared" ref="C21:C62" si="2">IF(IndexTenor="6M","IMMFRA","FUT")&amp;IndexTenor</f>
        <v>FUT3M</v>
      </c>
      <c r="D21" s="39" t="str">
        <f t="array" ref="D21:D62">_xll.qlIMMNextCodes(_xll.qlSettingsEvaluationDate(Trigger)-1,$A21:$A62)</f>
        <v>U5</v>
      </c>
      <c r="E21" s="39" t="str">
        <f>Futures!J3</f>
        <v>obj_005bc#0004</v>
      </c>
      <c r="F21" s="39" t="str">
        <f>_xll.qlRateHelperQuoteName(E21)</f>
        <v>EURFUT3MU5_Quote</v>
      </c>
      <c r="G21" s="194">
        <f>_xll.qlRateHelperQuoteValue($E21,Trigger)</f>
        <v>100.03749999999999</v>
      </c>
      <c r="H21" s="38">
        <f>_xll.qlFuturesRateHelperConvexityAdjustment($E21,Trigger)</f>
        <v>0</v>
      </c>
      <c r="I21" s="37" t="b">
        <v>1</v>
      </c>
      <c r="J21" s="37">
        <v>60</v>
      </c>
      <c r="K21" s="37">
        <v>3</v>
      </c>
      <c r="L21" s="36">
        <f>_xll.qlRateHelperEarliestDate($E21,Trigger)</f>
        <v>42263</v>
      </c>
      <c r="M21" s="35" t="e">
        <f ca="1">_xll.qlRateHelperLatestDate($E21,Trigger)</f>
        <v>#NAME?</v>
      </c>
      <c r="P21" s="166" t="b">
        <f t="shared" ref="P21:P26" si="3">IF(ISERROR(G21),FALSE,TRUE)</f>
        <v>1</v>
      </c>
      <c r="Q21" s="171" t="b">
        <f>AND(_xll.qlIMMIsIMMcode(D21),IF(ISERROR(G21),FALSE,TRUE))</f>
        <v>1</v>
      </c>
      <c r="R21" s="169" t="b">
        <f>AND(NOT(_xll.qlIMMIsIMMcode(D21)),P21)</f>
        <v>0</v>
      </c>
    </row>
    <row r="22" spans="1:18" x14ac:dyDescent="0.2">
      <c r="A22" s="32" t="b">
        <v>0</v>
      </c>
      <c r="B22" s="33"/>
      <c r="C22" s="32" t="str">
        <f t="shared" si="2"/>
        <v>FUT3M</v>
      </c>
      <c r="D22" s="31" t="str">
        <v>V5</v>
      </c>
      <c r="E22" s="31" t="str">
        <f>Futures!J4</f>
        <v>obj_005ba#0004</v>
      </c>
      <c r="F22" s="31" t="str">
        <f>_xll.qlRateHelperQuoteName(E22)</f>
        <v>EURFUT3MV5_Quote</v>
      </c>
      <c r="G22" s="43">
        <f>_xll.qlRateHelperQuoteValue($E22,Trigger)</f>
        <v>100.03749999999999</v>
      </c>
      <c r="H22" s="30">
        <f>_xll.qlFuturesRateHelperConvexityAdjustment($E22,Trigger)</f>
        <v>0</v>
      </c>
      <c r="I22" s="29" t="b">
        <v>1</v>
      </c>
      <c r="J22" s="29">
        <v>60</v>
      </c>
      <c r="K22" s="29">
        <v>3</v>
      </c>
      <c r="L22" s="28">
        <f>_xll.qlRateHelperEarliestDate($E22,Trigger)</f>
        <v>42298</v>
      </c>
      <c r="M22" s="27" t="e">
        <f ca="1">_xll.qlRateHelperLatestDate($E22,Trigger)</f>
        <v>#NAME?</v>
      </c>
      <c r="P22" s="166" t="b">
        <f t="shared" si="3"/>
        <v>1</v>
      </c>
      <c r="Q22" s="171" t="b">
        <f>AND(_xll.qlIMMIsIMMcode(D22),IF(ISERROR(G22),FALSE,TRUE))</f>
        <v>0</v>
      </c>
      <c r="R22" s="169" t="b">
        <f>AND(NOT(_xll.qlIMMIsIMMcode(D22)),P22)</f>
        <v>1</v>
      </c>
    </row>
    <row r="23" spans="1:18" x14ac:dyDescent="0.2">
      <c r="A23" s="32" t="b">
        <v>0</v>
      </c>
      <c r="B23" s="33"/>
      <c r="C23" s="32" t="str">
        <f t="shared" si="2"/>
        <v>FUT3M</v>
      </c>
      <c r="D23" s="31" t="str">
        <v>X5</v>
      </c>
      <c r="E23" s="31" t="str">
        <f>Futures!J5</f>
        <v>obj_00596#0004</v>
      </c>
      <c r="F23" s="31" t="str">
        <f>_xll.qlRateHelperQuoteName(E23)</f>
        <v>EURFUT3MX5_Quote</v>
      </c>
      <c r="G23" s="43" t="e">
        <f>_xll.qlRateHelperQuoteValue($E23,Trigger)</f>
        <v>#NUM!</v>
      </c>
      <c r="H23" s="30" t="e">
        <f>_xll.qlFuturesRateHelperConvexityAdjustment($E23,Trigger)</f>
        <v>#NUM!</v>
      </c>
      <c r="I23" s="29" t="b">
        <v>1</v>
      </c>
      <c r="J23" s="29">
        <v>60</v>
      </c>
      <c r="K23" s="29">
        <v>3</v>
      </c>
      <c r="L23" s="28">
        <f>_xll.qlRateHelperEarliestDate($E23,Trigger)</f>
        <v>42326</v>
      </c>
      <c r="M23" s="27" t="e">
        <f ca="1">_xll.qlRateHelperLatestDate($E23,Trigger)</f>
        <v>#NAME?</v>
      </c>
      <c r="P23" s="166" t="b">
        <f t="shared" si="3"/>
        <v>0</v>
      </c>
      <c r="Q23" s="171" t="b">
        <f>AND(_xll.qlIMMIsIMMcode(D23),IF(ISERROR(G23),FALSE,TRUE))</f>
        <v>0</v>
      </c>
      <c r="R23" s="169" t="b">
        <f>AND(NOT(_xll.qlIMMIsIMMcode(D23)),P23)</f>
        <v>0</v>
      </c>
    </row>
    <row r="24" spans="1:18" x14ac:dyDescent="0.2">
      <c r="A24" s="32" t="b">
        <v>0</v>
      </c>
      <c r="B24" s="33"/>
      <c r="C24" s="32" t="str">
        <f t="shared" si="2"/>
        <v>FUT3M</v>
      </c>
      <c r="D24" s="31" t="str">
        <v>Z5</v>
      </c>
      <c r="E24" s="31" t="str">
        <f>Futures!J6</f>
        <v>obj_005b0#0004</v>
      </c>
      <c r="F24" s="31" t="str">
        <f>_xll.qlRateHelperQuoteName(E24)</f>
        <v>EURFUT3MZ5_Quote</v>
      </c>
      <c r="G24" s="43">
        <f>_xll.qlRateHelperQuoteValue($E24,Trigger)</f>
        <v>100.03749999999999</v>
      </c>
      <c r="H24" s="30">
        <f>_xll.qlFuturesRateHelperConvexityAdjustment($E24,Trigger)</f>
        <v>0</v>
      </c>
      <c r="I24" s="29" t="b">
        <v>1</v>
      </c>
      <c r="J24" s="29">
        <v>60</v>
      </c>
      <c r="K24" s="29">
        <v>21</v>
      </c>
      <c r="L24" s="28">
        <f>_xll.qlRateHelperEarliestDate($E24,Trigger)</f>
        <v>42354</v>
      </c>
      <c r="M24" s="27" t="e">
        <f ca="1">_xll.qlRateHelperLatestDate($E24,Trigger)</f>
        <v>#NAME?</v>
      </c>
      <c r="P24" s="166" t="b">
        <f t="shared" si="3"/>
        <v>1</v>
      </c>
      <c r="Q24" s="171" t="b">
        <f>AND(_xll.qlIMMIsIMMcode(D24),IF(ISERROR(G24),FALSE,TRUE))</f>
        <v>1</v>
      </c>
      <c r="R24" s="169" t="b">
        <f>AND(NOT(_xll.qlIMMIsIMMcode(D24)),P24)</f>
        <v>0</v>
      </c>
    </row>
    <row r="25" spans="1:18" x14ac:dyDescent="0.2">
      <c r="A25" s="32" t="b">
        <v>0</v>
      </c>
      <c r="B25" s="33"/>
      <c r="C25" s="32" t="str">
        <f t="shared" si="2"/>
        <v>FUT3M</v>
      </c>
      <c r="D25" s="31" t="str">
        <v>F6</v>
      </c>
      <c r="E25" s="31" t="str">
        <f>Futures!J7</f>
        <v>obj_005ab#0004</v>
      </c>
      <c r="F25" s="31" t="str">
        <f>_xll.qlRateHelperQuoteName(E25)</f>
        <v>EURFUT3MF6_Quote</v>
      </c>
      <c r="G25" s="43" t="e">
        <f>_xll.qlRateHelperQuoteValue($E25,Trigger)</f>
        <v>#NUM!</v>
      </c>
      <c r="H25" s="30" t="e">
        <f>_xll.qlFuturesRateHelperConvexityAdjustment($E25,Trigger)</f>
        <v>#NUM!</v>
      </c>
      <c r="I25" s="29" t="b">
        <v>1</v>
      </c>
      <c r="J25" s="29">
        <v>60</v>
      </c>
      <c r="K25" s="29">
        <v>21</v>
      </c>
      <c r="L25" s="28">
        <f>_xll.qlRateHelperEarliestDate($E25,Trigger)</f>
        <v>42389</v>
      </c>
      <c r="M25" s="27" t="e">
        <f ca="1">_xll.qlRateHelperLatestDate($E25,Trigger)</f>
        <v>#NAME?</v>
      </c>
      <c r="P25" s="166" t="b">
        <f t="shared" si="3"/>
        <v>0</v>
      </c>
      <c r="Q25" s="171" t="b">
        <f>AND(_xll.qlIMMIsIMMcode(D25),IF(ISERROR(G25),FALSE,TRUE))</f>
        <v>0</v>
      </c>
      <c r="R25" s="169" t="b">
        <f>AND(NOT(_xll.qlIMMIsIMMcode(D25)),P25)</f>
        <v>0</v>
      </c>
    </row>
    <row r="26" spans="1:18" x14ac:dyDescent="0.2">
      <c r="A26" s="32" t="b">
        <v>0</v>
      </c>
      <c r="B26" s="33"/>
      <c r="C26" s="32" t="str">
        <f t="shared" si="2"/>
        <v>FUT3M</v>
      </c>
      <c r="D26" s="31" t="str">
        <v>G6</v>
      </c>
      <c r="E26" s="31" t="str">
        <f>Futures!J8</f>
        <v>obj_005a3#0004</v>
      </c>
      <c r="F26" s="31" t="str">
        <f>_xll.qlRateHelperQuoteName(E26)</f>
        <v>EURFUT3MG6_Quote</v>
      </c>
      <c r="G26" s="43" t="e">
        <f>_xll.qlRateHelperQuoteValue($E26,Trigger)</f>
        <v>#NUM!</v>
      </c>
      <c r="H26" s="30" t="e">
        <f>_xll.qlFuturesRateHelperConvexityAdjustment($E26,Trigger)</f>
        <v>#NUM!</v>
      </c>
      <c r="I26" s="29" t="b">
        <v>1</v>
      </c>
      <c r="J26" s="29">
        <v>60</v>
      </c>
      <c r="K26" s="29">
        <v>21</v>
      </c>
      <c r="L26" s="28">
        <f>_xll.qlRateHelperEarliestDate($E26,Trigger)</f>
        <v>42417</v>
      </c>
      <c r="M26" s="27" t="e">
        <f ca="1">_xll.qlRateHelperLatestDate($E26,Trigger)</f>
        <v>#NAME?</v>
      </c>
      <c r="P26" s="166" t="b">
        <f t="shared" si="3"/>
        <v>0</v>
      </c>
      <c r="Q26" s="171" t="b">
        <f>AND(_xll.qlIMMIsIMMcode(D26),IF(ISERROR(G26),FALSE,TRUE))</f>
        <v>0</v>
      </c>
      <c r="R26" s="169" t="b">
        <f>AND(NOT(_xll.qlIMMIsIMMcode(D26)),P26)</f>
        <v>0</v>
      </c>
    </row>
    <row r="27" spans="1:18" x14ac:dyDescent="0.2">
      <c r="A27" s="32" t="b">
        <v>0</v>
      </c>
      <c r="B27" s="33"/>
      <c r="C27" s="32" t="str">
        <f t="shared" si="2"/>
        <v>FUT3M</v>
      </c>
      <c r="D27" s="31" t="str">
        <v>H6</v>
      </c>
      <c r="E27" s="31" t="str">
        <f>Futures!J9</f>
        <v>obj_00598#0004</v>
      </c>
      <c r="F27" s="31" t="str">
        <f>_xll.qlRateHelperQuoteName(E27)</f>
        <v>EURFUT3MH6_Quote</v>
      </c>
      <c r="G27" s="43">
        <f>_xll.qlRateHelperQuoteValue($E27,Trigger)</f>
        <v>100.03749999999999</v>
      </c>
      <c r="H27" s="30">
        <f>_xll.qlFuturesRateHelperConvexityAdjustment($E27,Trigger)</f>
        <v>0</v>
      </c>
      <c r="I27" s="29" t="b">
        <v>1</v>
      </c>
      <c r="J27" s="29">
        <v>60</v>
      </c>
      <c r="K27" s="29">
        <v>21</v>
      </c>
      <c r="L27" s="28">
        <f>_xll.qlRateHelperEarliestDate($E27,Trigger)</f>
        <v>42445</v>
      </c>
      <c r="M27" s="27" t="e">
        <f ca="1">_xll.qlRateHelperLatestDate($E27,Trigger)</f>
        <v>#NAME?</v>
      </c>
      <c r="P27" s="166" t="b">
        <f t="shared" ref="P27:P62" si="4">IF(ISERROR(G27),FALSE,TRUE)</f>
        <v>1</v>
      </c>
      <c r="Q27" s="171" t="b">
        <f>AND(_xll.qlIMMIsIMMcode(D27),IF(ISERROR(G27),FALSE,TRUE))</f>
        <v>1</v>
      </c>
      <c r="R27" s="169" t="b">
        <f>AND(NOT(_xll.qlIMMIsIMMcode(D27)),P27)</f>
        <v>0</v>
      </c>
    </row>
    <row r="28" spans="1:18" x14ac:dyDescent="0.2">
      <c r="A28" s="32" t="b">
        <v>0</v>
      </c>
      <c r="B28" s="33"/>
      <c r="C28" s="32" t="str">
        <f t="shared" si="2"/>
        <v>FUT3M</v>
      </c>
      <c r="D28" s="31" t="str">
        <v>J6</v>
      </c>
      <c r="E28" s="31" t="str">
        <f>Futures!J10</f>
        <v>obj_005b4#0004</v>
      </c>
      <c r="F28" s="31" t="str">
        <f>_xll.qlRateHelperQuoteName(E28)</f>
        <v>EURFUT3MJ6_Quote</v>
      </c>
      <c r="G28" s="43" t="e">
        <f>_xll.qlRateHelperQuoteValue($E28,Trigger)</f>
        <v>#NUM!</v>
      </c>
      <c r="H28" s="30" t="e">
        <f>_xll.qlFuturesRateHelperConvexityAdjustment($E28,Trigger)</f>
        <v>#NUM!</v>
      </c>
      <c r="I28" s="29" t="b">
        <v>1</v>
      </c>
      <c r="J28" s="29">
        <v>60</v>
      </c>
      <c r="K28" s="29">
        <v>21</v>
      </c>
      <c r="L28" s="28">
        <f>_xll.qlRateHelperEarliestDate($E28,Trigger)</f>
        <v>42480</v>
      </c>
      <c r="M28" s="27" t="e">
        <f ca="1">_xll.qlRateHelperLatestDate($E28,Trigger)</f>
        <v>#NAME?</v>
      </c>
      <c r="P28" s="166" t="b">
        <f t="shared" si="4"/>
        <v>0</v>
      </c>
      <c r="Q28" s="171" t="b">
        <f>AND(_xll.qlIMMIsIMMcode(D28),IF(ISERROR(G28),FALSE,TRUE))</f>
        <v>0</v>
      </c>
      <c r="R28" s="169" t="b">
        <f>AND(NOT(_xll.qlIMMIsIMMcode(D28)),P28)</f>
        <v>0</v>
      </c>
    </row>
    <row r="29" spans="1:18" x14ac:dyDescent="0.2">
      <c r="A29" s="32" t="b">
        <v>0</v>
      </c>
      <c r="B29" s="33"/>
      <c r="C29" s="32" t="str">
        <f t="shared" si="2"/>
        <v>FUT3M</v>
      </c>
      <c r="D29" s="31" t="str">
        <v>K6</v>
      </c>
      <c r="E29" s="31" t="str">
        <f>Futures!J11</f>
        <v>obj_005bd#0004</v>
      </c>
      <c r="F29" s="31" t="str">
        <f>_xll.qlRateHelperQuoteName(E29)</f>
        <v>EURFUT3MK6_Quote</v>
      </c>
      <c r="G29" s="43" t="e">
        <f>_xll.qlRateHelperQuoteValue($E29,Trigger)</f>
        <v>#NUM!</v>
      </c>
      <c r="H29" s="30" t="e">
        <f>_xll.qlFuturesRateHelperConvexityAdjustment($E29,Trigger)</f>
        <v>#NUM!</v>
      </c>
      <c r="I29" s="29" t="b">
        <v>1</v>
      </c>
      <c r="J29" s="29">
        <v>60</v>
      </c>
      <c r="K29" s="29">
        <v>21</v>
      </c>
      <c r="L29" s="28">
        <f>_xll.qlRateHelperEarliestDate($E29,Trigger)</f>
        <v>42508</v>
      </c>
      <c r="M29" s="27" t="e">
        <f ca="1">_xll.qlRateHelperLatestDate($E29,Trigger)</f>
        <v>#NAME?</v>
      </c>
      <c r="P29" s="166" t="b">
        <f t="shared" si="4"/>
        <v>0</v>
      </c>
      <c r="Q29" s="171" t="b">
        <f>AND(_xll.qlIMMIsIMMcode(D29),IF(ISERROR(G29),FALSE,TRUE))</f>
        <v>0</v>
      </c>
      <c r="R29" s="169" t="b">
        <f>AND(NOT(_xll.qlIMMIsIMMcode(D29)),P29)</f>
        <v>0</v>
      </c>
    </row>
    <row r="30" spans="1:18" x14ac:dyDescent="0.2">
      <c r="A30" s="32" t="b">
        <v>0</v>
      </c>
      <c r="B30" s="33"/>
      <c r="C30" s="32" t="str">
        <f t="shared" si="2"/>
        <v>FUT3M</v>
      </c>
      <c r="D30" s="31" t="str">
        <v>M6</v>
      </c>
      <c r="E30" s="31" t="str">
        <f>Futures!J12</f>
        <v>obj_005a2#0004</v>
      </c>
      <c r="F30" s="31" t="str">
        <f>_xll.qlRateHelperQuoteName(E30)</f>
        <v>EURFUT3MM6_Quote</v>
      </c>
      <c r="G30" s="43">
        <f>_xll.qlRateHelperQuoteValue($E30,Trigger)</f>
        <v>100.0325</v>
      </c>
      <c r="H30" s="30">
        <f>_xll.qlFuturesRateHelperConvexityAdjustment($E30,Trigger)</f>
        <v>0</v>
      </c>
      <c r="I30" s="29" t="b">
        <v>1</v>
      </c>
      <c r="J30" s="29">
        <v>60</v>
      </c>
      <c r="K30" s="29">
        <v>21</v>
      </c>
      <c r="L30" s="28">
        <f>_xll.qlRateHelperEarliestDate($E30,Trigger)</f>
        <v>42536</v>
      </c>
      <c r="M30" s="27" t="e">
        <f ca="1">_xll.qlRateHelperLatestDate($E30,Trigger)</f>
        <v>#NAME?</v>
      </c>
      <c r="P30" s="166" t="b">
        <f t="shared" si="4"/>
        <v>1</v>
      </c>
      <c r="Q30" s="171" t="b">
        <f>AND(_xll.qlIMMIsIMMcode(D30),IF(ISERROR(G30),FALSE,TRUE))</f>
        <v>1</v>
      </c>
      <c r="R30" s="169" t="b">
        <f>AND(NOT(_xll.qlIMMIsIMMcode(D30)),P30)</f>
        <v>0</v>
      </c>
    </row>
    <row r="31" spans="1:18" x14ac:dyDescent="0.2">
      <c r="A31" s="32" t="b">
        <v>0</v>
      </c>
      <c r="B31" s="33"/>
      <c r="C31" s="32" t="str">
        <f t="shared" si="2"/>
        <v>FUT3M</v>
      </c>
      <c r="D31" s="31" t="str">
        <v>N6</v>
      </c>
      <c r="E31" s="31" t="str">
        <f>Futures!J13</f>
        <v>obj_005b2#0004</v>
      </c>
      <c r="F31" s="31" t="str">
        <f>_xll.qlRateHelperQuoteName(E31)</f>
        <v>EURFUT3MN6_Quote</v>
      </c>
      <c r="G31" s="43" t="e">
        <f>_xll.qlRateHelperQuoteValue($E31,Trigger)</f>
        <v>#NUM!</v>
      </c>
      <c r="H31" s="30" t="e">
        <f>_xll.qlFuturesRateHelperConvexityAdjustment($E31,Trigger)</f>
        <v>#NUM!</v>
      </c>
      <c r="I31" s="29" t="b">
        <v>1</v>
      </c>
      <c r="J31" s="29">
        <v>60</v>
      </c>
      <c r="K31" s="29">
        <v>21</v>
      </c>
      <c r="L31" s="28">
        <f>_xll.qlRateHelperEarliestDate($E31,Trigger)</f>
        <v>42571</v>
      </c>
      <c r="M31" s="27" t="e">
        <f ca="1">_xll.qlRateHelperLatestDate($E31,Trigger)</f>
        <v>#NAME?</v>
      </c>
      <c r="P31" s="166" t="b">
        <f t="shared" si="4"/>
        <v>0</v>
      </c>
      <c r="Q31" s="171" t="b">
        <f>AND(_xll.qlIMMIsIMMcode(D31),IF(ISERROR(G31),FALSE,TRUE))</f>
        <v>0</v>
      </c>
      <c r="R31" s="169" t="b">
        <f>AND(NOT(_xll.qlIMMIsIMMcode(D31)),P31)</f>
        <v>0</v>
      </c>
    </row>
    <row r="32" spans="1:18" x14ac:dyDescent="0.2">
      <c r="A32" s="32" t="b">
        <v>0</v>
      </c>
      <c r="B32" s="33"/>
      <c r="C32" s="32" t="str">
        <f t="shared" si="2"/>
        <v>FUT3M</v>
      </c>
      <c r="D32" s="31" t="str">
        <v>Q6</v>
      </c>
      <c r="E32" s="31" t="str">
        <f>Futures!J14</f>
        <v>obj_005ac#0004</v>
      </c>
      <c r="F32" s="31" t="str">
        <f>_xll.qlRateHelperQuoteName(E32)</f>
        <v>EURFUT3MQ6_Quote</v>
      </c>
      <c r="G32" s="43" t="e">
        <f>_xll.qlRateHelperQuoteValue($E32,Trigger)</f>
        <v>#NUM!</v>
      </c>
      <c r="H32" s="30" t="e">
        <f>_xll.qlFuturesRateHelperConvexityAdjustment($E32,Trigger)</f>
        <v>#NUM!</v>
      </c>
      <c r="I32" s="29" t="b">
        <v>1</v>
      </c>
      <c r="J32" s="29">
        <v>60</v>
      </c>
      <c r="K32" s="29">
        <v>21</v>
      </c>
      <c r="L32" s="28">
        <f>_xll.qlRateHelperEarliestDate($E32,Trigger)</f>
        <v>42599</v>
      </c>
      <c r="M32" s="27" t="e">
        <f ca="1">_xll.qlRateHelperLatestDate($E32,Trigger)</f>
        <v>#NAME?</v>
      </c>
      <c r="P32" s="166" t="b">
        <f t="shared" si="4"/>
        <v>0</v>
      </c>
      <c r="Q32" s="171" t="b">
        <f>AND(_xll.qlIMMIsIMMcode(D32),IF(ISERROR(G32),FALSE,TRUE))</f>
        <v>0</v>
      </c>
      <c r="R32" s="169" t="b">
        <f>AND(NOT(_xll.qlIMMIsIMMcode(D32)),P32)</f>
        <v>0</v>
      </c>
    </row>
    <row r="33" spans="1:18" x14ac:dyDescent="0.2">
      <c r="A33" s="32" t="b">
        <v>1</v>
      </c>
      <c r="B33" s="33"/>
      <c r="C33" s="32" t="str">
        <f t="shared" si="2"/>
        <v>FUT3M</v>
      </c>
      <c r="D33" s="31" t="str">
        <v>U6</v>
      </c>
      <c r="E33" s="31" t="str">
        <f>Futures!J15</f>
        <v>obj_0059f#0004</v>
      </c>
      <c r="F33" s="31" t="str">
        <f>_xll.qlRateHelperQuoteName(E33)</f>
        <v>EURFUT3MU6_Quote</v>
      </c>
      <c r="G33" s="43">
        <f>_xll.qlRateHelperQuoteValue($E33,Trigger)</f>
        <v>100.0175</v>
      </c>
      <c r="H33" s="30">
        <f>_xll.qlFuturesRateHelperConvexityAdjustment($E33,Trigger)</f>
        <v>0</v>
      </c>
      <c r="I33" s="29" t="b">
        <v>1</v>
      </c>
      <c r="J33" s="29">
        <v>60</v>
      </c>
      <c r="K33" s="29">
        <v>21</v>
      </c>
      <c r="L33" s="28">
        <f>_xll.qlRateHelperEarliestDate($E33,Trigger)</f>
        <v>42634</v>
      </c>
      <c r="M33" s="27" t="e">
        <f ca="1">_xll.qlRateHelperLatestDate($E33,Trigger)</f>
        <v>#NAME?</v>
      </c>
      <c r="P33" s="166" t="b">
        <f t="shared" si="4"/>
        <v>1</v>
      </c>
      <c r="Q33" s="171" t="b">
        <f>AND(_xll.qlIMMIsIMMcode(D33),IF(ISERROR(G33),FALSE,TRUE))</f>
        <v>1</v>
      </c>
      <c r="R33" s="169" t="b">
        <f>AND(NOT(_xll.qlIMMIsIMMcode(D33)),P33)</f>
        <v>0</v>
      </c>
    </row>
    <row r="34" spans="1:18" x14ac:dyDescent="0.2">
      <c r="A34" s="32" t="b">
        <v>1</v>
      </c>
      <c r="B34" s="33"/>
      <c r="C34" s="32" t="str">
        <f t="shared" si="2"/>
        <v>FUT3M</v>
      </c>
      <c r="D34" s="31" t="str">
        <v>Z6</v>
      </c>
      <c r="E34" s="31" t="str">
        <f>Futures!J16</f>
        <v>obj_005b1#0004</v>
      </c>
      <c r="F34" s="31" t="str">
        <f>_xll.qlRateHelperQuoteName(E34)</f>
        <v>EURFUT3MZ6_Quote</v>
      </c>
      <c r="G34" s="43">
        <f>_xll.qlRateHelperQuoteValue($E34,Trigger)</f>
        <v>99.997500000000002</v>
      </c>
      <c r="H34" s="30">
        <f>_xll.qlFuturesRateHelperConvexityAdjustment($E34,Trigger)</f>
        <v>0</v>
      </c>
      <c r="I34" s="29" t="b">
        <v>1</v>
      </c>
      <c r="J34" s="29">
        <v>60</v>
      </c>
      <c r="K34" s="29">
        <v>21</v>
      </c>
      <c r="L34" s="28">
        <f>_xll.qlRateHelperEarliestDate($E34,Trigger)</f>
        <v>42725</v>
      </c>
      <c r="M34" s="27" t="e">
        <f ca="1">_xll.qlRateHelperLatestDate($E34,Trigger)</f>
        <v>#NAME?</v>
      </c>
      <c r="P34" s="166" t="b">
        <f t="shared" si="4"/>
        <v>1</v>
      </c>
      <c r="Q34" s="171" t="b">
        <f>AND(_xll.qlIMMIsIMMcode(D34),IF(ISERROR(G34),FALSE,TRUE))</f>
        <v>1</v>
      </c>
      <c r="R34" s="169" t="b">
        <f>AND(NOT(_xll.qlIMMIsIMMcode(D34)),P34)</f>
        <v>0</v>
      </c>
    </row>
    <row r="35" spans="1:18" x14ac:dyDescent="0.2">
      <c r="A35" s="32" t="b">
        <v>1</v>
      </c>
      <c r="B35" s="33"/>
      <c r="C35" s="32" t="str">
        <f t="shared" si="2"/>
        <v>FUT3M</v>
      </c>
      <c r="D35" s="31" t="str">
        <v>H7</v>
      </c>
      <c r="E35" s="31" t="str">
        <f>Futures!J17</f>
        <v>obj_0059c#0004</v>
      </c>
      <c r="F35" s="31" t="str">
        <f>_xll.qlRateHelperQuoteName(E35)</f>
        <v>EURFUT3MH7_Quote</v>
      </c>
      <c r="G35" s="43">
        <f>_xll.qlRateHelperQuoteValue($E35,Trigger)</f>
        <v>99.967500000000001</v>
      </c>
      <c r="H35" s="30">
        <f>_xll.qlFuturesRateHelperConvexityAdjustment($E35,Trigger)</f>
        <v>0</v>
      </c>
      <c r="I35" s="29" t="b">
        <v>1</v>
      </c>
      <c r="J35" s="29">
        <v>60</v>
      </c>
      <c r="K35" s="29">
        <v>21</v>
      </c>
      <c r="L35" s="28">
        <f>_xll.qlRateHelperEarliestDate($E35,Trigger)</f>
        <v>42809</v>
      </c>
      <c r="M35" s="27" t="e">
        <f ca="1">_xll.qlRateHelperLatestDate($E35,Trigger)</f>
        <v>#NAME?</v>
      </c>
      <c r="P35" s="166" t="b">
        <f t="shared" si="4"/>
        <v>1</v>
      </c>
      <c r="Q35" s="171" t="b">
        <f>AND(_xll.qlIMMIsIMMcode(D35),IF(ISERROR(G35),FALSE,TRUE))</f>
        <v>1</v>
      </c>
      <c r="R35" s="169" t="b">
        <f>AND(NOT(_xll.qlIMMIsIMMcode(D35)),P35)</f>
        <v>0</v>
      </c>
    </row>
    <row r="36" spans="1:18" x14ac:dyDescent="0.2">
      <c r="A36" s="32" t="b">
        <v>1</v>
      </c>
      <c r="B36" s="33"/>
      <c r="C36" s="32" t="str">
        <f t="shared" si="2"/>
        <v>FUT3M</v>
      </c>
      <c r="D36" s="31" t="str">
        <v>M7</v>
      </c>
      <c r="E36" s="31" t="str">
        <f>Futures!J18</f>
        <v>obj_005a0#0004</v>
      </c>
      <c r="F36" s="31" t="str">
        <f>_xll.qlRateHelperQuoteName(E36)</f>
        <v>EURFUT3MM7_Quote</v>
      </c>
      <c r="G36" s="43">
        <f>_xll.qlRateHelperQuoteValue($E36,Trigger)</f>
        <v>99.927500000000009</v>
      </c>
      <c r="H36" s="30">
        <f>_xll.qlFuturesRateHelperConvexityAdjustment($E36,Trigger)</f>
        <v>0</v>
      </c>
      <c r="I36" s="29" t="b">
        <v>1</v>
      </c>
      <c r="J36" s="29">
        <v>60</v>
      </c>
      <c r="K36" s="29">
        <v>21</v>
      </c>
      <c r="L36" s="28">
        <f>_xll.qlRateHelperEarliestDate($E36,Trigger)</f>
        <v>42907</v>
      </c>
      <c r="M36" s="27" t="e">
        <f ca="1">_xll.qlRateHelperLatestDate($E36,Trigger)</f>
        <v>#NAME?</v>
      </c>
      <c r="P36" s="166" t="b">
        <f t="shared" si="4"/>
        <v>1</v>
      </c>
      <c r="Q36" s="171" t="b">
        <f>AND(_xll.qlIMMIsIMMcode(D36),IF(ISERROR(G36),FALSE,TRUE))</f>
        <v>1</v>
      </c>
      <c r="R36" s="169" t="b">
        <f>AND(NOT(_xll.qlIMMIsIMMcode(D36)),P36)</f>
        <v>0</v>
      </c>
    </row>
    <row r="37" spans="1:18" x14ac:dyDescent="0.2">
      <c r="A37" s="32" t="b">
        <v>1</v>
      </c>
      <c r="B37" s="33"/>
      <c r="C37" s="32" t="str">
        <f t="shared" si="2"/>
        <v>FUT3M</v>
      </c>
      <c r="D37" s="31" t="str">
        <v>U7</v>
      </c>
      <c r="E37" s="31" t="str">
        <f>Futures!J19</f>
        <v>obj_005a6#0004</v>
      </c>
      <c r="F37" s="31" t="str">
        <f>_xll.qlRateHelperQuoteName(E37)</f>
        <v>EURFUT3MU7_Quote</v>
      </c>
      <c r="G37" s="43">
        <f>_xll.qlRateHelperQuoteValue($E37,Trigger)</f>
        <v>99.887500000000003</v>
      </c>
      <c r="H37" s="30">
        <f>_xll.qlFuturesRateHelperConvexityAdjustment($E37,Trigger)</f>
        <v>0</v>
      </c>
      <c r="I37" s="29" t="b">
        <v>1</v>
      </c>
      <c r="J37" s="29">
        <v>60</v>
      </c>
      <c r="K37" s="29">
        <v>21</v>
      </c>
      <c r="L37" s="28">
        <f>_xll.qlRateHelperEarliestDate($E37,Trigger)</f>
        <v>42998</v>
      </c>
      <c r="M37" s="27" t="e">
        <f ca="1">_xll.qlRateHelperLatestDate($E37,Trigger)</f>
        <v>#NAME?</v>
      </c>
      <c r="P37" s="166" t="b">
        <f t="shared" si="4"/>
        <v>1</v>
      </c>
      <c r="Q37" s="171" t="b">
        <f>AND(_xll.qlIMMIsIMMcode(D37),IF(ISERROR(G37),FALSE,TRUE))</f>
        <v>1</v>
      </c>
      <c r="R37" s="169" t="b">
        <f>AND(NOT(_xll.qlIMMIsIMMcode(D37)),P37)</f>
        <v>0</v>
      </c>
    </row>
    <row r="38" spans="1:18" x14ac:dyDescent="0.2">
      <c r="A38" s="32" t="b">
        <v>1</v>
      </c>
      <c r="B38" s="33"/>
      <c r="C38" s="32" t="str">
        <f t="shared" si="2"/>
        <v>FUT3M</v>
      </c>
      <c r="D38" s="31" t="str">
        <v>Z7</v>
      </c>
      <c r="E38" s="31" t="str">
        <f>Futures!J20</f>
        <v>obj_00595#0004</v>
      </c>
      <c r="F38" s="31" t="str">
        <f>_xll.qlRateHelperQuoteName(E38)</f>
        <v>EURFUT3MZ7_Quote</v>
      </c>
      <c r="G38" s="43">
        <f>_xll.qlRateHelperQuoteValue($E38,Trigger)</f>
        <v>99.842500000000001</v>
      </c>
      <c r="H38" s="30">
        <f>_xll.qlFuturesRateHelperConvexityAdjustment($E38,Trigger)</f>
        <v>0</v>
      </c>
      <c r="I38" s="29" t="b">
        <v>1</v>
      </c>
      <c r="J38" s="29">
        <v>30</v>
      </c>
      <c r="K38" s="29">
        <v>21</v>
      </c>
      <c r="L38" s="28">
        <f>_xll.qlRateHelperEarliestDate($E38,Trigger)</f>
        <v>43089</v>
      </c>
      <c r="M38" s="27" t="e">
        <f ca="1">_xll.qlRateHelperLatestDate($E38,Trigger)</f>
        <v>#NAME?</v>
      </c>
      <c r="P38" s="166" t="b">
        <f t="shared" si="4"/>
        <v>1</v>
      </c>
      <c r="Q38" s="171" t="b">
        <f>AND(_xll.qlIMMIsIMMcode(D38),IF(ISERROR(G38),FALSE,TRUE))</f>
        <v>1</v>
      </c>
      <c r="R38" s="169" t="b">
        <f>AND(NOT(_xll.qlIMMIsIMMcode(D38)),P38)</f>
        <v>0</v>
      </c>
    </row>
    <row r="39" spans="1:18" x14ac:dyDescent="0.2">
      <c r="A39" s="32" t="b">
        <v>1</v>
      </c>
      <c r="B39" s="33"/>
      <c r="C39" s="32" t="str">
        <f t="shared" si="2"/>
        <v>FUT3M</v>
      </c>
      <c r="D39" s="31" t="str">
        <v>H8</v>
      </c>
      <c r="E39" s="31" t="str">
        <f>Futures!J21</f>
        <v>obj_00597#0004</v>
      </c>
      <c r="F39" s="31" t="str">
        <f>_xll.qlRateHelperQuoteName(E39)</f>
        <v>EURFUT3MH8_Quote</v>
      </c>
      <c r="G39" s="43">
        <f>_xll.qlRateHelperQuoteValue($E39,Trigger)</f>
        <v>99.782499999999999</v>
      </c>
      <c r="H39" s="30">
        <f>_xll.qlFuturesRateHelperConvexityAdjustment($E39,Trigger)</f>
        <v>0</v>
      </c>
      <c r="I39" s="29" t="b">
        <v>1</v>
      </c>
      <c r="J39" s="29">
        <v>30</v>
      </c>
      <c r="K39" s="29">
        <v>21</v>
      </c>
      <c r="L39" s="28">
        <f>_xll.qlRateHelperEarliestDate($E39,Trigger)</f>
        <v>43180</v>
      </c>
      <c r="M39" s="27" t="e">
        <f ca="1">_xll.qlRateHelperLatestDate($E39,Trigger)</f>
        <v>#NAME?</v>
      </c>
      <c r="P39" s="166" t="b">
        <f t="shared" si="4"/>
        <v>1</v>
      </c>
      <c r="Q39" s="171" t="b">
        <f>AND(_xll.qlIMMIsIMMcode(D39),IF(ISERROR(G39),FALSE,TRUE))</f>
        <v>1</v>
      </c>
      <c r="R39" s="169" t="b">
        <f>AND(NOT(_xll.qlIMMIsIMMcode(D39)),P39)</f>
        <v>0</v>
      </c>
    </row>
    <row r="40" spans="1:18" x14ac:dyDescent="0.2">
      <c r="A40" s="32" t="b">
        <v>1</v>
      </c>
      <c r="B40" s="33"/>
      <c r="C40" s="32" t="str">
        <f t="shared" si="2"/>
        <v>FUT3M</v>
      </c>
      <c r="D40" s="31" t="str">
        <v>M8</v>
      </c>
      <c r="E40" s="31" t="str">
        <f>Futures!J22</f>
        <v>obj_0059e#0004</v>
      </c>
      <c r="F40" s="31" t="str">
        <f>_xll.qlRateHelperQuoteName(E40)</f>
        <v>EURFUT3MM8_Quote</v>
      </c>
      <c r="G40" s="43">
        <f>_xll.qlRateHelperQuoteValue($E40,Trigger)</f>
        <v>99.717500000000001</v>
      </c>
      <c r="H40" s="30">
        <f>_xll.qlFuturesRateHelperConvexityAdjustment($E40,Trigger)</f>
        <v>0</v>
      </c>
      <c r="I40" s="29" t="b">
        <v>1</v>
      </c>
      <c r="J40" s="29">
        <v>30</v>
      </c>
      <c r="K40" s="29">
        <v>21</v>
      </c>
      <c r="L40" s="28">
        <f>_xll.qlRateHelperEarliestDate($E40,Trigger)</f>
        <v>43271</v>
      </c>
      <c r="M40" s="27" t="e">
        <f ca="1">_xll.qlRateHelperLatestDate($E40,Trigger)</f>
        <v>#NAME?</v>
      </c>
      <c r="P40" s="166" t="b">
        <f t="shared" si="4"/>
        <v>1</v>
      </c>
      <c r="Q40" s="171" t="b">
        <f>AND(_xll.qlIMMIsIMMcode(D40),IF(ISERROR(G40),FALSE,TRUE))</f>
        <v>1</v>
      </c>
      <c r="R40" s="169" t="b">
        <f>AND(NOT(_xll.qlIMMIsIMMcode(D40)),P40)</f>
        <v>0</v>
      </c>
    </row>
    <row r="41" spans="1:18" x14ac:dyDescent="0.2">
      <c r="A41" s="32" t="b">
        <v>1</v>
      </c>
      <c r="B41" s="33"/>
      <c r="C41" s="32" t="str">
        <f t="shared" si="2"/>
        <v>FUT3M</v>
      </c>
      <c r="D41" s="31" t="str">
        <v>U8</v>
      </c>
      <c r="E41" s="31" t="str">
        <f>Futures!J23</f>
        <v>obj_005b9#0004</v>
      </c>
      <c r="F41" s="31" t="str">
        <f>_xll.qlRateHelperQuoteName(E41)</f>
        <v>EURFUT3MU8_Quote</v>
      </c>
      <c r="G41" s="43">
        <f>_xll.qlRateHelperQuoteValue($E41,Trigger)</f>
        <v>99.64500000000001</v>
      </c>
      <c r="H41" s="30">
        <f>_xll.qlFuturesRateHelperConvexityAdjustment($E41,Trigger)</f>
        <v>0</v>
      </c>
      <c r="I41" s="29" t="b">
        <v>1</v>
      </c>
      <c r="J41" s="29">
        <v>30</v>
      </c>
      <c r="K41" s="29">
        <v>21</v>
      </c>
      <c r="L41" s="28">
        <f>_xll.qlRateHelperEarliestDate($E41,Trigger)</f>
        <v>43362</v>
      </c>
      <c r="M41" s="27" t="e">
        <f ca="1">_xll.qlRateHelperLatestDate($E41,Trigger)</f>
        <v>#NAME?</v>
      </c>
      <c r="P41" s="166" t="b">
        <f t="shared" si="4"/>
        <v>1</v>
      </c>
      <c r="Q41" s="171" t="b">
        <f>AND(_xll.qlIMMIsIMMcode(D41),IF(ISERROR(G41),FALSE,TRUE))</f>
        <v>1</v>
      </c>
      <c r="R41" s="169" t="b">
        <f>AND(NOT(_xll.qlIMMIsIMMcode(D41)),P41)</f>
        <v>0</v>
      </c>
    </row>
    <row r="42" spans="1:18" x14ac:dyDescent="0.2">
      <c r="A42" s="32" t="b">
        <v>1</v>
      </c>
      <c r="B42" s="33"/>
      <c r="C42" s="32" t="str">
        <f t="shared" si="2"/>
        <v>FUT3M</v>
      </c>
      <c r="D42" s="31" t="str">
        <v>Z8</v>
      </c>
      <c r="E42" s="31" t="str">
        <f>Futures!J24</f>
        <v>obj_005a7#0004</v>
      </c>
      <c r="F42" s="31" t="str">
        <f>_xll.qlRateHelperQuoteName(E42)</f>
        <v>EURFUT3MZ8_Quote</v>
      </c>
      <c r="G42" s="43">
        <f>_xll.qlRateHelperQuoteValue($E42,Trigger)</f>
        <v>99.567499999999995</v>
      </c>
      <c r="H42" s="30">
        <f>_xll.qlFuturesRateHelperConvexityAdjustment($E42,Trigger)</f>
        <v>0</v>
      </c>
      <c r="I42" s="29" t="b">
        <v>1</v>
      </c>
      <c r="J42" s="29">
        <v>30</v>
      </c>
      <c r="K42" s="29">
        <v>21</v>
      </c>
      <c r="L42" s="28">
        <f>_xll.qlRateHelperEarliestDate($E42,Trigger)</f>
        <v>43453</v>
      </c>
      <c r="M42" s="27" t="e">
        <f ca="1">_xll.qlRateHelperLatestDate($E42,Trigger)</f>
        <v>#NAME?</v>
      </c>
      <c r="P42" s="166" t="b">
        <f t="shared" si="4"/>
        <v>1</v>
      </c>
      <c r="Q42" s="171" t="b">
        <f>AND(_xll.qlIMMIsIMMcode(D42),IF(ISERROR(G42),FALSE,TRUE))</f>
        <v>1</v>
      </c>
      <c r="R42" s="169" t="b">
        <f>AND(NOT(_xll.qlIMMIsIMMcode(D42)),P42)</f>
        <v>0</v>
      </c>
    </row>
    <row r="43" spans="1:18" x14ac:dyDescent="0.2">
      <c r="A43" s="32" t="b">
        <v>1</v>
      </c>
      <c r="B43" s="33"/>
      <c r="C43" s="32" t="str">
        <f t="shared" si="2"/>
        <v>FUT3M</v>
      </c>
      <c r="D43" s="31" t="str">
        <v>H9</v>
      </c>
      <c r="E43" s="31" t="str">
        <f>Futures!J25</f>
        <v>obj_005b7#0004</v>
      </c>
      <c r="F43" s="31" t="str">
        <f>_xll.qlRateHelperQuoteName(E43)</f>
        <v>EURFUT3MH9_Quote</v>
      </c>
      <c r="G43" s="43">
        <f>_xll.qlRateHelperQuoteValue($E43,Trigger)</f>
        <v>99.487499999999997</v>
      </c>
      <c r="H43" s="30">
        <f>_xll.qlFuturesRateHelperConvexityAdjustment($E43,Trigger)</f>
        <v>0</v>
      </c>
      <c r="I43" s="29" t="b">
        <v>1</v>
      </c>
      <c r="J43" s="29">
        <v>30</v>
      </c>
      <c r="K43" s="29">
        <v>21</v>
      </c>
      <c r="L43" s="28">
        <f>_xll.qlRateHelperEarliestDate($E43,Trigger)</f>
        <v>43544</v>
      </c>
      <c r="M43" s="27" t="e">
        <f ca="1">_xll.qlRateHelperLatestDate($E43,Trigger)</f>
        <v>#NAME?</v>
      </c>
      <c r="P43" s="166" t="b">
        <f t="shared" si="4"/>
        <v>1</v>
      </c>
      <c r="Q43" s="171" t="b">
        <f>AND(_xll.qlIMMIsIMMcode(D43),IF(ISERROR(G43),FALSE,TRUE))</f>
        <v>1</v>
      </c>
      <c r="R43" s="169" t="b">
        <f>AND(NOT(_xll.qlIMMIsIMMcode(D43)),P43)</f>
        <v>0</v>
      </c>
    </row>
    <row r="44" spans="1:18" x14ac:dyDescent="0.2">
      <c r="A44" s="32" t="b">
        <v>1</v>
      </c>
      <c r="B44" s="33"/>
      <c r="C44" s="32" t="str">
        <f t="shared" si="2"/>
        <v>FUT3M</v>
      </c>
      <c r="D44" s="31" t="str">
        <v>M9</v>
      </c>
      <c r="E44" s="31" t="str">
        <f>Futures!J26</f>
        <v>obj_005a8#0004</v>
      </c>
      <c r="F44" s="31" t="str">
        <f>_xll.qlRateHelperQuoteName(E44)</f>
        <v>EURFUT3MM9_Quote</v>
      </c>
      <c r="G44" s="43">
        <f>_xll.qlRateHelperQuoteValue($E44,Trigger)</f>
        <v>99.405000000000001</v>
      </c>
      <c r="H44" s="30">
        <f>_xll.qlFuturesRateHelperConvexityAdjustment($E44,Trigger)</f>
        <v>0</v>
      </c>
      <c r="I44" s="29" t="b">
        <v>1</v>
      </c>
      <c r="J44" s="29">
        <v>30</v>
      </c>
      <c r="K44" s="29">
        <v>21</v>
      </c>
      <c r="L44" s="28">
        <f>_xll.qlRateHelperEarliestDate($E44,Trigger)</f>
        <v>43635</v>
      </c>
      <c r="M44" s="27" t="e">
        <f ca="1">_xll.qlRateHelperLatestDate($E44,Trigger)</f>
        <v>#NAME?</v>
      </c>
      <c r="P44" s="166" t="b">
        <f t="shared" si="4"/>
        <v>1</v>
      </c>
      <c r="Q44" s="171" t="b">
        <f>AND(_xll.qlIMMIsIMMcode(D44),IF(ISERROR(G44),FALSE,TRUE))</f>
        <v>1</v>
      </c>
      <c r="R44" s="169" t="b">
        <f>AND(NOT(_xll.qlIMMIsIMMcode(D44)),P44)</f>
        <v>0</v>
      </c>
    </row>
    <row r="45" spans="1:18" x14ac:dyDescent="0.2">
      <c r="A45" s="32" t="b">
        <v>1</v>
      </c>
      <c r="B45" s="33"/>
      <c r="C45" s="32" t="str">
        <f t="shared" si="2"/>
        <v>FUT3M</v>
      </c>
      <c r="D45" s="31" t="str">
        <v>U9</v>
      </c>
      <c r="E45" s="31" t="str">
        <f>Futures!J27</f>
        <v>obj_005aa#0004</v>
      </c>
      <c r="F45" s="31" t="str">
        <f>_xll.qlRateHelperQuoteName(E45)</f>
        <v>EURFUT3MU9_Quote</v>
      </c>
      <c r="G45" s="43">
        <f>_xll.qlRateHelperQuoteValue($E45,Trigger)</f>
        <v>99.322499999999991</v>
      </c>
      <c r="H45" s="30">
        <f>_xll.qlFuturesRateHelperConvexityAdjustment($E45,Trigger)</f>
        <v>0</v>
      </c>
      <c r="I45" s="29" t="b">
        <v>1</v>
      </c>
      <c r="J45" s="29">
        <v>30</v>
      </c>
      <c r="K45" s="29">
        <v>21</v>
      </c>
      <c r="L45" s="28">
        <f>_xll.qlRateHelperEarliestDate($E45,Trigger)</f>
        <v>43726</v>
      </c>
      <c r="M45" s="27" t="e">
        <f ca="1">_xll.qlRateHelperLatestDate($E45,Trigger)</f>
        <v>#NAME?</v>
      </c>
      <c r="P45" s="166" t="b">
        <f t="shared" si="4"/>
        <v>1</v>
      </c>
      <c r="Q45" s="171" t="b">
        <f>AND(_xll.qlIMMIsIMMcode(D45),IF(ISERROR(G45),FALSE,TRUE))</f>
        <v>1</v>
      </c>
      <c r="R45" s="169" t="b">
        <f>AND(NOT(_xll.qlIMMIsIMMcode(D45)),P45)</f>
        <v>0</v>
      </c>
    </row>
    <row r="46" spans="1:18" x14ac:dyDescent="0.2">
      <c r="A46" s="32" t="b">
        <v>1</v>
      </c>
      <c r="B46" s="33"/>
      <c r="C46" s="32" t="str">
        <f t="shared" si="2"/>
        <v>FUT3M</v>
      </c>
      <c r="D46" s="31" t="str">
        <v>Z9</v>
      </c>
      <c r="E46" s="31" t="str">
        <f>Futures!J28</f>
        <v>obj_005a1#0004</v>
      </c>
      <c r="F46" s="31" t="str">
        <f>_xll.qlRateHelperQuoteName(E46)</f>
        <v>EURFUT3MZ9_Quote</v>
      </c>
      <c r="G46" s="43">
        <f>_xll.qlRateHelperQuoteValue($E46,Trigger)</f>
        <v>99.240000000000009</v>
      </c>
      <c r="H46" s="30">
        <f>_xll.qlFuturesRateHelperConvexityAdjustment($E46,Trigger)</f>
        <v>0</v>
      </c>
      <c r="I46" s="29" t="b">
        <v>1</v>
      </c>
      <c r="J46" s="29">
        <v>30</v>
      </c>
      <c r="K46" s="29">
        <v>21</v>
      </c>
      <c r="L46" s="28">
        <f>_xll.qlRateHelperEarliestDate($E46,Trigger)</f>
        <v>43817</v>
      </c>
      <c r="M46" s="27" t="e">
        <f ca="1">_xll.qlRateHelperLatestDate($E46,Trigger)</f>
        <v>#NAME?</v>
      </c>
      <c r="P46" s="166" t="b">
        <f t="shared" si="4"/>
        <v>1</v>
      </c>
      <c r="Q46" s="171" t="b">
        <f>AND(_xll.qlIMMIsIMMcode(D46),IF(ISERROR(G46),FALSE,TRUE))</f>
        <v>1</v>
      </c>
      <c r="R46" s="169" t="b">
        <f>AND(NOT(_xll.qlIMMIsIMMcode(D46)),P46)</f>
        <v>0</v>
      </c>
    </row>
    <row r="47" spans="1:18" x14ac:dyDescent="0.2">
      <c r="A47" s="32" t="b">
        <v>1</v>
      </c>
      <c r="B47" s="33"/>
      <c r="C47" s="32" t="str">
        <f t="shared" si="2"/>
        <v>FUT3M</v>
      </c>
      <c r="D47" s="31" t="str">
        <v>H0</v>
      </c>
      <c r="E47" s="31" t="str">
        <f>Futures!J29</f>
        <v>obj_005b5#0004</v>
      </c>
      <c r="F47" s="31" t="str">
        <f>_xll.qlRateHelperQuoteName(E47)</f>
        <v>EURFUT3MH0_Quote</v>
      </c>
      <c r="G47" s="43">
        <f>_xll.qlRateHelperQuoteValue($E47,Trigger)</f>
        <v>99.162499999999994</v>
      </c>
      <c r="H47" s="30">
        <f>_xll.qlFuturesRateHelperConvexityAdjustment($E47,Trigger)</f>
        <v>0</v>
      </c>
      <c r="I47" s="29" t="b">
        <v>1</v>
      </c>
      <c r="J47" s="29">
        <v>30</v>
      </c>
      <c r="K47" s="29">
        <v>21</v>
      </c>
      <c r="L47" s="28">
        <f>_xll.qlRateHelperEarliestDate($E47,Trigger)</f>
        <v>43908</v>
      </c>
      <c r="M47" s="27" t="e">
        <f ca="1">_xll.qlRateHelperLatestDate($E47,Trigger)</f>
        <v>#NAME?</v>
      </c>
      <c r="P47" s="166" t="b">
        <f t="shared" si="4"/>
        <v>1</v>
      </c>
      <c r="Q47" s="171" t="b">
        <f>AND(_xll.qlIMMIsIMMcode(D47),IF(ISERROR(G47),FALSE,TRUE))</f>
        <v>1</v>
      </c>
      <c r="R47" s="169" t="b">
        <f>AND(NOT(_xll.qlIMMIsIMMcode(D47)),P47)</f>
        <v>0</v>
      </c>
    </row>
    <row r="48" spans="1:18" x14ac:dyDescent="0.2">
      <c r="A48" s="32" t="b">
        <v>1</v>
      </c>
      <c r="B48" s="33"/>
      <c r="C48" s="32" t="str">
        <f t="shared" si="2"/>
        <v>FUT3M</v>
      </c>
      <c r="D48" s="31" t="str">
        <v>M0</v>
      </c>
      <c r="E48" s="31" t="str">
        <f>Futures!J30</f>
        <v>obj_00599#0004</v>
      </c>
      <c r="F48" s="31" t="str">
        <f>_xll.qlRateHelperQuoteName(E48)</f>
        <v>EURFUT3MM0_Quote</v>
      </c>
      <c r="G48" s="43">
        <f>_xll.qlRateHelperQuoteValue($E48,Trigger)</f>
        <v>99.087500000000006</v>
      </c>
      <c r="H48" s="30">
        <f>_xll.qlFuturesRateHelperConvexityAdjustment($E48,Trigger)</f>
        <v>0</v>
      </c>
      <c r="I48" s="29" t="b">
        <v>1</v>
      </c>
      <c r="J48" s="29">
        <v>30</v>
      </c>
      <c r="K48" s="29">
        <v>21</v>
      </c>
      <c r="L48" s="28">
        <f>_xll.qlRateHelperEarliestDate($E48,Trigger)</f>
        <v>43999</v>
      </c>
      <c r="M48" s="27" t="e">
        <f ca="1">_xll.qlRateHelperLatestDate($E48,Trigger)</f>
        <v>#NAME?</v>
      </c>
      <c r="P48" s="166" t="b">
        <f t="shared" si="4"/>
        <v>1</v>
      </c>
      <c r="Q48" s="171" t="b">
        <f>AND(_xll.qlIMMIsIMMcode(D48),IF(ISERROR(G48),FALSE,TRUE))</f>
        <v>1</v>
      </c>
      <c r="R48" s="169" t="b">
        <f>AND(NOT(_xll.qlIMMIsIMMcode(D48)),P48)</f>
        <v>0</v>
      </c>
    </row>
    <row r="49" spans="1:18" x14ac:dyDescent="0.2">
      <c r="A49" s="32" t="b">
        <v>1</v>
      </c>
      <c r="B49" s="33"/>
      <c r="C49" s="32" t="str">
        <f t="shared" si="2"/>
        <v>FUT3M</v>
      </c>
      <c r="D49" s="31" t="str">
        <v>U0</v>
      </c>
      <c r="E49" s="31" t="str">
        <f>Futures!J31</f>
        <v>obj_0059b#0004</v>
      </c>
      <c r="F49" s="31" t="str">
        <f>_xll.qlRateHelperQuoteName(E49)</f>
        <v>EURFUT3MU0_Quote</v>
      </c>
      <c r="G49" s="43">
        <f>_xll.qlRateHelperQuoteValue($E49,Trigger)</f>
        <v>99.017500000000013</v>
      </c>
      <c r="H49" s="30">
        <f>_xll.qlFuturesRateHelperConvexityAdjustment($E49,Trigger)</f>
        <v>0</v>
      </c>
      <c r="I49" s="29" t="b">
        <v>1</v>
      </c>
      <c r="J49" s="29">
        <v>30</v>
      </c>
      <c r="K49" s="29">
        <v>21</v>
      </c>
      <c r="L49" s="28">
        <f>_xll.qlRateHelperEarliestDate($E49,Trigger)</f>
        <v>44090</v>
      </c>
      <c r="M49" s="27" t="e">
        <f ca="1">_xll.qlRateHelperLatestDate($E49,Trigger)</f>
        <v>#NAME?</v>
      </c>
      <c r="P49" s="166" t="b">
        <f t="shared" si="4"/>
        <v>1</v>
      </c>
      <c r="Q49" s="171" t="b">
        <f>AND(_xll.qlIMMIsIMMcode(D49),IF(ISERROR(G49),FALSE,TRUE))</f>
        <v>1</v>
      </c>
      <c r="R49" s="169" t="b">
        <f>AND(NOT(_xll.qlIMMIsIMMcode(D49)),P49)</f>
        <v>0</v>
      </c>
    </row>
    <row r="50" spans="1:18" x14ac:dyDescent="0.2">
      <c r="A50" s="32" t="b">
        <v>1</v>
      </c>
      <c r="B50" s="33"/>
      <c r="C50" s="32" t="str">
        <f t="shared" si="2"/>
        <v>FUT3M</v>
      </c>
      <c r="D50" s="31" t="str">
        <v>Z0</v>
      </c>
      <c r="E50" s="31" t="str">
        <f>Futures!J32</f>
        <v>obj_005ad#0004</v>
      </c>
      <c r="F50" s="31" t="str">
        <f>_xll.qlRateHelperQuoteName(E50)</f>
        <v>EURFUT3MZ0_Quote</v>
      </c>
      <c r="G50" s="43">
        <f>_xll.qlRateHelperQuoteValue($E50,Trigger)</f>
        <v>98.947499999999991</v>
      </c>
      <c r="H50" s="30">
        <f>_xll.qlFuturesRateHelperConvexityAdjustment($E50,Trigger)</f>
        <v>0</v>
      </c>
      <c r="I50" s="29" t="b">
        <v>1</v>
      </c>
      <c r="J50" s="29">
        <v>30</v>
      </c>
      <c r="K50" s="29">
        <v>21</v>
      </c>
      <c r="L50" s="28">
        <f>_xll.qlRateHelperEarliestDate($E50,Trigger)</f>
        <v>44181</v>
      </c>
      <c r="M50" s="27" t="e">
        <f ca="1">_xll.qlRateHelperLatestDate($E50,Trigger)</f>
        <v>#NAME?</v>
      </c>
      <c r="P50" s="166" t="b">
        <f t="shared" si="4"/>
        <v>1</v>
      </c>
      <c r="Q50" s="171" t="b">
        <f>AND(_xll.qlIMMIsIMMcode(D50),IF(ISERROR(G50),FALSE,TRUE))</f>
        <v>1</v>
      </c>
      <c r="R50" s="169" t="b">
        <f>AND(NOT(_xll.qlIMMIsIMMcode(D50)),P50)</f>
        <v>0</v>
      </c>
    </row>
    <row r="51" spans="1:18" x14ac:dyDescent="0.2">
      <c r="A51" s="32" t="b">
        <v>1</v>
      </c>
      <c r="B51" s="33"/>
      <c r="C51" s="32" t="str">
        <f t="shared" si="2"/>
        <v>FUT3M</v>
      </c>
      <c r="D51" s="31" t="str">
        <v>H1</v>
      </c>
      <c r="E51" s="31" t="str">
        <f>Futures!J33</f>
        <v>obj_0059d#0004</v>
      </c>
      <c r="F51" s="31" t="str">
        <f>_xll.qlRateHelperQuoteName(E51)</f>
        <v>EURFUT3MH1_Quote</v>
      </c>
      <c r="G51" s="43">
        <f>_xll.qlRateHelperQuoteValue($E51,Trigger)</f>
        <v>98.88</v>
      </c>
      <c r="H51" s="30">
        <f>_xll.qlFuturesRateHelperConvexityAdjustment($E51,Trigger)</f>
        <v>0</v>
      </c>
      <c r="I51" s="29" t="b">
        <v>1</v>
      </c>
      <c r="J51" s="29">
        <v>30</v>
      </c>
      <c r="K51" s="29">
        <v>21</v>
      </c>
      <c r="L51" s="28">
        <f>_xll.qlRateHelperEarliestDate($E51,Trigger)</f>
        <v>44272</v>
      </c>
      <c r="M51" s="27" t="e">
        <f ca="1">_xll.qlRateHelperLatestDate($E51,Trigger)</f>
        <v>#NAME?</v>
      </c>
      <c r="P51" s="166" t="b">
        <f t="shared" si="4"/>
        <v>1</v>
      </c>
      <c r="Q51" s="171" t="b">
        <f>AND(_xll.qlIMMIsIMMcode(D51),IF(ISERROR(G51),FALSE,TRUE))</f>
        <v>1</v>
      </c>
      <c r="R51" s="169" t="b">
        <f>AND(NOT(_xll.qlIMMIsIMMcode(D51)),P51)</f>
        <v>0</v>
      </c>
    </row>
    <row r="52" spans="1:18" x14ac:dyDescent="0.2">
      <c r="A52" s="32" t="b">
        <v>1</v>
      </c>
      <c r="B52" s="33"/>
      <c r="C52" s="32" t="str">
        <f t="shared" si="2"/>
        <v>FUT3M</v>
      </c>
      <c r="D52" s="31" t="str">
        <v>M1</v>
      </c>
      <c r="E52" s="31" t="str">
        <f>Futures!J34</f>
        <v>obj_005af#0004</v>
      </c>
      <c r="F52" s="31" t="str">
        <f>_xll.qlRateHelperQuoteName(E52)</f>
        <v>EURFUT3MM1_Quote</v>
      </c>
      <c r="G52" s="43">
        <f>_xll.qlRateHelperQuoteValue($E52,Trigger)</f>
        <v>98.81</v>
      </c>
      <c r="H52" s="30">
        <f>_xll.qlFuturesRateHelperConvexityAdjustment($E52,Trigger)</f>
        <v>0</v>
      </c>
      <c r="I52" s="29" t="b">
        <v>1</v>
      </c>
      <c r="J52" s="29">
        <v>30</v>
      </c>
      <c r="K52" s="29">
        <v>21</v>
      </c>
      <c r="L52" s="28">
        <f>_xll.qlRateHelperEarliestDate($E52,Trigger)</f>
        <v>44363</v>
      </c>
      <c r="M52" s="27" t="e">
        <f ca="1">_xll.qlRateHelperLatestDate($E52,Trigger)</f>
        <v>#NAME?</v>
      </c>
      <c r="P52" s="166" t="b">
        <f t="shared" si="4"/>
        <v>1</v>
      </c>
      <c r="Q52" s="171" t="b">
        <f>AND(_xll.qlIMMIsIMMcode(D52),IF(ISERROR(G52),FALSE,TRUE))</f>
        <v>1</v>
      </c>
      <c r="R52" s="169" t="b">
        <f>AND(NOT(_xll.qlIMMIsIMMcode(D52)),P52)</f>
        <v>0</v>
      </c>
    </row>
    <row r="53" spans="1:18" x14ac:dyDescent="0.2">
      <c r="A53" s="32" t="b">
        <v>1</v>
      </c>
      <c r="B53" s="33"/>
      <c r="C53" s="32" t="str">
        <f t="shared" si="2"/>
        <v>FUT3M</v>
      </c>
      <c r="D53" s="31" t="str">
        <v>U1</v>
      </c>
      <c r="E53" s="31" t="str">
        <f>Futures!J35</f>
        <v>obj_005bb#0004</v>
      </c>
      <c r="F53" s="31" t="str">
        <f>_xll.qlRateHelperQuoteName(E53)</f>
        <v>EURFUT3MU1_Quote</v>
      </c>
      <c r="G53" s="43" t="e">
        <f>_xll.qlRateHelperQuoteValue($E53,Trigger)</f>
        <v>#NUM!</v>
      </c>
      <c r="H53" s="30" t="e">
        <f>_xll.qlFuturesRateHelperConvexityAdjustment($E53,Trigger)</f>
        <v>#NUM!</v>
      </c>
      <c r="I53" s="29" t="b">
        <v>1</v>
      </c>
      <c r="J53" s="29">
        <v>30</v>
      </c>
      <c r="K53" s="29">
        <v>21</v>
      </c>
      <c r="L53" s="28">
        <f>_xll.qlRateHelperEarliestDate($E53,Trigger)</f>
        <v>44454</v>
      </c>
      <c r="M53" s="27" t="e">
        <f ca="1">_xll.qlRateHelperLatestDate($E53,Trigger)</f>
        <v>#NAME?</v>
      </c>
      <c r="P53" s="166" t="b">
        <f t="shared" si="4"/>
        <v>0</v>
      </c>
      <c r="Q53" s="171" t="b">
        <f>AND(_xll.qlIMMIsIMMcode(D53),IF(ISERROR(G53),FALSE,TRUE))</f>
        <v>0</v>
      </c>
      <c r="R53" s="169" t="b">
        <f>AND(NOT(_xll.qlIMMIsIMMcode(D53)),P53)</f>
        <v>0</v>
      </c>
    </row>
    <row r="54" spans="1:18" x14ac:dyDescent="0.2">
      <c r="A54" s="32" t="b">
        <v>1</v>
      </c>
      <c r="B54" s="33"/>
      <c r="C54" s="32" t="str">
        <f t="shared" si="2"/>
        <v>FUT3M</v>
      </c>
      <c r="D54" s="31" t="str">
        <v>Z1</v>
      </c>
      <c r="E54" s="31" t="str">
        <f>Futures!J36</f>
        <v>obj_005a4#0004</v>
      </c>
      <c r="F54" s="31" t="str">
        <f>_xll.qlRateHelperQuoteName(E54)</f>
        <v>EURFUT3MZ1_Quote</v>
      </c>
      <c r="G54" s="43" t="e">
        <f>_xll.qlRateHelperQuoteValue($E54,Trigger)</f>
        <v>#NUM!</v>
      </c>
      <c r="H54" s="30" t="e">
        <f>_xll.qlFuturesRateHelperConvexityAdjustment($E54,Trigger)</f>
        <v>#NUM!</v>
      </c>
      <c r="I54" s="29" t="b">
        <v>1</v>
      </c>
      <c r="J54" s="29">
        <v>30</v>
      </c>
      <c r="K54" s="29">
        <v>21</v>
      </c>
      <c r="L54" s="28">
        <f>_xll.qlRateHelperEarliestDate($E54,Trigger)</f>
        <v>44545</v>
      </c>
      <c r="M54" s="27" t="e">
        <f ca="1">_xll.qlRateHelperLatestDate($E54,Trigger)</f>
        <v>#NAME?</v>
      </c>
      <c r="P54" s="166" t="b">
        <f t="shared" si="4"/>
        <v>0</v>
      </c>
      <c r="Q54" s="171" t="b">
        <f>AND(_xll.qlIMMIsIMMcode(D54),IF(ISERROR(G54),FALSE,TRUE))</f>
        <v>0</v>
      </c>
      <c r="R54" s="169" t="b">
        <f>AND(NOT(_xll.qlIMMIsIMMcode(D54)),P54)</f>
        <v>0</v>
      </c>
    </row>
    <row r="55" spans="1:18" x14ac:dyDescent="0.2">
      <c r="A55" s="32" t="b">
        <v>1</v>
      </c>
      <c r="B55" s="33"/>
      <c r="C55" s="32" t="str">
        <f t="shared" si="2"/>
        <v>FUT3M</v>
      </c>
      <c r="D55" s="31" t="str">
        <v>H2</v>
      </c>
      <c r="E55" s="31" t="str">
        <f>Futures!J37</f>
        <v>obj_00594#0004</v>
      </c>
      <c r="F55" s="31" t="str">
        <f>_xll.qlRateHelperQuoteName(E55)</f>
        <v>EURFUT3MH2_Quote</v>
      </c>
      <c r="G55" s="43" t="e">
        <f>_xll.qlRateHelperQuoteValue($E55,Trigger)</f>
        <v>#NUM!</v>
      </c>
      <c r="H55" s="30" t="e">
        <f>_xll.qlFuturesRateHelperConvexityAdjustment($E55,Trigger)</f>
        <v>#NUM!</v>
      </c>
      <c r="I55" s="29" t="b">
        <v>1</v>
      </c>
      <c r="J55" s="29">
        <v>30</v>
      </c>
      <c r="K55" s="29">
        <v>21</v>
      </c>
      <c r="L55" s="28">
        <f>_xll.qlRateHelperEarliestDate($E55,Trigger)</f>
        <v>44636</v>
      </c>
      <c r="M55" s="27" t="e">
        <f ca="1">_xll.qlRateHelperLatestDate($E55,Trigger)</f>
        <v>#NAME?</v>
      </c>
      <c r="P55" s="166" t="b">
        <f t="shared" si="4"/>
        <v>0</v>
      </c>
      <c r="Q55" s="171" t="b">
        <f>AND(_xll.qlIMMIsIMMcode(D55),IF(ISERROR(G55),FALSE,TRUE))</f>
        <v>0</v>
      </c>
      <c r="R55" s="169" t="b">
        <f>AND(NOT(_xll.qlIMMIsIMMcode(D55)),P55)</f>
        <v>0</v>
      </c>
    </row>
    <row r="56" spans="1:18" x14ac:dyDescent="0.2">
      <c r="A56" s="32" t="b">
        <v>1</v>
      </c>
      <c r="B56" s="33"/>
      <c r="C56" s="32" t="str">
        <f t="shared" si="2"/>
        <v>FUT3M</v>
      </c>
      <c r="D56" s="31" t="str">
        <v>M2</v>
      </c>
      <c r="E56" s="31" t="str">
        <f>Futures!J38</f>
        <v>obj_005a9#0004</v>
      </c>
      <c r="F56" s="31" t="str">
        <f>_xll.qlRateHelperQuoteName(E56)</f>
        <v>EURFUT3MM2_Quote</v>
      </c>
      <c r="G56" s="43" t="e">
        <f>_xll.qlRateHelperQuoteValue($E56,Trigger)</f>
        <v>#NUM!</v>
      </c>
      <c r="H56" s="30" t="e">
        <f>_xll.qlFuturesRateHelperConvexityAdjustment($E56,Trigger)</f>
        <v>#NUM!</v>
      </c>
      <c r="I56" s="29" t="b">
        <v>1</v>
      </c>
      <c r="J56" s="29">
        <v>30</v>
      </c>
      <c r="K56" s="29">
        <v>21</v>
      </c>
      <c r="L56" s="28">
        <f>_xll.qlRateHelperEarliestDate($E56,Trigger)</f>
        <v>44727</v>
      </c>
      <c r="M56" s="27" t="e">
        <f ca="1">_xll.qlRateHelperLatestDate($E56,Trigger)</f>
        <v>#NAME?</v>
      </c>
      <c r="P56" s="166" t="b">
        <f t="shared" si="4"/>
        <v>0</v>
      </c>
      <c r="Q56" s="171" t="b">
        <f>AND(_xll.qlIMMIsIMMcode(D56),IF(ISERROR(G56),FALSE,TRUE))</f>
        <v>0</v>
      </c>
      <c r="R56" s="169" t="b">
        <f>AND(NOT(_xll.qlIMMIsIMMcode(D56)),P56)</f>
        <v>0</v>
      </c>
    </row>
    <row r="57" spans="1:18" x14ac:dyDescent="0.2">
      <c r="A57" s="32" t="b">
        <v>1</v>
      </c>
      <c r="B57" s="33"/>
      <c r="C57" s="32" t="str">
        <f t="shared" si="2"/>
        <v>FUT3M</v>
      </c>
      <c r="D57" s="31" t="str">
        <v>U2</v>
      </c>
      <c r="E57" s="31" t="str">
        <f>Futures!J39</f>
        <v>obj_005ae#0004</v>
      </c>
      <c r="F57" s="31" t="str">
        <f>_xll.qlRateHelperQuoteName(E57)</f>
        <v>EURFUT3MU2_Quote</v>
      </c>
      <c r="G57" s="43" t="e">
        <f>_xll.qlRateHelperQuoteValue($E57,Trigger)</f>
        <v>#NUM!</v>
      </c>
      <c r="H57" s="30" t="e">
        <f>_xll.qlFuturesRateHelperConvexityAdjustment($E57,Trigger)</f>
        <v>#NUM!</v>
      </c>
      <c r="I57" s="29" t="b">
        <v>1</v>
      </c>
      <c r="J57" s="29">
        <v>30</v>
      </c>
      <c r="K57" s="29">
        <v>21</v>
      </c>
      <c r="L57" s="28">
        <f>_xll.qlRateHelperEarliestDate($E57,Trigger)</f>
        <v>44825</v>
      </c>
      <c r="M57" s="27" t="e">
        <f ca="1">_xll.qlRateHelperLatestDate($E57,Trigger)</f>
        <v>#NAME?</v>
      </c>
      <c r="P57" s="166" t="b">
        <f t="shared" si="4"/>
        <v>0</v>
      </c>
      <c r="Q57" s="171" t="b">
        <f>AND(_xll.qlIMMIsIMMcode(D57),IF(ISERROR(G57),FALSE,TRUE))</f>
        <v>0</v>
      </c>
      <c r="R57" s="169" t="b">
        <f>AND(NOT(_xll.qlIMMIsIMMcode(D57)),P57)</f>
        <v>0</v>
      </c>
    </row>
    <row r="58" spans="1:18" x14ac:dyDescent="0.2">
      <c r="A58" s="32" t="b">
        <v>1</v>
      </c>
      <c r="B58" s="33"/>
      <c r="C58" s="32" t="str">
        <f t="shared" si="2"/>
        <v>FUT3M</v>
      </c>
      <c r="D58" s="31" t="str">
        <v>Z2</v>
      </c>
      <c r="E58" s="31" t="str">
        <f>Futures!J40</f>
        <v>obj_005b3#0004</v>
      </c>
      <c r="F58" s="31" t="str">
        <f>_xll.qlRateHelperQuoteName(E58)</f>
        <v>EURFUT3MZ2_Quote</v>
      </c>
      <c r="G58" s="43" t="e">
        <f>_xll.qlRateHelperQuoteValue($E58,Trigger)</f>
        <v>#NUM!</v>
      </c>
      <c r="H58" s="30" t="e">
        <f>_xll.qlFuturesRateHelperConvexityAdjustment($E58,Trigger)</f>
        <v>#NUM!</v>
      </c>
      <c r="I58" s="29" t="b">
        <v>1</v>
      </c>
      <c r="J58" s="29">
        <v>30</v>
      </c>
      <c r="K58" s="29">
        <v>21</v>
      </c>
      <c r="L58" s="28">
        <f>_xll.qlRateHelperEarliestDate($E58,Trigger)</f>
        <v>44916</v>
      </c>
      <c r="M58" s="27" t="e">
        <f ca="1">_xll.qlRateHelperLatestDate($E58,Trigger)</f>
        <v>#NAME?</v>
      </c>
      <c r="P58" s="166" t="b">
        <f t="shared" si="4"/>
        <v>0</v>
      </c>
      <c r="Q58" s="171" t="b">
        <f>AND(_xll.qlIMMIsIMMcode(D58),IF(ISERROR(G58),FALSE,TRUE))</f>
        <v>0</v>
      </c>
      <c r="R58" s="169" t="b">
        <f>AND(NOT(_xll.qlIMMIsIMMcode(D58)),P58)</f>
        <v>0</v>
      </c>
    </row>
    <row r="59" spans="1:18" x14ac:dyDescent="0.2">
      <c r="A59" s="32" t="b">
        <v>1</v>
      </c>
      <c r="B59" s="33"/>
      <c r="C59" s="32" t="str">
        <f t="shared" si="2"/>
        <v>FUT3M</v>
      </c>
      <c r="D59" s="31" t="str">
        <v>H3</v>
      </c>
      <c r="E59" s="31" t="str">
        <f>Futures!J41</f>
        <v>obj_0059a#0004</v>
      </c>
      <c r="F59" s="31" t="str">
        <f>_xll.qlRateHelperQuoteName(E59)</f>
        <v>EURFUT3MH3_Quote</v>
      </c>
      <c r="G59" s="43" t="e">
        <f>_xll.qlRateHelperQuoteValue($E59,Trigger)</f>
        <v>#NUM!</v>
      </c>
      <c r="H59" s="30" t="e">
        <f>_xll.qlFuturesRateHelperConvexityAdjustment($E59,Trigger)</f>
        <v>#NUM!</v>
      </c>
      <c r="I59" s="29" t="b">
        <v>1</v>
      </c>
      <c r="J59" s="29">
        <v>30</v>
      </c>
      <c r="K59" s="29">
        <v>21</v>
      </c>
      <c r="L59" s="28">
        <f>_xll.qlRateHelperEarliestDate($E59,Trigger)</f>
        <v>45000</v>
      </c>
      <c r="M59" s="27" t="e">
        <f ca="1">_xll.qlRateHelperLatestDate($E59,Trigger)</f>
        <v>#NAME?</v>
      </c>
      <c r="P59" s="166" t="b">
        <f t="shared" si="4"/>
        <v>0</v>
      </c>
      <c r="Q59" s="171" t="b">
        <f>AND(_xll.qlIMMIsIMMcode(D59),IF(ISERROR(G59),FALSE,TRUE))</f>
        <v>0</v>
      </c>
      <c r="R59" s="169" t="b">
        <f>AND(NOT(_xll.qlIMMIsIMMcode(D59)),P59)</f>
        <v>0</v>
      </c>
    </row>
    <row r="60" spans="1:18" x14ac:dyDescent="0.2">
      <c r="A60" s="32" t="b">
        <v>1</v>
      </c>
      <c r="B60" s="33"/>
      <c r="C60" s="32" t="str">
        <f t="shared" si="2"/>
        <v>FUT3M</v>
      </c>
      <c r="D60" s="31" t="str">
        <v>M3</v>
      </c>
      <c r="E60" s="31" t="str">
        <f>Futures!J42</f>
        <v>obj_005b8#0004</v>
      </c>
      <c r="F60" s="31" t="str">
        <f>_xll.qlRateHelperQuoteName(E60)</f>
        <v>EURFUT3MM3_Quote</v>
      </c>
      <c r="G60" s="43" t="e">
        <f>_xll.qlRateHelperQuoteValue($E60,Trigger)</f>
        <v>#NUM!</v>
      </c>
      <c r="H60" s="30" t="e">
        <f>_xll.qlFuturesRateHelperConvexityAdjustment($E60,Trigger)</f>
        <v>#NUM!</v>
      </c>
      <c r="I60" s="29" t="b">
        <v>1</v>
      </c>
      <c r="J60" s="29">
        <v>30</v>
      </c>
      <c r="K60" s="29">
        <v>21</v>
      </c>
      <c r="L60" s="28">
        <f>_xll.qlRateHelperEarliestDate($E60,Trigger)</f>
        <v>45098</v>
      </c>
      <c r="M60" s="27" t="e">
        <f ca="1">_xll.qlRateHelperLatestDate($E60,Trigger)</f>
        <v>#NAME?</v>
      </c>
      <c r="P60" s="166" t="b">
        <f t="shared" si="4"/>
        <v>0</v>
      </c>
      <c r="Q60" s="171" t="b">
        <f>AND(_xll.qlIMMIsIMMcode(D60),IF(ISERROR(G60),FALSE,TRUE))</f>
        <v>0</v>
      </c>
      <c r="R60" s="169" t="b">
        <f>AND(NOT(_xll.qlIMMIsIMMcode(D60)),P60)</f>
        <v>0</v>
      </c>
    </row>
    <row r="61" spans="1:18" x14ac:dyDescent="0.2">
      <c r="A61" s="32" t="b">
        <v>1</v>
      </c>
      <c r="B61" s="33"/>
      <c r="C61" s="32" t="str">
        <f t="shared" si="2"/>
        <v>FUT3M</v>
      </c>
      <c r="D61" s="31" t="str">
        <v>U3</v>
      </c>
      <c r="E61" s="31" t="str">
        <f>Futures!J43</f>
        <v>obj_005b6#0004</v>
      </c>
      <c r="F61" s="31" t="str">
        <f>_xll.qlRateHelperQuoteName(E61)</f>
        <v>EURFUT3MU3_Quote</v>
      </c>
      <c r="G61" s="43" t="e">
        <f>_xll.qlRateHelperQuoteValue($E61,Trigger)</f>
        <v>#NUM!</v>
      </c>
      <c r="H61" s="30" t="e">
        <f>_xll.qlFuturesRateHelperConvexityAdjustment($E61,Trigger)</f>
        <v>#NUM!</v>
      </c>
      <c r="I61" s="29" t="b">
        <v>1</v>
      </c>
      <c r="J61" s="29">
        <v>30</v>
      </c>
      <c r="K61" s="29">
        <v>21</v>
      </c>
      <c r="L61" s="28">
        <f>_xll.qlRateHelperEarliestDate($E61,Trigger)</f>
        <v>45189</v>
      </c>
      <c r="M61" s="27" t="e">
        <f ca="1">_xll.qlRateHelperLatestDate($E61,Trigger)</f>
        <v>#NAME?</v>
      </c>
      <c r="P61" s="166" t="b">
        <f t="shared" si="4"/>
        <v>0</v>
      </c>
      <c r="Q61" s="171" t="b">
        <f>AND(_xll.qlIMMIsIMMcode(D61),IF(ISERROR(G61),FALSE,TRUE))</f>
        <v>0</v>
      </c>
      <c r="R61" s="169" t="b">
        <f>AND(NOT(_xll.qlIMMIsIMMcode(D61)),P61)</f>
        <v>0</v>
      </c>
    </row>
    <row r="62" spans="1:18" x14ac:dyDescent="0.2">
      <c r="A62" s="25" t="b">
        <v>1</v>
      </c>
      <c r="B62" s="26"/>
      <c r="C62" s="25" t="str">
        <f t="shared" si="2"/>
        <v>FUT3M</v>
      </c>
      <c r="D62" s="24" t="str">
        <v>Z3</v>
      </c>
      <c r="E62" s="24" t="str">
        <f>Futures!J44</f>
        <v>obj_005a5#0004</v>
      </c>
      <c r="F62" s="24" t="str">
        <f>_xll.qlRateHelperQuoteName(E62)</f>
        <v>EURFUT3MZ3_Quote</v>
      </c>
      <c r="G62" s="42" t="e">
        <f>_xll.qlRateHelperQuoteValue($E62,Trigger)</f>
        <v>#NUM!</v>
      </c>
      <c r="H62" s="23" t="e">
        <f>_xll.qlFuturesRateHelperConvexityAdjustment($E62,Trigger)</f>
        <v>#NUM!</v>
      </c>
      <c r="I62" s="22" t="b">
        <v>1</v>
      </c>
      <c r="J62" s="22">
        <v>30</v>
      </c>
      <c r="K62" s="29">
        <v>21</v>
      </c>
      <c r="L62" s="21">
        <f>_xll.qlRateHelperEarliestDate($E62,Trigger)</f>
        <v>45280</v>
      </c>
      <c r="M62" s="20" t="e">
        <f ca="1">_xll.qlRateHelperLatestDate($E62,Trigger)</f>
        <v>#NAME?</v>
      </c>
      <c r="P62" s="166" t="b">
        <f t="shared" si="4"/>
        <v>0</v>
      </c>
      <c r="Q62" s="171" t="b">
        <f>AND(_xll.qlIMMIsIMMcode(D62),IF(ISERROR(G62),FALSE,TRUE))</f>
        <v>0</v>
      </c>
      <c r="R62" s="170" t="b">
        <f>AND(NOT(_xll.qlIMMIsIMMcode(D62)),P62)</f>
        <v>0</v>
      </c>
    </row>
    <row r="63" spans="1:18" x14ac:dyDescent="0.2">
      <c r="B63" s="41" t="s">
        <v>48</v>
      </c>
      <c r="C63" s="40">
        <v>12</v>
      </c>
      <c r="D63" s="39"/>
      <c r="E63" s="39" t="str">
        <f t="shared" ref="E63:E69" si="5">RateHelperPrefix&amp;"_"&amp;$B63&amp;$C63&amp;$D63</f>
        <v>EUR_YC3MRH_1S12</v>
      </c>
      <c r="F63" s="39" t="e">
        <f>_xll.qlRateHelperQuoteName(E63)</f>
        <v>#NUM!</v>
      </c>
      <c r="G63" s="38" t="e">
        <f>_xll.qlRateHelperQuoteValue($E63,Trigger)</f>
        <v>#NUM!</v>
      </c>
      <c r="H63" s="38" t="e">
        <f>_xll.qlSwapRateHelperSpread($E63,Trigger)</f>
        <v>#NUM!</v>
      </c>
      <c r="I63" s="37" t="b">
        <v>0</v>
      </c>
      <c r="J63" s="37">
        <v>40</v>
      </c>
      <c r="K63" s="37">
        <v>1</v>
      </c>
      <c r="L63" s="36" t="e">
        <f>_xll.qlRateHelperEarliestDate($E63,Trigger)</f>
        <v>#NUM!</v>
      </c>
      <c r="M63" s="35" t="e">
        <f ca="1">_xll.qlRateHelperLatestDate($E63,Trigger)</f>
        <v>#NAME?</v>
      </c>
      <c r="P63" s="166"/>
    </row>
    <row r="64" spans="1:18" x14ac:dyDescent="0.2">
      <c r="B64" s="33" t="s">
        <v>49</v>
      </c>
      <c r="C64" s="32">
        <v>12</v>
      </c>
      <c r="D64" s="31"/>
      <c r="E64" s="31" t="str">
        <f t="shared" si="5"/>
        <v>EUR_YC3MRH_2S12</v>
      </c>
      <c r="F64" s="31" t="e">
        <f>_xll.qlRateHelperQuoteName(E64)</f>
        <v>#NUM!</v>
      </c>
      <c r="G64" s="30" t="e">
        <f>_xll.qlRateHelperQuoteValue($E64,Trigger)</f>
        <v>#NUM!</v>
      </c>
      <c r="H64" s="30" t="e">
        <f>_xll.qlSwapRateHelperSpread($E64,Trigger)</f>
        <v>#NUM!</v>
      </c>
      <c r="I64" s="29" t="b">
        <v>0</v>
      </c>
      <c r="J64" s="29">
        <v>40</v>
      </c>
      <c r="K64" s="29">
        <v>1</v>
      </c>
      <c r="L64" s="28" t="e">
        <f>_xll.qlRateHelperEarliestDate($E64,Trigger)</f>
        <v>#NUM!</v>
      </c>
      <c r="M64" s="27" t="e">
        <f ca="1">_xll.qlRateHelperLatestDate($E64,Trigger)</f>
        <v>#NAME?</v>
      </c>
      <c r="P64" s="166"/>
    </row>
    <row r="65" spans="2:18" x14ac:dyDescent="0.2">
      <c r="B65" s="33" t="s">
        <v>51</v>
      </c>
      <c r="C65" s="32">
        <v>12</v>
      </c>
      <c r="D65" s="31"/>
      <c r="E65" s="31" t="str">
        <f t="shared" si="5"/>
        <v>EUR_YC3MRH_3S12</v>
      </c>
      <c r="F65" s="31" t="e">
        <f>_xll.qlRateHelperQuoteName(E65)</f>
        <v>#NUM!</v>
      </c>
      <c r="G65" s="30" t="e">
        <f>_xll.qlRateHelperQuoteValue($E65,Trigger)</f>
        <v>#NUM!</v>
      </c>
      <c r="H65" s="30" t="e">
        <f>_xll.qlSwapRateHelperSpread($E65,Trigger)</f>
        <v>#NUM!</v>
      </c>
      <c r="I65" s="29" t="b">
        <v>0</v>
      </c>
      <c r="J65" s="29">
        <v>40</v>
      </c>
      <c r="K65" s="29">
        <v>1</v>
      </c>
      <c r="L65" s="28" t="e">
        <f>_xll.qlRateHelperEarliestDate($E65,Trigger)</f>
        <v>#NUM!</v>
      </c>
      <c r="M65" s="27" t="e">
        <f ca="1">_xll.qlRateHelperLatestDate($E65,Trigger)</f>
        <v>#NAME?</v>
      </c>
      <c r="P65" s="166"/>
    </row>
    <row r="66" spans="2:18" x14ac:dyDescent="0.2">
      <c r="B66" s="33" t="s">
        <v>50</v>
      </c>
      <c r="C66" s="32">
        <v>12</v>
      </c>
      <c r="D66" s="31"/>
      <c r="E66" s="31" t="str">
        <f t="shared" si="5"/>
        <v>EUR_YC3MRH_4S12</v>
      </c>
      <c r="F66" s="31" t="e">
        <f>_xll.qlRateHelperQuoteName(E66)</f>
        <v>#NUM!</v>
      </c>
      <c r="G66" s="30" t="e">
        <f>_xll.qlRateHelperQuoteValue($E66,Trigger)</f>
        <v>#NUM!</v>
      </c>
      <c r="H66" s="30" t="e">
        <f>_xll.qlSwapRateHelperSpread($E66,Trigger)</f>
        <v>#NUM!</v>
      </c>
      <c r="I66" s="29" t="b">
        <v>0</v>
      </c>
      <c r="J66" s="29">
        <v>40</v>
      </c>
      <c r="K66" s="29">
        <v>1</v>
      </c>
      <c r="L66" s="28" t="e">
        <f>_xll.qlRateHelperEarliestDate($E66,Trigger)</f>
        <v>#NUM!</v>
      </c>
      <c r="M66" s="27" t="e">
        <f ca="1">_xll.qlRateHelperLatestDate($E66,Trigger)</f>
        <v>#NAME?</v>
      </c>
      <c r="P66" s="166"/>
    </row>
    <row r="67" spans="2:18" x14ac:dyDescent="0.2">
      <c r="B67" s="33" t="s">
        <v>48</v>
      </c>
      <c r="C67" s="32">
        <v>24</v>
      </c>
      <c r="D67" s="31"/>
      <c r="E67" s="31" t="str">
        <f t="shared" si="5"/>
        <v>EUR_YC3MRH_1S24</v>
      </c>
      <c r="F67" s="31" t="e">
        <f>_xll.qlRateHelperQuoteName(E67)</f>
        <v>#NUM!</v>
      </c>
      <c r="G67" s="30" t="e">
        <f>_xll.qlRateHelperQuoteValue($E67,Trigger)</f>
        <v>#NUM!</v>
      </c>
      <c r="H67" s="30" t="e">
        <f>_xll.qlSwapRateHelperSpread($E67,Trigger)</f>
        <v>#NUM!</v>
      </c>
      <c r="I67" s="29" t="b">
        <v>0</v>
      </c>
      <c r="J67" s="29">
        <v>40</v>
      </c>
      <c r="K67" s="29">
        <v>1</v>
      </c>
      <c r="L67" s="28" t="e">
        <f>_xll.qlRateHelperEarliestDate($E67,Trigger)</f>
        <v>#NUM!</v>
      </c>
      <c r="M67" s="27" t="e">
        <f ca="1">_xll.qlRateHelperLatestDate($E67,Trigger)</f>
        <v>#NAME?</v>
      </c>
      <c r="P67" s="166"/>
    </row>
    <row r="68" spans="2:18" x14ac:dyDescent="0.2">
      <c r="B68" s="33" t="s">
        <v>49</v>
      </c>
      <c r="C68" s="32">
        <v>24</v>
      </c>
      <c r="D68" s="31"/>
      <c r="E68" s="31" t="str">
        <f t="shared" si="5"/>
        <v>EUR_YC3MRH_2S24</v>
      </c>
      <c r="F68" s="31" t="e">
        <f>_xll.qlRateHelperQuoteName(E68)</f>
        <v>#NUM!</v>
      </c>
      <c r="G68" s="30" t="e">
        <f>_xll.qlRateHelperQuoteValue($E68,Trigger)</f>
        <v>#NUM!</v>
      </c>
      <c r="H68" s="30" t="e">
        <f>_xll.qlSwapRateHelperSpread($E68,Trigger)</f>
        <v>#NUM!</v>
      </c>
      <c r="I68" s="29" t="b">
        <v>0</v>
      </c>
      <c r="J68" s="29">
        <v>40</v>
      </c>
      <c r="K68" s="29">
        <v>1</v>
      </c>
      <c r="L68" s="28" t="e">
        <f>_xll.qlRateHelperEarliestDate($E68,Trigger)</f>
        <v>#NUM!</v>
      </c>
      <c r="M68" s="27" t="e">
        <f ca="1">_xll.qlRateHelperLatestDate($E68,Trigger)</f>
        <v>#NAME?</v>
      </c>
      <c r="P68" s="166"/>
    </row>
    <row r="69" spans="2:18" x14ac:dyDescent="0.2">
      <c r="B69" s="26" t="s">
        <v>48</v>
      </c>
      <c r="C69" s="25">
        <v>36</v>
      </c>
      <c r="D69" s="24"/>
      <c r="E69" s="24" t="str">
        <f t="shared" si="5"/>
        <v>EUR_YC3MRH_1S36</v>
      </c>
      <c r="F69" s="24" t="e">
        <f>_xll.qlRateHelperQuoteName(E69)</f>
        <v>#NUM!</v>
      </c>
      <c r="G69" s="23" t="e">
        <f>_xll.qlRateHelperQuoteValue($E69,Trigger)</f>
        <v>#NUM!</v>
      </c>
      <c r="H69" s="23" t="e">
        <f>_xll.qlSwapRateHelperSpread($E69,Trigger)</f>
        <v>#NUM!</v>
      </c>
      <c r="I69" s="22" t="b">
        <v>0</v>
      </c>
      <c r="J69" s="22">
        <v>40</v>
      </c>
      <c r="K69" s="22">
        <v>1</v>
      </c>
      <c r="L69" s="21" t="e">
        <f>_xll.qlRateHelperEarliestDate($E69,Trigger)</f>
        <v>#NUM!</v>
      </c>
      <c r="M69" s="20" t="e">
        <f ca="1">_xll.qlRateHelperLatestDate($E69,Trigger)</f>
        <v>#NAME?</v>
      </c>
      <c r="P69" s="166"/>
    </row>
    <row r="70" spans="2:18" x14ac:dyDescent="0.2">
      <c r="B70" s="33" t="str">
        <f t="shared" ref="B70:B101" si="6">SwapFixedFreq</f>
        <v>AB</v>
      </c>
      <c r="C70" s="32" t="str">
        <f t="shared" ref="C70:C106" si="7">IborType</f>
        <v>3E</v>
      </c>
      <c r="D70" s="31" t="s">
        <v>47</v>
      </c>
      <c r="E70" s="31" t="str">
        <f>Swaps!L6</f>
        <v>obj_006bc#0004</v>
      </c>
      <c r="F70" s="31" t="str">
        <f>_xll.qlRateHelperQuoteName(E70)</f>
        <v>EURAB3E1Y_Quote</v>
      </c>
      <c r="G70" s="30">
        <f>_xll.qlRateHelperQuoteValue($E70,Trigger)</f>
        <v>-3.6999999999999999E-4</v>
      </c>
      <c r="H70" s="30">
        <f>_xll.qlSwapRateHelperSpread($E70,Trigger)</f>
        <v>0</v>
      </c>
      <c r="I70" s="29" t="b">
        <v>0</v>
      </c>
      <c r="J70" s="29">
        <v>50</v>
      </c>
      <c r="K70" s="29">
        <v>1</v>
      </c>
      <c r="L70" s="28">
        <f>_xll.qlRateHelperEarliestDate($E70,Trigger)</f>
        <v>42258</v>
      </c>
      <c r="M70" s="27" t="e">
        <f ca="1">_xll.qlRateHelperLatestDate($E70,Trigger)</f>
        <v>#NAME?</v>
      </c>
      <c r="P70" s="166"/>
      <c r="Q70" s="34"/>
      <c r="R70" s="34"/>
    </row>
    <row r="71" spans="2:18" x14ac:dyDescent="0.2">
      <c r="B71" s="33" t="str">
        <f t="shared" si="6"/>
        <v>AB</v>
      </c>
      <c r="C71" s="32" t="str">
        <f t="shared" si="7"/>
        <v>3E</v>
      </c>
      <c r="D71" s="31" t="s">
        <v>46</v>
      </c>
      <c r="E71" s="31" t="str">
        <f>Swaps!L7</f>
        <v>obj_006d0#0004</v>
      </c>
      <c r="F71" s="31" t="str">
        <f>_xll.qlRateHelperQuoteName(E71)</f>
        <v>EURAB3E15M_Quote</v>
      </c>
      <c r="G71" s="30">
        <f>_xll.qlRateHelperQuoteValue($E71,Trigger)</f>
        <v>-3.4000000000000002E-4</v>
      </c>
      <c r="H71" s="30">
        <f>_xll.qlSwapRateHelperSpread($E71,Trigger)</f>
        <v>0</v>
      </c>
      <c r="I71" s="29" t="b">
        <v>0</v>
      </c>
      <c r="J71" s="29">
        <v>50</v>
      </c>
      <c r="K71" s="29">
        <v>1</v>
      </c>
      <c r="L71" s="28">
        <f>_xll.qlRateHelperEarliestDate($E71,Trigger)</f>
        <v>42258</v>
      </c>
      <c r="M71" s="27" t="e">
        <f ca="1">_xll.qlRateHelperLatestDate($E71,Trigger)</f>
        <v>#NAME?</v>
      </c>
      <c r="P71" s="166"/>
      <c r="Q71" s="34"/>
      <c r="R71" s="34"/>
    </row>
    <row r="72" spans="2:18" x14ac:dyDescent="0.2">
      <c r="B72" s="33" t="str">
        <f t="shared" si="6"/>
        <v>AB</v>
      </c>
      <c r="C72" s="32" t="str">
        <f t="shared" si="7"/>
        <v>3E</v>
      </c>
      <c r="D72" s="31" t="s">
        <v>45</v>
      </c>
      <c r="E72" s="31" t="str">
        <f>Swaps!L8</f>
        <v>obj_006cb#0004</v>
      </c>
      <c r="F72" s="31" t="str">
        <f>_xll.qlRateHelperQuoteName(E72)</f>
        <v>EURAB3E18M_Quote</v>
      </c>
      <c r="G72" s="30">
        <f>_xll.qlRateHelperQuoteValue($E72,Trigger)</f>
        <v>-2.7000000000000006E-4</v>
      </c>
      <c r="H72" s="30">
        <f>_xll.qlSwapRateHelperSpread($E72,Trigger)</f>
        <v>0</v>
      </c>
      <c r="I72" s="29" t="b">
        <v>0</v>
      </c>
      <c r="J72" s="29">
        <v>50</v>
      </c>
      <c r="K72" s="29">
        <v>1</v>
      </c>
      <c r="L72" s="28">
        <f>_xll.qlRateHelperEarliestDate($E72,Trigger)</f>
        <v>42258</v>
      </c>
      <c r="M72" s="27" t="e">
        <f ca="1">_xll.qlRateHelperLatestDate($E72,Trigger)</f>
        <v>#NAME?</v>
      </c>
      <c r="P72" s="166"/>
      <c r="Q72" s="34"/>
      <c r="R72" s="34"/>
    </row>
    <row r="73" spans="2:18" x14ac:dyDescent="0.2">
      <c r="B73" s="33" t="str">
        <f t="shared" si="6"/>
        <v>AB</v>
      </c>
      <c r="C73" s="32" t="str">
        <f t="shared" si="7"/>
        <v>3E</v>
      </c>
      <c r="D73" s="31" t="s">
        <v>44</v>
      </c>
      <c r="E73" s="31" t="str">
        <f>Swaps!L9</f>
        <v>obj_006c6#0004</v>
      </c>
      <c r="F73" s="31" t="str">
        <f>_xll.qlRateHelperQuoteName(E73)</f>
        <v>EURAB3E21M_Quote</v>
      </c>
      <c r="G73" s="30">
        <f>_xll.qlRateHelperQuoteValue($E73,Trigger)</f>
        <v>-2.0000000000000001E-4</v>
      </c>
      <c r="H73" s="30">
        <f>_xll.qlSwapRateHelperSpread($E73,Trigger)</f>
        <v>0</v>
      </c>
      <c r="I73" s="29" t="b">
        <v>0</v>
      </c>
      <c r="J73" s="29">
        <v>50</v>
      </c>
      <c r="K73" s="29">
        <v>1</v>
      </c>
      <c r="L73" s="28">
        <f>_xll.qlRateHelperEarliestDate($E73,Trigger)</f>
        <v>42258</v>
      </c>
      <c r="M73" s="27" t="e">
        <f ca="1">_xll.qlRateHelperLatestDate($E73,Trigger)</f>
        <v>#NAME?</v>
      </c>
      <c r="P73" s="166"/>
      <c r="Q73" s="34"/>
      <c r="R73" s="34"/>
    </row>
    <row r="74" spans="2:18" x14ac:dyDescent="0.2">
      <c r="B74" s="33" t="str">
        <f t="shared" si="6"/>
        <v>AB</v>
      </c>
      <c r="C74" s="32" t="str">
        <f t="shared" si="7"/>
        <v>3E</v>
      </c>
      <c r="D74" s="31" t="s">
        <v>43</v>
      </c>
      <c r="E74" s="31" t="str">
        <f>Swaps!L10</f>
        <v>obj_006c1#0004</v>
      </c>
      <c r="F74" s="31" t="str">
        <f>_xll.qlRateHelperQuoteName(E74)</f>
        <v>EURAB3E2Y_Quote</v>
      </c>
      <c r="G74" s="30">
        <f>_xll.qlRateHelperQuoteValue($E74,Trigger)</f>
        <v>-7.9999999999999979E-5</v>
      </c>
      <c r="H74" s="30">
        <f>_xll.qlSwapRateHelperSpread($E74,Trigger)</f>
        <v>0</v>
      </c>
      <c r="I74" s="29" t="b">
        <v>0</v>
      </c>
      <c r="J74" s="29">
        <v>50</v>
      </c>
      <c r="K74" s="29">
        <v>1</v>
      </c>
      <c r="L74" s="28">
        <f>_xll.qlRateHelperEarliestDate($E74,Trigger)</f>
        <v>42258</v>
      </c>
      <c r="M74" s="27" t="e">
        <f ca="1">_xll.qlRateHelperLatestDate($E74,Trigger)</f>
        <v>#NAME?</v>
      </c>
      <c r="P74" s="166"/>
      <c r="Q74" s="34"/>
      <c r="R74" s="34"/>
    </row>
    <row r="75" spans="2:18" x14ac:dyDescent="0.2">
      <c r="B75" s="33" t="str">
        <f t="shared" si="6"/>
        <v>AB</v>
      </c>
      <c r="C75" s="32" t="str">
        <f t="shared" si="7"/>
        <v>3E</v>
      </c>
      <c r="D75" s="31" t="s">
        <v>42</v>
      </c>
      <c r="E75" s="31" t="str">
        <f>Swaps!L11</f>
        <v>obj_006df#0004</v>
      </c>
      <c r="F75" s="31" t="str">
        <f>_xll.qlRateHelperQuoteName(E75)</f>
        <v>EURAB3E3Y_Quote</v>
      </c>
      <c r="G75" s="30">
        <f>_xll.qlRateHelperQuoteValue($E75,Trigger)</f>
        <v>5.9999999999999995E-4</v>
      </c>
      <c r="H75" s="30">
        <f>_xll.qlSwapRateHelperSpread($E75,Trigger)</f>
        <v>0</v>
      </c>
      <c r="I75" s="29" t="b">
        <v>1</v>
      </c>
      <c r="J75" s="29">
        <v>50</v>
      </c>
      <c r="K75" s="29">
        <v>1</v>
      </c>
      <c r="L75" s="28">
        <f>_xll.qlRateHelperEarliestDate($E75,Trigger)</f>
        <v>42258</v>
      </c>
      <c r="M75" s="27" t="e">
        <f ca="1">_xll.qlRateHelperLatestDate($E75,Trigger)</f>
        <v>#NAME?</v>
      </c>
      <c r="P75" s="166"/>
      <c r="Q75" s="34"/>
      <c r="R75" s="34"/>
    </row>
    <row r="76" spans="2:18" x14ac:dyDescent="0.2">
      <c r="B76" s="33" t="str">
        <f t="shared" si="6"/>
        <v>AB</v>
      </c>
      <c r="C76" s="32" t="str">
        <f t="shared" si="7"/>
        <v>3E</v>
      </c>
      <c r="D76" s="31" t="s">
        <v>41</v>
      </c>
      <c r="E76" s="31" t="str">
        <f>Swaps!L12</f>
        <v>obj_006db#0004</v>
      </c>
      <c r="F76" s="31" t="str">
        <f>_xll.qlRateHelperQuoteName(E76)</f>
        <v>EURAB3E4Y_Quote</v>
      </c>
      <c r="G76" s="30">
        <f>_xll.qlRateHelperQuoteValue($E76,Trigger)</f>
        <v>1.6200000000000001E-3</v>
      </c>
      <c r="H76" s="30">
        <f>_xll.qlSwapRateHelperSpread($E76,Trigger)</f>
        <v>0</v>
      </c>
      <c r="I76" s="29" t="b">
        <v>1</v>
      </c>
      <c r="J76" s="29">
        <v>50</v>
      </c>
      <c r="K76" s="29">
        <v>1</v>
      </c>
      <c r="L76" s="28">
        <f>_xll.qlRateHelperEarliestDate($E76,Trigger)</f>
        <v>42258</v>
      </c>
      <c r="M76" s="27" t="e">
        <f ca="1">_xll.qlRateHelperLatestDate($E76,Trigger)</f>
        <v>#NAME?</v>
      </c>
      <c r="P76" s="166"/>
      <c r="Q76" s="34"/>
      <c r="R76" s="34"/>
    </row>
    <row r="77" spans="2:18" x14ac:dyDescent="0.2">
      <c r="B77" s="33" t="str">
        <f t="shared" si="6"/>
        <v>AB</v>
      </c>
      <c r="C77" s="32" t="str">
        <f t="shared" si="7"/>
        <v>3E</v>
      </c>
      <c r="D77" s="31" t="s">
        <v>40</v>
      </c>
      <c r="E77" s="31" t="str">
        <f>Swaps!L13</f>
        <v>obj_006d8#0004</v>
      </c>
      <c r="F77" s="31" t="str">
        <f>_xll.qlRateHelperQuoteName(E77)</f>
        <v>EURAB3E5Y_Quote</v>
      </c>
      <c r="G77" s="30">
        <f>_xll.qlRateHelperQuoteValue($E77,Trigger)</f>
        <v>2.8300000000000005E-3</v>
      </c>
      <c r="H77" s="30">
        <f>_xll.qlSwapRateHelperSpread($E77,Trigger)</f>
        <v>0</v>
      </c>
      <c r="I77" s="29" t="b">
        <v>1</v>
      </c>
      <c r="J77" s="29">
        <v>50</v>
      </c>
      <c r="K77" s="29">
        <v>1</v>
      </c>
      <c r="L77" s="28">
        <f>_xll.qlRateHelperEarliestDate($E77,Trigger)</f>
        <v>42258</v>
      </c>
      <c r="M77" s="27" t="e">
        <f ca="1">_xll.qlRateHelperLatestDate($E77,Trigger)</f>
        <v>#NAME?</v>
      </c>
      <c r="P77" s="166"/>
      <c r="Q77" s="34"/>
      <c r="R77" s="34"/>
    </row>
    <row r="78" spans="2:18" x14ac:dyDescent="0.2">
      <c r="B78" s="33" t="str">
        <f t="shared" si="6"/>
        <v>AB</v>
      </c>
      <c r="C78" s="32" t="str">
        <f t="shared" si="7"/>
        <v>3E</v>
      </c>
      <c r="D78" s="31" t="s">
        <v>39</v>
      </c>
      <c r="E78" s="31" t="str">
        <f>Swaps!L14</f>
        <v>obj_006d4#0004</v>
      </c>
      <c r="F78" s="31" t="str">
        <f>_xll.qlRateHelperQuoteName(E78)</f>
        <v>EURAB3E6Y_Quote</v>
      </c>
      <c r="G78" s="30">
        <f>_xll.qlRateHelperQuoteValue($E78,Trigger)</f>
        <v>4.2300000000000003E-3</v>
      </c>
      <c r="H78" s="30">
        <f>_xll.qlSwapRateHelperSpread($E78,Trigger)</f>
        <v>0</v>
      </c>
      <c r="I78" s="29" t="b">
        <v>1</v>
      </c>
      <c r="J78" s="29">
        <v>50</v>
      </c>
      <c r="K78" s="29">
        <v>1</v>
      </c>
      <c r="L78" s="28">
        <f>_xll.qlRateHelperEarliestDate($E78,Trigger)</f>
        <v>42258</v>
      </c>
      <c r="M78" s="27" t="e">
        <f ca="1">_xll.qlRateHelperLatestDate($E78,Trigger)</f>
        <v>#NAME?</v>
      </c>
      <c r="P78" s="166"/>
      <c r="Q78" s="34"/>
      <c r="R78" s="34"/>
    </row>
    <row r="79" spans="2:18" x14ac:dyDescent="0.2">
      <c r="B79" s="33" t="str">
        <f t="shared" si="6"/>
        <v>AB</v>
      </c>
      <c r="C79" s="32" t="str">
        <f t="shared" si="7"/>
        <v>3E</v>
      </c>
      <c r="D79" s="31" t="s">
        <v>38</v>
      </c>
      <c r="E79" s="31" t="str">
        <f>Swaps!L15</f>
        <v>obj_006cf#0004</v>
      </c>
      <c r="F79" s="31" t="str">
        <f>_xll.qlRateHelperQuoteName(E79)</f>
        <v>EURAB3E7Y_Quote</v>
      </c>
      <c r="G79" s="30">
        <f>_xll.qlRateHelperQuoteValue($E79,Trigger)</f>
        <v>5.6399999999999992E-3</v>
      </c>
      <c r="H79" s="30">
        <f>_xll.qlSwapRateHelperSpread($E79,Trigger)</f>
        <v>0</v>
      </c>
      <c r="I79" s="29" t="b">
        <v>1</v>
      </c>
      <c r="J79" s="29">
        <v>50</v>
      </c>
      <c r="K79" s="29">
        <v>1</v>
      </c>
      <c r="L79" s="28">
        <f>_xll.qlRateHelperEarliestDate($E79,Trigger)</f>
        <v>42258</v>
      </c>
      <c r="M79" s="27" t="e">
        <f ca="1">_xll.qlRateHelperLatestDate($E79,Trigger)</f>
        <v>#NAME?</v>
      </c>
      <c r="P79" s="166"/>
      <c r="Q79" s="34"/>
      <c r="R79" s="34"/>
    </row>
    <row r="80" spans="2:18" x14ac:dyDescent="0.2">
      <c r="B80" s="33" t="str">
        <f t="shared" si="6"/>
        <v>AB</v>
      </c>
      <c r="C80" s="32" t="str">
        <f t="shared" si="7"/>
        <v>3E</v>
      </c>
      <c r="D80" s="31" t="s">
        <v>37</v>
      </c>
      <c r="E80" s="31" t="str">
        <f>Swaps!L16</f>
        <v>obj_006ca#0004</v>
      </c>
      <c r="F80" s="31" t="str">
        <f>_xll.qlRateHelperQuoteName(E80)</f>
        <v>EURAB3E8Y_Quote</v>
      </c>
      <c r="G80" s="30">
        <f>_xll.qlRateHelperQuoteValue($E80,Trigger)</f>
        <v>7.0199999999999993E-3</v>
      </c>
      <c r="H80" s="30">
        <f>_xll.qlSwapRateHelperSpread($E80,Trigger)</f>
        <v>0</v>
      </c>
      <c r="I80" s="29" t="b">
        <v>1</v>
      </c>
      <c r="J80" s="29">
        <v>50</v>
      </c>
      <c r="K80" s="29">
        <v>1</v>
      </c>
      <c r="L80" s="28">
        <f>_xll.qlRateHelperEarliestDate($E80,Trigger)</f>
        <v>42258</v>
      </c>
      <c r="M80" s="27" t="e">
        <f ca="1">_xll.qlRateHelperLatestDate($E80,Trigger)</f>
        <v>#NAME?</v>
      </c>
      <c r="P80" s="166"/>
      <c r="Q80" s="34"/>
      <c r="R80" s="34"/>
    </row>
    <row r="81" spans="2:18" x14ac:dyDescent="0.2">
      <c r="B81" s="33" t="str">
        <f t="shared" si="6"/>
        <v>AB</v>
      </c>
      <c r="C81" s="32" t="str">
        <f t="shared" si="7"/>
        <v>3E</v>
      </c>
      <c r="D81" s="31" t="s">
        <v>36</v>
      </c>
      <c r="E81" s="31" t="str">
        <f>Swaps!L17</f>
        <v>obj_006c5#0004</v>
      </c>
      <c r="F81" s="31" t="str">
        <f>_xll.qlRateHelperQuoteName(E81)</f>
        <v>EURAB3E9Y_Quote</v>
      </c>
      <c r="G81" s="30">
        <f>_xll.qlRateHelperQuoteValue($E81,Trigger)</f>
        <v>8.3100000000000014E-3</v>
      </c>
      <c r="H81" s="30">
        <f>_xll.qlSwapRateHelperSpread($E81,Trigger)</f>
        <v>0</v>
      </c>
      <c r="I81" s="29" t="b">
        <v>1</v>
      </c>
      <c r="J81" s="29">
        <v>50</v>
      </c>
      <c r="K81" s="29">
        <v>1</v>
      </c>
      <c r="L81" s="28">
        <f>_xll.qlRateHelperEarliestDate($E81,Trigger)</f>
        <v>42258</v>
      </c>
      <c r="M81" s="27" t="e">
        <f ca="1">_xll.qlRateHelperLatestDate($E81,Trigger)</f>
        <v>#NAME?</v>
      </c>
      <c r="P81" s="166"/>
      <c r="Q81" s="34"/>
      <c r="R81" s="34"/>
    </row>
    <row r="82" spans="2:18" x14ac:dyDescent="0.2">
      <c r="B82" s="33" t="str">
        <f t="shared" si="6"/>
        <v>AB</v>
      </c>
      <c r="C82" s="32" t="str">
        <f t="shared" si="7"/>
        <v>3E</v>
      </c>
      <c r="D82" s="31" t="s">
        <v>35</v>
      </c>
      <c r="E82" s="31" t="str">
        <f>Swaps!L18</f>
        <v>obj_006c0#0004</v>
      </c>
      <c r="F82" s="31" t="str">
        <f>_xll.qlRateHelperQuoteName(E82)</f>
        <v>EURAB3E10Y_Quote</v>
      </c>
      <c r="G82" s="30">
        <f>_xll.qlRateHelperQuoteValue($E82,Trigger)</f>
        <v>9.4399999999999987E-3</v>
      </c>
      <c r="H82" s="30">
        <f>_xll.qlSwapRateHelperSpread($E82,Trigger)</f>
        <v>0</v>
      </c>
      <c r="I82" s="29" t="b">
        <v>1</v>
      </c>
      <c r="J82" s="29">
        <v>50</v>
      </c>
      <c r="K82" s="29">
        <v>1</v>
      </c>
      <c r="L82" s="28">
        <f>_xll.qlRateHelperEarliestDate($E82,Trigger)</f>
        <v>42258</v>
      </c>
      <c r="M82" s="27" t="e">
        <f ca="1">_xll.qlRateHelperLatestDate($E82,Trigger)</f>
        <v>#NAME?</v>
      </c>
      <c r="P82" s="166"/>
      <c r="Q82" s="34"/>
      <c r="R82" s="34"/>
    </row>
    <row r="83" spans="2:18" x14ac:dyDescent="0.2">
      <c r="B83" s="33" t="str">
        <f t="shared" si="6"/>
        <v>AB</v>
      </c>
      <c r="C83" s="32" t="str">
        <f t="shared" si="7"/>
        <v>3E</v>
      </c>
      <c r="D83" s="31" t="s">
        <v>34</v>
      </c>
      <c r="E83" s="31" t="str">
        <f>Swaps!L19</f>
        <v>obj_006de#0004</v>
      </c>
      <c r="F83" s="31" t="str">
        <f>_xll.qlRateHelperQuoteName(E83)</f>
        <v>EURAB3E11Y_Quote</v>
      </c>
      <c r="G83" s="30">
        <f>_xll.qlRateHelperQuoteValue($E83,Trigger)</f>
        <v>1.0459999999999999E-2</v>
      </c>
      <c r="H83" s="30">
        <f>_xll.qlSwapRateHelperSpread($E83,Trigger)</f>
        <v>0</v>
      </c>
      <c r="I83" s="29" t="b">
        <v>0</v>
      </c>
      <c r="J83" s="29">
        <v>50</v>
      </c>
      <c r="K83" s="29">
        <v>1</v>
      </c>
      <c r="L83" s="28">
        <f>_xll.qlRateHelperEarliestDate($E83,Trigger)</f>
        <v>42258</v>
      </c>
      <c r="M83" s="27" t="e">
        <f ca="1">_xll.qlRateHelperLatestDate($E83,Trigger)</f>
        <v>#NAME?</v>
      </c>
      <c r="P83" s="166"/>
      <c r="Q83" s="34"/>
      <c r="R83" s="34"/>
    </row>
    <row r="84" spans="2:18" x14ac:dyDescent="0.2">
      <c r="B84" s="33" t="str">
        <f t="shared" si="6"/>
        <v>AB</v>
      </c>
      <c r="C84" s="32" t="str">
        <f t="shared" si="7"/>
        <v>3E</v>
      </c>
      <c r="D84" s="31" t="s">
        <v>33</v>
      </c>
      <c r="E84" s="31" t="str">
        <f>Swaps!L20</f>
        <v>obj_006e0#0004</v>
      </c>
      <c r="F84" s="31" t="str">
        <f>_xll.qlRateHelperQuoteName(E84)</f>
        <v>EURAB3E12Y_Quote</v>
      </c>
      <c r="G84" s="30">
        <f>_xll.qlRateHelperQuoteValue($E84,Trigger)</f>
        <v>1.1350000000000001E-2</v>
      </c>
      <c r="H84" s="30">
        <f>_xll.qlSwapRateHelperSpread($E84,Trigger)</f>
        <v>0</v>
      </c>
      <c r="I84" s="29" t="b">
        <v>1</v>
      </c>
      <c r="J84" s="29">
        <v>50</v>
      </c>
      <c r="K84" s="29">
        <v>1</v>
      </c>
      <c r="L84" s="28">
        <f>_xll.qlRateHelperEarliestDate($E84,Trigger)</f>
        <v>42258</v>
      </c>
      <c r="M84" s="27" t="e">
        <f ca="1">_xll.qlRateHelperLatestDate($E84,Trigger)</f>
        <v>#NAME?</v>
      </c>
      <c r="P84" s="166"/>
      <c r="Q84" s="34"/>
      <c r="R84" s="34"/>
    </row>
    <row r="85" spans="2:18" x14ac:dyDescent="0.2">
      <c r="B85" s="33" t="str">
        <f t="shared" si="6"/>
        <v>AB</v>
      </c>
      <c r="C85" s="32" t="str">
        <f t="shared" si="7"/>
        <v>3E</v>
      </c>
      <c r="D85" s="31" t="s">
        <v>32</v>
      </c>
      <c r="E85" s="31" t="str">
        <f>Swaps!L21</f>
        <v>obj_006d7#0004</v>
      </c>
      <c r="F85" s="31" t="str">
        <f>_xll.qlRateHelperQuoteName(E85)</f>
        <v>EURAB3E13Y_Quote</v>
      </c>
      <c r="G85" s="30" t="e">
        <f>_xll.qlRateHelperQuoteValue($E85,Trigger)</f>
        <v>#NUM!</v>
      </c>
      <c r="H85" s="30">
        <f>_xll.qlSwapRateHelperSpread($E85,Trigger)</f>
        <v>0</v>
      </c>
      <c r="I85" s="29" t="b">
        <v>0</v>
      </c>
      <c r="J85" s="29">
        <v>50</v>
      </c>
      <c r="K85" s="29">
        <v>1</v>
      </c>
      <c r="L85" s="28">
        <f>_xll.qlRateHelperEarliestDate($E85,Trigger)</f>
        <v>42258</v>
      </c>
      <c r="M85" s="27" t="e">
        <f ca="1">_xll.qlRateHelperLatestDate($E85,Trigger)</f>
        <v>#NAME?</v>
      </c>
      <c r="P85" s="166"/>
      <c r="Q85" s="34"/>
      <c r="R85" s="34"/>
    </row>
    <row r="86" spans="2:18" x14ac:dyDescent="0.2">
      <c r="B86" s="33" t="str">
        <f t="shared" si="6"/>
        <v>AB</v>
      </c>
      <c r="C86" s="32" t="str">
        <f t="shared" si="7"/>
        <v>3E</v>
      </c>
      <c r="D86" s="31" t="s">
        <v>31</v>
      </c>
      <c r="E86" s="31" t="str">
        <f>Swaps!L22</f>
        <v>obj_006d3#0004</v>
      </c>
      <c r="F86" s="31" t="str">
        <f>_xll.qlRateHelperQuoteName(E86)</f>
        <v>EURAB3E14Y_Quote</v>
      </c>
      <c r="G86" s="30" t="e">
        <f>_xll.qlRateHelperQuoteValue($E86,Trigger)</f>
        <v>#NUM!</v>
      </c>
      <c r="H86" s="30">
        <f>_xll.qlSwapRateHelperSpread($E86,Trigger)</f>
        <v>0</v>
      </c>
      <c r="I86" s="29" t="b">
        <v>0</v>
      </c>
      <c r="J86" s="29">
        <v>50</v>
      </c>
      <c r="K86" s="29">
        <v>1</v>
      </c>
      <c r="L86" s="28">
        <f>_xll.qlRateHelperEarliestDate($E86,Trigger)</f>
        <v>42258</v>
      </c>
      <c r="M86" s="27" t="e">
        <f ca="1">_xll.qlRateHelperLatestDate($E86,Trigger)</f>
        <v>#NAME?</v>
      </c>
      <c r="P86" s="166"/>
      <c r="Q86" s="34"/>
      <c r="R86" s="34"/>
    </row>
    <row r="87" spans="2:18" x14ac:dyDescent="0.2">
      <c r="B87" s="33" t="str">
        <f t="shared" si="6"/>
        <v>AB</v>
      </c>
      <c r="C87" s="32" t="str">
        <f t="shared" si="7"/>
        <v>3E</v>
      </c>
      <c r="D87" s="31" t="s">
        <v>30</v>
      </c>
      <c r="E87" s="31" t="str">
        <f>Swaps!L23</f>
        <v>obj_006ce#0004</v>
      </c>
      <c r="F87" s="31" t="str">
        <f>_xll.qlRateHelperQuoteName(E87)</f>
        <v>EURAB3E15Y_Quote</v>
      </c>
      <c r="G87" s="30">
        <f>_xll.qlRateHelperQuoteValue($E87,Trigger)</f>
        <v>1.3309999999999999E-2</v>
      </c>
      <c r="H87" s="30">
        <f>_xll.qlSwapRateHelperSpread($E87,Trigger)</f>
        <v>0</v>
      </c>
      <c r="I87" s="29" t="b">
        <v>1</v>
      </c>
      <c r="J87" s="29">
        <v>50</v>
      </c>
      <c r="K87" s="29">
        <v>1</v>
      </c>
      <c r="L87" s="28">
        <f>_xll.qlRateHelperEarliestDate($E87,Trigger)</f>
        <v>42258</v>
      </c>
      <c r="M87" s="27" t="e">
        <f ca="1">_xll.qlRateHelperLatestDate($E87,Trigger)</f>
        <v>#NAME?</v>
      </c>
      <c r="P87" s="166"/>
      <c r="Q87" s="34"/>
      <c r="R87" s="34"/>
    </row>
    <row r="88" spans="2:18" x14ac:dyDescent="0.2">
      <c r="B88" s="33" t="str">
        <f t="shared" si="6"/>
        <v>AB</v>
      </c>
      <c r="C88" s="32" t="str">
        <f t="shared" si="7"/>
        <v>3E</v>
      </c>
      <c r="D88" s="31" t="s">
        <v>29</v>
      </c>
      <c r="E88" s="31" t="str">
        <f>Swaps!L24</f>
        <v>obj_006c9#0004</v>
      </c>
      <c r="F88" s="31" t="str">
        <f>_xll.qlRateHelperQuoteName(E88)</f>
        <v>EURAB3E16Y_Quote</v>
      </c>
      <c r="G88" s="30" t="e">
        <f>_xll.qlRateHelperQuoteValue($E88,Trigger)</f>
        <v>#NUM!</v>
      </c>
      <c r="H88" s="30">
        <f>_xll.qlSwapRateHelperSpread($E88,Trigger)</f>
        <v>0</v>
      </c>
      <c r="I88" s="29" t="b">
        <v>0</v>
      </c>
      <c r="J88" s="29">
        <v>50</v>
      </c>
      <c r="K88" s="29">
        <v>1</v>
      </c>
      <c r="L88" s="28">
        <f>_xll.qlRateHelperEarliestDate($E88,Trigger)</f>
        <v>42258</v>
      </c>
      <c r="M88" s="27" t="e">
        <f ca="1">_xll.qlRateHelperLatestDate($E88,Trigger)</f>
        <v>#NAME?</v>
      </c>
      <c r="P88" s="166"/>
      <c r="Q88" s="34"/>
      <c r="R88" s="34"/>
    </row>
    <row r="89" spans="2:18" x14ac:dyDescent="0.2">
      <c r="B89" s="33" t="str">
        <f t="shared" si="6"/>
        <v>AB</v>
      </c>
      <c r="C89" s="32" t="str">
        <f t="shared" si="7"/>
        <v>3E</v>
      </c>
      <c r="D89" s="31" t="s">
        <v>28</v>
      </c>
      <c r="E89" s="31" t="str">
        <f>Swaps!L25</f>
        <v>obj_006c4#0004</v>
      </c>
      <c r="F89" s="31" t="str">
        <f>_xll.qlRateHelperQuoteName(E89)</f>
        <v>EURAB3E17Y_Quote</v>
      </c>
      <c r="G89" s="30" t="e">
        <f>_xll.qlRateHelperQuoteValue($E89,Trigger)</f>
        <v>#NUM!</v>
      </c>
      <c r="H89" s="30">
        <f>_xll.qlSwapRateHelperSpread($E89,Trigger)</f>
        <v>0</v>
      </c>
      <c r="I89" s="29" t="b">
        <v>0</v>
      </c>
      <c r="J89" s="29">
        <v>50</v>
      </c>
      <c r="K89" s="29">
        <v>1</v>
      </c>
      <c r="L89" s="28">
        <f>_xll.qlRateHelperEarliestDate($E89,Trigger)</f>
        <v>42258</v>
      </c>
      <c r="M89" s="27" t="e">
        <f ca="1">_xll.qlRateHelperLatestDate($E89,Trigger)</f>
        <v>#NAME?</v>
      </c>
      <c r="P89" s="166"/>
      <c r="Q89" s="34"/>
      <c r="R89" s="34"/>
    </row>
    <row r="90" spans="2:18" x14ac:dyDescent="0.2">
      <c r="B90" s="33" t="str">
        <f t="shared" si="6"/>
        <v>AB</v>
      </c>
      <c r="C90" s="32" t="str">
        <f t="shared" si="7"/>
        <v>3E</v>
      </c>
      <c r="D90" s="31" t="s">
        <v>27</v>
      </c>
      <c r="E90" s="31" t="str">
        <f>Swaps!L26</f>
        <v>obj_006bf#0004</v>
      </c>
      <c r="F90" s="31" t="str">
        <f>_xll.qlRateHelperQuoteName(E90)</f>
        <v>EURAB3E18Y_Quote</v>
      </c>
      <c r="G90" s="30" t="e">
        <f>_xll.qlRateHelperQuoteValue($E90,Trigger)</f>
        <v>#NUM!</v>
      </c>
      <c r="H90" s="30">
        <f>_xll.qlSwapRateHelperSpread($E90,Trigger)</f>
        <v>0</v>
      </c>
      <c r="I90" s="29" t="b">
        <v>0</v>
      </c>
      <c r="J90" s="29">
        <v>50</v>
      </c>
      <c r="K90" s="29">
        <v>1</v>
      </c>
      <c r="L90" s="28">
        <f>_xll.qlRateHelperEarliestDate($E90,Trigger)</f>
        <v>42258</v>
      </c>
      <c r="M90" s="27" t="e">
        <f ca="1">_xll.qlRateHelperLatestDate($E90,Trigger)</f>
        <v>#NAME?</v>
      </c>
      <c r="P90" s="166"/>
      <c r="Q90" s="34"/>
      <c r="R90" s="34"/>
    </row>
    <row r="91" spans="2:18" x14ac:dyDescent="0.2">
      <c r="B91" s="33" t="str">
        <f t="shared" si="6"/>
        <v>AB</v>
      </c>
      <c r="C91" s="32" t="str">
        <f t="shared" si="7"/>
        <v>3E</v>
      </c>
      <c r="D91" s="31" t="s">
        <v>26</v>
      </c>
      <c r="E91" s="31" t="str">
        <f>Swaps!L27</f>
        <v>obj_006dd#0004</v>
      </c>
      <c r="F91" s="31" t="str">
        <f>_xll.qlRateHelperQuoteName(E91)</f>
        <v>EURAB3E19Y_Quote</v>
      </c>
      <c r="G91" s="30" t="e">
        <f>_xll.qlRateHelperQuoteValue($E91,Trigger)</f>
        <v>#NUM!</v>
      </c>
      <c r="H91" s="30">
        <f>_xll.qlSwapRateHelperSpread($E91,Trigger)</f>
        <v>0</v>
      </c>
      <c r="I91" s="29" t="b">
        <v>0</v>
      </c>
      <c r="J91" s="29">
        <v>50</v>
      </c>
      <c r="K91" s="29">
        <v>1</v>
      </c>
      <c r="L91" s="28">
        <f>_xll.qlRateHelperEarliestDate($E91,Trigger)</f>
        <v>42258</v>
      </c>
      <c r="M91" s="27" t="e">
        <f ca="1">_xll.qlRateHelperLatestDate($E91,Trigger)</f>
        <v>#NAME?</v>
      </c>
      <c r="P91" s="166"/>
      <c r="Q91" s="34"/>
      <c r="R91" s="34"/>
    </row>
    <row r="92" spans="2:18" x14ac:dyDescent="0.2">
      <c r="B92" s="33" t="str">
        <f t="shared" si="6"/>
        <v>AB</v>
      </c>
      <c r="C92" s="32" t="str">
        <f t="shared" si="7"/>
        <v>3E</v>
      </c>
      <c r="D92" s="31" t="s">
        <v>25</v>
      </c>
      <c r="E92" s="31" t="str">
        <f>Swaps!L28</f>
        <v>obj_006da#0004</v>
      </c>
      <c r="F92" s="31" t="str">
        <f>_xll.qlRateHelperQuoteName(E92)</f>
        <v>EURAB3E20Y_Quote</v>
      </c>
      <c r="G92" s="30">
        <f>_xll.qlRateHelperQuoteValue($E92,Trigger)</f>
        <v>1.4910000000000001E-2</v>
      </c>
      <c r="H92" s="30">
        <f>_xll.qlSwapRateHelperSpread($E92,Trigger)</f>
        <v>0</v>
      </c>
      <c r="I92" s="29" t="b">
        <v>1</v>
      </c>
      <c r="J92" s="29">
        <v>50</v>
      </c>
      <c r="K92" s="29">
        <v>1</v>
      </c>
      <c r="L92" s="28">
        <f>_xll.qlRateHelperEarliestDate($E92,Trigger)</f>
        <v>42258</v>
      </c>
      <c r="M92" s="27" t="e">
        <f ca="1">_xll.qlRateHelperLatestDate($E92,Trigger)</f>
        <v>#NAME?</v>
      </c>
      <c r="P92" s="166"/>
      <c r="Q92" s="34"/>
      <c r="R92" s="34"/>
    </row>
    <row r="93" spans="2:18" x14ac:dyDescent="0.2">
      <c r="B93" s="33" t="str">
        <f t="shared" si="6"/>
        <v>AB</v>
      </c>
      <c r="C93" s="32" t="str">
        <f t="shared" si="7"/>
        <v>3E</v>
      </c>
      <c r="D93" s="31" t="s">
        <v>24</v>
      </c>
      <c r="E93" s="31" t="str">
        <f>Swaps!L29</f>
        <v>obj_006d6#0004</v>
      </c>
      <c r="F93" s="31" t="str">
        <f>_xll.qlRateHelperQuoteName(E93)</f>
        <v>EURAB3E21Y_Quote</v>
      </c>
      <c r="G93" s="30" t="e">
        <f>_xll.qlRateHelperQuoteValue($E93,Trigger)</f>
        <v>#NUM!</v>
      </c>
      <c r="H93" s="30">
        <f>_xll.qlSwapRateHelperSpread($E93,Trigger)</f>
        <v>0</v>
      </c>
      <c r="I93" s="29" t="b">
        <v>0</v>
      </c>
      <c r="J93" s="29">
        <v>50</v>
      </c>
      <c r="K93" s="29">
        <v>1</v>
      </c>
      <c r="L93" s="28">
        <f>_xll.qlRateHelperEarliestDate($E93,Trigger)</f>
        <v>42258</v>
      </c>
      <c r="M93" s="27" t="e">
        <f ca="1">_xll.qlRateHelperLatestDate($E93,Trigger)</f>
        <v>#NAME?</v>
      </c>
      <c r="P93" s="166"/>
      <c r="Q93" s="34"/>
      <c r="R93" s="34"/>
    </row>
    <row r="94" spans="2:18" x14ac:dyDescent="0.2">
      <c r="B94" s="33" t="str">
        <f t="shared" si="6"/>
        <v>AB</v>
      </c>
      <c r="C94" s="32" t="str">
        <f t="shared" si="7"/>
        <v>3E</v>
      </c>
      <c r="D94" s="31" t="s">
        <v>23</v>
      </c>
      <c r="E94" s="31" t="str">
        <f>Swaps!L30</f>
        <v>obj_006d2#0004</v>
      </c>
      <c r="F94" s="31" t="str">
        <f>_xll.qlRateHelperQuoteName(E94)</f>
        <v>EURAB3E22Y_Quote</v>
      </c>
      <c r="G94" s="30" t="e">
        <f>_xll.qlRateHelperQuoteValue($E94,Trigger)</f>
        <v>#NUM!</v>
      </c>
      <c r="H94" s="30">
        <f>_xll.qlSwapRateHelperSpread($E94,Trigger)</f>
        <v>0</v>
      </c>
      <c r="I94" s="29" t="b">
        <v>0</v>
      </c>
      <c r="J94" s="29">
        <v>50</v>
      </c>
      <c r="K94" s="29">
        <v>1</v>
      </c>
      <c r="L94" s="28">
        <f>_xll.qlRateHelperEarliestDate($E94,Trigger)</f>
        <v>42258</v>
      </c>
      <c r="M94" s="27" t="e">
        <f ca="1">_xll.qlRateHelperLatestDate($E94,Trigger)</f>
        <v>#NAME?</v>
      </c>
      <c r="P94" s="166"/>
      <c r="Q94" s="34"/>
      <c r="R94" s="34"/>
    </row>
    <row r="95" spans="2:18" x14ac:dyDescent="0.2">
      <c r="B95" s="33" t="str">
        <f t="shared" si="6"/>
        <v>AB</v>
      </c>
      <c r="C95" s="32" t="str">
        <f t="shared" si="7"/>
        <v>3E</v>
      </c>
      <c r="D95" s="31" t="s">
        <v>22</v>
      </c>
      <c r="E95" s="31" t="str">
        <f>Swaps!L31</f>
        <v>obj_006cd#0004</v>
      </c>
      <c r="F95" s="31" t="str">
        <f>_xll.qlRateHelperQuoteName(E95)</f>
        <v>EURAB3E23Y_Quote</v>
      </c>
      <c r="G95" s="30" t="e">
        <f>_xll.qlRateHelperQuoteValue($E95,Trigger)</f>
        <v>#NUM!</v>
      </c>
      <c r="H95" s="30">
        <f>_xll.qlSwapRateHelperSpread($E95,Trigger)</f>
        <v>0</v>
      </c>
      <c r="I95" s="29" t="b">
        <v>0</v>
      </c>
      <c r="J95" s="29">
        <v>50</v>
      </c>
      <c r="K95" s="29">
        <v>1</v>
      </c>
      <c r="L95" s="28">
        <f>_xll.qlRateHelperEarliestDate($E95,Trigger)</f>
        <v>42258</v>
      </c>
      <c r="M95" s="27" t="e">
        <f ca="1">_xll.qlRateHelperLatestDate($E95,Trigger)</f>
        <v>#NAME?</v>
      </c>
      <c r="P95" s="166"/>
      <c r="Q95" s="34"/>
      <c r="R95" s="34"/>
    </row>
    <row r="96" spans="2:18" x14ac:dyDescent="0.2">
      <c r="B96" s="33" t="str">
        <f t="shared" si="6"/>
        <v>AB</v>
      </c>
      <c r="C96" s="32" t="str">
        <f t="shared" si="7"/>
        <v>3E</v>
      </c>
      <c r="D96" s="31" t="s">
        <v>21</v>
      </c>
      <c r="E96" s="31" t="str">
        <f>Swaps!L32</f>
        <v>obj_006c8#0004</v>
      </c>
      <c r="F96" s="31" t="str">
        <f>_xll.qlRateHelperQuoteName(E96)</f>
        <v>EURAB3E24Y_Quote</v>
      </c>
      <c r="G96" s="30" t="e">
        <f>_xll.qlRateHelperQuoteValue($E96,Trigger)</f>
        <v>#NUM!</v>
      </c>
      <c r="H96" s="30">
        <f>_xll.qlSwapRateHelperSpread($E96,Trigger)</f>
        <v>0</v>
      </c>
      <c r="I96" s="29" t="b">
        <v>0</v>
      </c>
      <c r="J96" s="29">
        <v>50</v>
      </c>
      <c r="K96" s="29">
        <v>1</v>
      </c>
      <c r="L96" s="28">
        <f>_xll.qlRateHelperEarliestDate($E96,Trigger)</f>
        <v>42258</v>
      </c>
      <c r="M96" s="27" t="e">
        <f ca="1">_xll.qlRateHelperLatestDate($E96,Trigger)</f>
        <v>#NAME?</v>
      </c>
      <c r="P96" s="166"/>
      <c r="Q96" s="34"/>
      <c r="R96" s="34"/>
    </row>
    <row r="97" spans="2:18" x14ac:dyDescent="0.2">
      <c r="B97" s="33" t="str">
        <f t="shared" si="6"/>
        <v>AB</v>
      </c>
      <c r="C97" s="32" t="str">
        <f t="shared" si="7"/>
        <v>3E</v>
      </c>
      <c r="D97" s="31" t="s">
        <v>20</v>
      </c>
      <c r="E97" s="31" t="str">
        <f>Swaps!L33</f>
        <v>obj_006c3#0004</v>
      </c>
      <c r="F97" s="31" t="str">
        <f>_xll.qlRateHelperQuoteName(E97)</f>
        <v>EURAB3E25Y_Quote</v>
      </c>
      <c r="G97" s="30">
        <f>_xll.qlRateHelperQuoteValue($E97,Trigger)</f>
        <v>1.5350000000000001E-2</v>
      </c>
      <c r="H97" s="30">
        <f>_xll.qlSwapRateHelperSpread($E97,Trigger)</f>
        <v>0</v>
      </c>
      <c r="I97" s="29" t="b">
        <v>1</v>
      </c>
      <c r="J97" s="29">
        <v>50</v>
      </c>
      <c r="K97" s="29">
        <v>1</v>
      </c>
      <c r="L97" s="28">
        <f>_xll.qlRateHelperEarliestDate($E97,Trigger)</f>
        <v>42258</v>
      </c>
      <c r="M97" s="27" t="e">
        <f ca="1">_xll.qlRateHelperLatestDate($E97,Trigger)</f>
        <v>#NAME?</v>
      </c>
      <c r="P97" s="166"/>
      <c r="Q97" s="34"/>
      <c r="R97" s="34"/>
    </row>
    <row r="98" spans="2:18" x14ac:dyDescent="0.2">
      <c r="B98" s="33" t="str">
        <f t="shared" si="6"/>
        <v>AB</v>
      </c>
      <c r="C98" s="32" t="str">
        <f t="shared" si="7"/>
        <v>3E</v>
      </c>
      <c r="D98" s="31" t="s">
        <v>19</v>
      </c>
      <c r="E98" s="31" t="str">
        <f>Swaps!L34</f>
        <v>obj_006be#0004</v>
      </c>
      <c r="F98" s="31" t="str">
        <f>_xll.qlRateHelperQuoteName(E98)</f>
        <v>EURAB3E26Y_Quote</v>
      </c>
      <c r="G98" s="30" t="e">
        <f>_xll.qlRateHelperQuoteValue($E98,Trigger)</f>
        <v>#NUM!</v>
      </c>
      <c r="H98" s="30">
        <f>_xll.qlSwapRateHelperSpread($E98,Trigger)</f>
        <v>0</v>
      </c>
      <c r="I98" s="29" t="b">
        <v>0</v>
      </c>
      <c r="J98" s="29">
        <v>50</v>
      </c>
      <c r="K98" s="29">
        <v>1</v>
      </c>
      <c r="L98" s="28">
        <f>_xll.qlRateHelperEarliestDate($E98,Trigger)</f>
        <v>42258</v>
      </c>
      <c r="M98" s="27" t="e">
        <f ca="1">_xll.qlRateHelperLatestDate($E98,Trigger)</f>
        <v>#NAME?</v>
      </c>
      <c r="P98" s="166"/>
      <c r="Q98" s="34"/>
      <c r="R98" s="34"/>
    </row>
    <row r="99" spans="2:18" x14ac:dyDescent="0.2">
      <c r="B99" s="33" t="str">
        <f t="shared" si="6"/>
        <v>AB</v>
      </c>
      <c r="C99" s="32" t="str">
        <f t="shared" si="7"/>
        <v>3E</v>
      </c>
      <c r="D99" s="31" t="s">
        <v>18</v>
      </c>
      <c r="E99" s="31" t="str">
        <f>Swaps!L35</f>
        <v>obj_006dc#0004</v>
      </c>
      <c r="F99" s="31" t="str">
        <f>_xll.qlRateHelperQuoteName(E99)</f>
        <v>EURAB3E27Y_Quote</v>
      </c>
      <c r="G99" s="30" t="e">
        <f>_xll.qlRateHelperQuoteValue($E99,Trigger)</f>
        <v>#NUM!</v>
      </c>
      <c r="H99" s="30">
        <f>_xll.qlSwapRateHelperSpread($E99,Trigger)</f>
        <v>0</v>
      </c>
      <c r="I99" s="29" t="b">
        <v>0</v>
      </c>
      <c r="J99" s="29">
        <v>50</v>
      </c>
      <c r="K99" s="29">
        <v>1</v>
      </c>
      <c r="L99" s="28">
        <f>_xll.qlRateHelperEarliestDate($E99,Trigger)</f>
        <v>42258</v>
      </c>
      <c r="M99" s="27" t="e">
        <f ca="1">_xll.qlRateHelperLatestDate($E99,Trigger)</f>
        <v>#NAME?</v>
      </c>
      <c r="P99" s="166"/>
      <c r="Q99" s="34"/>
      <c r="R99" s="34"/>
    </row>
    <row r="100" spans="2:18" x14ac:dyDescent="0.2">
      <c r="B100" s="33" t="str">
        <f t="shared" si="6"/>
        <v>AB</v>
      </c>
      <c r="C100" s="32" t="str">
        <f t="shared" si="7"/>
        <v>3E</v>
      </c>
      <c r="D100" s="31" t="s">
        <v>17</v>
      </c>
      <c r="E100" s="31" t="str">
        <f>Swaps!L36</f>
        <v>obj_006d9#0004</v>
      </c>
      <c r="F100" s="31" t="str">
        <f>_xll.qlRateHelperQuoteName(E100)</f>
        <v>EURAB3E28Y_Quote</v>
      </c>
      <c r="G100" s="30" t="e">
        <f>_xll.qlRateHelperQuoteValue($E100,Trigger)</f>
        <v>#NUM!</v>
      </c>
      <c r="H100" s="30">
        <f>_xll.qlSwapRateHelperSpread($E100,Trigger)</f>
        <v>0</v>
      </c>
      <c r="I100" s="29" t="b">
        <v>0</v>
      </c>
      <c r="J100" s="29">
        <v>50</v>
      </c>
      <c r="K100" s="29">
        <v>1</v>
      </c>
      <c r="L100" s="28">
        <f>_xll.qlRateHelperEarliestDate($E100,Trigger)</f>
        <v>42258</v>
      </c>
      <c r="M100" s="27" t="e">
        <f ca="1">_xll.qlRateHelperLatestDate($E100,Trigger)</f>
        <v>#NAME?</v>
      </c>
      <c r="P100" s="166"/>
      <c r="Q100" s="34"/>
      <c r="R100" s="34"/>
    </row>
    <row r="101" spans="2:18" x14ac:dyDescent="0.2">
      <c r="B101" s="33" t="str">
        <f t="shared" si="6"/>
        <v>AB</v>
      </c>
      <c r="C101" s="32" t="str">
        <f t="shared" si="7"/>
        <v>3E</v>
      </c>
      <c r="D101" s="31" t="s">
        <v>16</v>
      </c>
      <c r="E101" s="31" t="str">
        <f>Swaps!L37</f>
        <v>obj_006d5#0004</v>
      </c>
      <c r="F101" s="31" t="str">
        <f>_xll.qlRateHelperQuoteName(E101)</f>
        <v>EURAB3E29Y_Quote</v>
      </c>
      <c r="G101" s="30" t="e">
        <f>_xll.qlRateHelperQuoteValue($E101,Trigger)</f>
        <v>#NUM!</v>
      </c>
      <c r="H101" s="30">
        <f>_xll.qlSwapRateHelperSpread($E101,Trigger)</f>
        <v>0</v>
      </c>
      <c r="I101" s="29" t="b">
        <v>0</v>
      </c>
      <c r="J101" s="29">
        <v>50</v>
      </c>
      <c r="K101" s="29">
        <v>1</v>
      </c>
      <c r="L101" s="28">
        <f>_xll.qlRateHelperEarliestDate($E101,Trigger)</f>
        <v>42258</v>
      </c>
      <c r="M101" s="27" t="e">
        <f ca="1">_xll.qlRateHelperLatestDate($E101,Trigger)</f>
        <v>#NAME?</v>
      </c>
      <c r="P101" s="166"/>
      <c r="Q101" s="34"/>
      <c r="R101" s="34"/>
    </row>
    <row r="102" spans="2:18" x14ac:dyDescent="0.2">
      <c r="B102" s="33" t="str">
        <f t="shared" ref="B102:B133" si="8">SwapFixedFreq</f>
        <v>AB</v>
      </c>
      <c r="C102" s="32" t="str">
        <f t="shared" si="7"/>
        <v>3E</v>
      </c>
      <c r="D102" s="31" t="s">
        <v>15</v>
      </c>
      <c r="E102" s="31" t="str">
        <f>Swaps!L38</f>
        <v>obj_006d1#0004</v>
      </c>
      <c r="F102" s="31" t="str">
        <f>_xll.qlRateHelperQuoteName(E102)</f>
        <v>EURAB3E30Y_Quote</v>
      </c>
      <c r="G102" s="30">
        <f>_xll.qlRateHelperQuoteValue($E102,Trigger)</f>
        <v>1.5520000000000001E-2</v>
      </c>
      <c r="H102" s="30">
        <f>_xll.qlSwapRateHelperSpread($E102,Trigger)</f>
        <v>0</v>
      </c>
      <c r="I102" s="29" t="b">
        <v>1</v>
      </c>
      <c r="J102" s="29">
        <v>50</v>
      </c>
      <c r="K102" s="29">
        <v>1</v>
      </c>
      <c r="L102" s="28">
        <f>_xll.qlRateHelperEarliestDate($E102,Trigger)</f>
        <v>42258</v>
      </c>
      <c r="M102" s="27" t="e">
        <f ca="1">_xll.qlRateHelperLatestDate($E102,Trigger)</f>
        <v>#NAME?</v>
      </c>
      <c r="P102" s="166"/>
      <c r="Q102" s="34"/>
      <c r="R102" s="34"/>
    </row>
    <row r="103" spans="2:18" x14ac:dyDescent="0.2">
      <c r="B103" s="33" t="str">
        <f t="shared" si="8"/>
        <v>AB</v>
      </c>
      <c r="C103" s="32" t="str">
        <f t="shared" si="7"/>
        <v>3E</v>
      </c>
      <c r="D103" s="31" t="s">
        <v>14</v>
      </c>
      <c r="E103" s="31" t="str">
        <f>Swaps!L39</f>
        <v>obj_006cc#0004</v>
      </c>
      <c r="F103" s="31" t="str">
        <f>_xll.qlRateHelperQuoteName(E103)</f>
        <v>EURAB3E35Y_Quote</v>
      </c>
      <c r="G103" s="30" t="e">
        <f>_xll.qlRateHelperQuoteValue($E103,Trigger)</f>
        <v>#NUM!</v>
      </c>
      <c r="H103" s="30">
        <f>_xll.qlSwapRateHelperSpread($E103,Trigger)</f>
        <v>0</v>
      </c>
      <c r="I103" s="29" t="b">
        <v>0</v>
      </c>
      <c r="J103" s="29">
        <v>50</v>
      </c>
      <c r="K103" s="29">
        <v>1</v>
      </c>
      <c r="L103" s="28">
        <f>_xll.qlRateHelperEarliestDate($E103,Trigger)</f>
        <v>42258</v>
      </c>
      <c r="M103" s="27" t="e">
        <f ca="1">_xll.qlRateHelperLatestDate($E103,Trigger)</f>
        <v>#NAME?</v>
      </c>
      <c r="P103" s="166"/>
      <c r="Q103" s="34"/>
      <c r="R103" s="34"/>
    </row>
    <row r="104" spans="2:18" x14ac:dyDescent="0.2">
      <c r="B104" s="33" t="str">
        <f t="shared" si="8"/>
        <v>AB</v>
      </c>
      <c r="C104" s="32" t="str">
        <f t="shared" si="7"/>
        <v>3E</v>
      </c>
      <c r="D104" s="31" t="s">
        <v>13</v>
      </c>
      <c r="E104" s="31" t="str">
        <f>Swaps!L40</f>
        <v>obj_006c7#0004</v>
      </c>
      <c r="F104" s="31" t="str">
        <f>_xll.qlRateHelperQuoteName(E104)</f>
        <v>EURAB3E40Y_Quote</v>
      </c>
      <c r="G104" s="30">
        <f>_xll.qlRateHelperQuoteValue($E104,Trigger)</f>
        <v>1.5730000000000001E-2</v>
      </c>
      <c r="H104" s="30">
        <f>_xll.qlSwapRateHelperSpread($E104,Trigger)</f>
        <v>0</v>
      </c>
      <c r="I104" s="29" t="b">
        <v>1</v>
      </c>
      <c r="J104" s="29">
        <v>50</v>
      </c>
      <c r="K104" s="29">
        <v>1</v>
      </c>
      <c r="L104" s="28">
        <f>_xll.qlRateHelperEarliestDate($E104,Trigger)</f>
        <v>42258</v>
      </c>
      <c r="M104" s="27" t="e">
        <f ca="1">_xll.qlRateHelperLatestDate($E104,Trigger)</f>
        <v>#NAME?</v>
      </c>
      <c r="P104" s="166"/>
      <c r="Q104" s="34"/>
      <c r="R104" s="34"/>
    </row>
    <row r="105" spans="2:18" x14ac:dyDescent="0.2">
      <c r="B105" s="33" t="str">
        <f t="shared" si="8"/>
        <v>AB</v>
      </c>
      <c r="C105" s="32" t="str">
        <f t="shared" si="7"/>
        <v>3E</v>
      </c>
      <c r="D105" s="31" t="s">
        <v>12</v>
      </c>
      <c r="E105" s="31" t="str">
        <f>Swaps!L41</f>
        <v>obj_006c2#0004</v>
      </c>
      <c r="F105" s="31" t="str">
        <f>_xll.qlRateHelperQuoteName(E105)</f>
        <v>EURAB3E50Y_Quote</v>
      </c>
      <c r="G105" s="30">
        <f>_xll.qlRateHelperQuoteValue($E105,Trigger)</f>
        <v>1.541E-2</v>
      </c>
      <c r="H105" s="30">
        <f>_xll.qlSwapRateHelperSpread($E105,Trigger)</f>
        <v>0</v>
      </c>
      <c r="I105" s="29" t="b">
        <v>1</v>
      </c>
      <c r="J105" s="29">
        <v>50</v>
      </c>
      <c r="K105" s="29">
        <v>1</v>
      </c>
      <c r="L105" s="28">
        <f>_xll.qlRateHelperEarliestDate($E105,Trigger)</f>
        <v>42258</v>
      </c>
      <c r="M105" s="27" t="e">
        <f ca="1">_xll.qlRateHelperLatestDate($E105,Trigger)</f>
        <v>#NAME?</v>
      </c>
      <c r="P105" s="166"/>
      <c r="Q105" s="34"/>
      <c r="R105" s="34"/>
    </row>
    <row r="106" spans="2:18" x14ac:dyDescent="0.2">
      <c r="B106" s="26" t="str">
        <f t="shared" si="8"/>
        <v>AB</v>
      </c>
      <c r="C106" s="25" t="str">
        <f t="shared" si="7"/>
        <v>3E</v>
      </c>
      <c r="D106" s="24" t="s">
        <v>11</v>
      </c>
      <c r="E106" s="24" t="str">
        <f>Swaps!L42</f>
        <v>obj_006bd#0004</v>
      </c>
      <c r="F106" s="24" t="str">
        <f>_xll.qlRateHelperQuoteName(E106)</f>
        <v>EURAB3E60Y_Quote</v>
      </c>
      <c r="G106" s="23">
        <f>_xll.qlRateHelperQuoteValue($E106,Trigger)</f>
        <v>1.529E-2</v>
      </c>
      <c r="H106" s="23">
        <f>_xll.qlSwapRateHelperSpread($E106,Trigger)</f>
        <v>0</v>
      </c>
      <c r="I106" s="22" t="b">
        <v>1</v>
      </c>
      <c r="J106" s="22">
        <v>50</v>
      </c>
      <c r="K106" s="22">
        <v>1</v>
      </c>
      <c r="L106" s="21">
        <f>_xll.qlRateHelperEarliestDate($E106,Trigger)</f>
        <v>42258</v>
      </c>
      <c r="M106" s="20" t="e">
        <f ca="1">_xll.qlRateHelperLatestDate($E106,Trigger)</f>
        <v>#NAME?</v>
      </c>
      <c r="P106" s="166"/>
      <c r="Q106" s="34"/>
      <c r="R106" s="34"/>
    </row>
    <row r="107" spans="2:18" x14ac:dyDescent="0.2">
      <c r="B107" s="33" t="str">
        <f t="shared" si="8"/>
        <v>AB</v>
      </c>
      <c r="C107" s="32" t="str">
        <f t="shared" ref="C107:C143" si="9">IborType&amp;"BASIS"</f>
        <v>3EBASIS</v>
      </c>
      <c r="D107" s="31" t="s">
        <v>47</v>
      </c>
      <c r="E107" s="31" t="str">
        <f>SwapsFromBasis!L6</f>
        <v>obj_00701#0004</v>
      </c>
      <c r="F107" s="31" t="str">
        <f>_xll.qlRateHelperQuoteName(E107)</f>
        <v>EURAB3EBASIS1Y_Quote</v>
      </c>
      <c r="G107" s="30">
        <f>_xll.qlRateHelperQuoteValue($E107,Trigger)</f>
        <v>-3.6999999999999999E-4</v>
      </c>
      <c r="H107" s="30">
        <f>_xll.qlSwapRateHelperSpread($E107,Trigger)</f>
        <v>0</v>
      </c>
      <c r="I107" s="29" t="b">
        <v>0</v>
      </c>
      <c r="J107" s="29">
        <v>40</v>
      </c>
      <c r="K107" s="29">
        <v>1</v>
      </c>
      <c r="L107" s="28">
        <f>_xll.qlRateHelperEarliestDate($E107,Trigger)</f>
        <v>42258</v>
      </c>
      <c r="M107" s="27" t="e">
        <f ca="1">_xll.qlRateHelperLatestDate($E107,Trigger)</f>
        <v>#NAME?</v>
      </c>
      <c r="P107" s="166"/>
    </row>
    <row r="108" spans="2:18" x14ac:dyDescent="0.2">
      <c r="B108" s="33" t="str">
        <f t="shared" si="8"/>
        <v>AB</v>
      </c>
      <c r="C108" s="32" t="str">
        <f t="shared" si="9"/>
        <v>3EBASIS</v>
      </c>
      <c r="D108" s="31" t="s">
        <v>46</v>
      </c>
      <c r="E108" s="31" t="str">
        <f>SwapsFromBasis!L7</f>
        <v>obj_00708#0004</v>
      </c>
      <c r="F108" s="31" t="str">
        <f>_xll.qlRateHelperQuoteName(E108)</f>
        <v>EURAB3EBASIS15M_Quote</v>
      </c>
      <c r="G108" s="30" t="e">
        <f>_xll.qlRateHelperQuoteValue($E108,Trigger)</f>
        <v>#NUM!</v>
      </c>
      <c r="H108" s="30">
        <f>_xll.qlSwapRateHelperSpread($E108,Trigger)</f>
        <v>0</v>
      </c>
      <c r="I108" s="29" t="b">
        <v>0</v>
      </c>
      <c r="J108" s="29">
        <v>40</v>
      </c>
      <c r="K108" s="29">
        <v>1</v>
      </c>
      <c r="L108" s="28">
        <f>_xll.qlRateHelperEarliestDate($E108,Trigger)</f>
        <v>42258</v>
      </c>
      <c r="M108" s="27" t="e">
        <f ca="1">_xll.qlRateHelperLatestDate($E108,Trigger)</f>
        <v>#NAME?</v>
      </c>
      <c r="P108" s="166"/>
    </row>
    <row r="109" spans="2:18" x14ac:dyDescent="0.2">
      <c r="B109" s="33" t="str">
        <f t="shared" si="8"/>
        <v>AB</v>
      </c>
      <c r="C109" s="32" t="str">
        <f t="shared" si="9"/>
        <v>3EBASIS</v>
      </c>
      <c r="D109" s="31" t="s">
        <v>45</v>
      </c>
      <c r="E109" s="31" t="str">
        <f>SwapsFromBasis!L8</f>
        <v>obj_0070f#0004</v>
      </c>
      <c r="F109" s="31" t="str">
        <f>_xll.qlRateHelperQuoteName(E109)</f>
        <v>EURAB3EBASIS18M_Quote</v>
      </c>
      <c r="G109" s="30">
        <f>_xll.qlRateHelperQuoteValue($E109,Trigger)</f>
        <v>-2.7999999999999998E-4</v>
      </c>
      <c r="H109" s="30">
        <f>_xll.qlSwapRateHelperSpread($E109,Trigger)</f>
        <v>0</v>
      </c>
      <c r="I109" s="29" t="b">
        <v>0</v>
      </c>
      <c r="J109" s="29">
        <v>40</v>
      </c>
      <c r="K109" s="29">
        <v>1</v>
      </c>
      <c r="L109" s="28">
        <f>_xll.qlRateHelperEarliestDate($E109,Trigger)</f>
        <v>42258</v>
      </c>
      <c r="M109" s="27" t="e">
        <f ca="1">_xll.qlRateHelperLatestDate($E109,Trigger)</f>
        <v>#NAME?</v>
      </c>
      <c r="P109" s="166"/>
    </row>
    <row r="110" spans="2:18" x14ac:dyDescent="0.2">
      <c r="B110" s="33" t="str">
        <f t="shared" si="8"/>
        <v>AB</v>
      </c>
      <c r="C110" s="32" t="str">
        <f t="shared" si="9"/>
        <v>3EBASIS</v>
      </c>
      <c r="D110" s="31" t="s">
        <v>44</v>
      </c>
      <c r="E110" s="31" t="str">
        <f>SwapsFromBasis!L9</f>
        <v>obj_0070e#0004</v>
      </c>
      <c r="F110" s="31" t="str">
        <f>_xll.qlRateHelperQuoteName(E110)</f>
        <v>EURAB3EBASIS21M_Quote</v>
      </c>
      <c r="G110" s="30" t="e">
        <f>_xll.qlRateHelperQuoteValue($E110,Trigger)</f>
        <v>#NUM!</v>
      </c>
      <c r="H110" s="30">
        <f>_xll.qlSwapRateHelperSpread($E110,Trigger)</f>
        <v>0</v>
      </c>
      <c r="I110" s="29" t="b">
        <v>0</v>
      </c>
      <c r="J110" s="29">
        <v>40</v>
      </c>
      <c r="K110" s="29">
        <v>1</v>
      </c>
      <c r="L110" s="28">
        <f>_xll.qlRateHelperEarliestDate($E110,Trigger)</f>
        <v>42258</v>
      </c>
      <c r="M110" s="27" t="e">
        <f ca="1">_xll.qlRateHelperLatestDate($E110,Trigger)</f>
        <v>#NAME?</v>
      </c>
      <c r="P110" s="166"/>
    </row>
    <row r="111" spans="2:18" x14ac:dyDescent="0.2">
      <c r="B111" s="33" t="str">
        <f t="shared" si="8"/>
        <v>AB</v>
      </c>
      <c r="C111" s="32" t="str">
        <f t="shared" si="9"/>
        <v>3EBASIS</v>
      </c>
      <c r="D111" s="31" t="s">
        <v>43</v>
      </c>
      <c r="E111" s="31" t="str">
        <f>SwapsFromBasis!L10</f>
        <v>obj_00706#0004</v>
      </c>
      <c r="F111" s="31" t="str">
        <f>_xll.qlRateHelperQuoteName(E111)</f>
        <v>EURAB3EBASIS2Y_Quote</v>
      </c>
      <c r="G111" s="30">
        <f>_xll.qlRateHelperQuoteValue($E111,Trigger)</f>
        <v>-7.4999999999999871E-5</v>
      </c>
      <c r="H111" s="30">
        <f>_xll.qlSwapRateHelperSpread($E111,Trigger)</f>
        <v>0</v>
      </c>
      <c r="I111" s="29" t="b">
        <v>0</v>
      </c>
      <c r="J111" s="29">
        <v>40</v>
      </c>
      <c r="K111" s="29">
        <v>1</v>
      </c>
      <c r="L111" s="28">
        <f>_xll.qlRateHelperEarliestDate($E111,Trigger)</f>
        <v>42258</v>
      </c>
      <c r="M111" s="27" t="e">
        <f ca="1">_xll.qlRateHelperLatestDate($E111,Trigger)</f>
        <v>#NAME?</v>
      </c>
      <c r="P111" s="166"/>
    </row>
    <row r="112" spans="2:18" x14ac:dyDescent="0.2">
      <c r="B112" s="33" t="str">
        <f t="shared" si="8"/>
        <v>AB</v>
      </c>
      <c r="C112" s="32" t="str">
        <f t="shared" si="9"/>
        <v>3EBASIS</v>
      </c>
      <c r="D112" s="31" t="s">
        <v>42</v>
      </c>
      <c r="E112" s="31" t="str">
        <f>SwapsFromBasis!L11</f>
        <v>obj_00724#0004</v>
      </c>
      <c r="F112" s="31" t="str">
        <f>_xll.qlRateHelperQuoteName(E112)</f>
        <v>EURAB3EBASIS3Y_Quote</v>
      </c>
      <c r="G112" s="30">
        <f>_xll.qlRateHelperQuoteValue($E112,Trigger)</f>
        <v>5.9999999999999973E-4</v>
      </c>
      <c r="H112" s="30">
        <f>_xll.qlSwapRateHelperSpread($E112,Trigger)</f>
        <v>0</v>
      </c>
      <c r="I112" s="29" t="b">
        <v>0</v>
      </c>
      <c r="J112" s="29">
        <v>40</v>
      </c>
      <c r="K112" s="29">
        <v>1</v>
      </c>
      <c r="L112" s="28">
        <f>_xll.qlRateHelperEarliestDate($E112,Trigger)</f>
        <v>42258</v>
      </c>
      <c r="M112" s="27" t="e">
        <f ca="1">_xll.qlRateHelperLatestDate($E112,Trigger)</f>
        <v>#NAME?</v>
      </c>
      <c r="P112" s="166"/>
    </row>
    <row r="113" spans="2:16" x14ac:dyDescent="0.2">
      <c r="B113" s="33" t="str">
        <f t="shared" si="8"/>
        <v>AB</v>
      </c>
      <c r="C113" s="32" t="str">
        <f t="shared" si="9"/>
        <v>3EBASIS</v>
      </c>
      <c r="D113" s="31" t="s">
        <v>41</v>
      </c>
      <c r="E113" s="31" t="str">
        <f>SwapsFromBasis!L12</f>
        <v>obj_00719#0004</v>
      </c>
      <c r="F113" s="31" t="str">
        <f>_xll.qlRateHelperQuoteName(E113)</f>
        <v>EURAB3EBASIS4Y_Quote</v>
      </c>
      <c r="G113" s="30">
        <f>_xll.qlRateHelperQuoteValue($E113,Trigger)</f>
        <v>1.6149999999999999E-3</v>
      </c>
      <c r="H113" s="30">
        <f>_xll.qlSwapRateHelperSpread($E113,Trigger)</f>
        <v>0</v>
      </c>
      <c r="I113" s="29" t="b">
        <v>0</v>
      </c>
      <c r="J113" s="29">
        <v>40</v>
      </c>
      <c r="K113" s="29">
        <v>1</v>
      </c>
      <c r="L113" s="28">
        <f>_xll.qlRateHelperEarliestDate($E113,Trigger)</f>
        <v>42258</v>
      </c>
      <c r="M113" s="27" t="e">
        <f ca="1">_xll.qlRateHelperLatestDate($E113,Trigger)</f>
        <v>#NAME?</v>
      </c>
      <c r="P113" s="166"/>
    </row>
    <row r="114" spans="2:16" x14ac:dyDescent="0.2">
      <c r="B114" s="33" t="str">
        <f t="shared" si="8"/>
        <v>AB</v>
      </c>
      <c r="C114" s="32" t="str">
        <f t="shared" si="9"/>
        <v>3EBASIS</v>
      </c>
      <c r="D114" s="31" t="s">
        <v>40</v>
      </c>
      <c r="E114" s="31" t="str">
        <f>SwapsFromBasis!L13</f>
        <v>obj_0071c#0004</v>
      </c>
      <c r="F114" s="31" t="str">
        <f>_xll.qlRateHelperQuoteName(E114)</f>
        <v>EURAB3EBASIS5Y_Quote</v>
      </c>
      <c r="G114" s="30">
        <f>_xll.qlRateHelperQuoteValue($E114,Trigger)</f>
        <v>2.8250000000000003E-3</v>
      </c>
      <c r="H114" s="30">
        <f>_xll.qlSwapRateHelperSpread($E114,Trigger)</f>
        <v>0</v>
      </c>
      <c r="I114" s="29" t="b">
        <v>0</v>
      </c>
      <c r="J114" s="29">
        <v>40</v>
      </c>
      <c r="K114" s="29">
        <v>1</v>
      </c>
      <c r="L114" s="28">
        <f>_xll.qlRateHelperEarliestDate($E114,Trigger)</f>
        <v>42258</v>
      </c>
      <c r="M114" s="27" t="e">
        <f ca="1">_xll.qlRateHelperLatestDate($E114,Trigger)</f>
        <v>#NAME?</v>
      </c>
      <c r="P114" s="166"/>
    </row>
    <row r="115" spans="2:16" x14ac:dyDescent="0.2">
      <c r="B115" s="33" t="str">
        <f t="shared" si="8"/>
        <v>AB</v>
      </c>
      <c r="C115" s="32" t="str">
        <f t="shared" si="9"/>
        <v>3EBASIS</v>
      </c>
      <c r="D115" s="31" t="s">
        <v>39</v>
      </c>
      <c r="E115" s="31" t="str">
        <f>SwapsFromBasis!L14</f>
        <v>obj_00725#0004</v>
      </c>
      <c r="F115" s="31" t="str">
        <f>_xll.qlRateHelperQuoteName(E115)</f>
        <v>EURAB3EBASIS6Y_Quote</v>
      </c>
      <c r="G115" s="30">
        <f>_xll.qlRateHelperQuoteValue($E115,Trigger)</f>
        <v>4.2250000000000005E-3</v>
      </c>
      <c r="H115" s="30">
        <f>_xll.qlSwapRateHelperSpread($E115,Trigger)</f>
        <v>0</v>
      </c>
      <c r="I115" s="29" t="b">
        <v>0</v>
      </c>
      <c r="J115" s="29">
        <v>40</v>
      </c>
      <c r="K115" s="29">
        <v>1</v>
      </c>
      <c r="L115" s="28">
        <f>_xll.qlRateHelperEarliestDate($E115,Trigger)</f>
        <v>42258</v>
      </c>
      <c r="M115" s="27" t="e">
        <f ca="1">_xll.qlRateHelperLatestDate($E115,Trigger)</f>
        <v>#NAME?</v>
      </c>
      <c r="P115" s="166"/>
    </row>
    <row r="116" spans="2:16" x14ac:dyDescent="0.2">
      <c r="B116" s="33" t="str">
        <f t="shared" si="8"/>
        <v>AB</v>
      </c>
      <c r="C116" s="32" t="str">
        <f t="shared" si="9"/>
        <v>3EBASIS</v>
      </c>
      <c r="D116" s="31" t="s">
        <v>38</v>
      </c>
      <c r="E116" s="31" t="str">
        <f>SwapsFromBasis!L15</f>
        <v>obj_00717#0004</v>
      </c>
      <c r="F116" s="31" t="str">
        <f>_xll.qlRateHelperQuoteName(E116)</f>
        <v>EURAB3EBASIS7Y_Quote</v>
      </c>
      <c r="G116" s="30">
        <f>_xll.qlRateHelperQuoteValue($E116,Trigger)</f>
        <v>5.6400000000000009E-3</v>
      </c>
      <c r="H116" s="30">
        <f>_xll.qlSwapRateHelperSpread($E116,Trigger)</f>
        <v>0</v>
      </c>
      <c r="I116" s="29" t="b">
        <v>0</v>
      </c>
      <c r="J116" s="29">
        <v>40</v>
      </c>
      <c r="K116" s="29">
        <v>1</v>
      </c>
      <c r="L116" s="28">
        <f>_xll.qlRateHelperEarliestDate($E116,Trigger)</f>
        <v>42258</v>
      </c>
      <c r="M116" s="27" t="e">
        <f ca="1">_xll.qlRateHelperLatestDate($E116,Trigger)</f>
        <v>#NAME?</v>
      </c>
      <c r="P116" s="166"/>
    </row>
    <row r="117" spans="2:16" x14ac:dyDescent="0.2">
      <c r="B117" s="33" t="str">
        <f t="shared" si="8"/>
        <v>AB</v>
      </c>
      <c r="C117" s="32" t="str">
        <f t="shared" si="9"/>
        <v>3EBASIS</v>
      </c>
      <c r="D117" s="31" t="s">
        <v>37</v>
      </c>
      <c r="E117" s="31" t="str">
        <f>SwapsFromBasis!L16</f>
        <v>obj_00716#0004</v>
      </c>
      <c r="F117" s="31" t="str">
        <f>_xll.qlRateHelperQuoteName(E117)</f>
        <v>EURAB3EBASIS8Y_Quote</v>
      </c>
      <c r="G117" s="30">
        <f>_xll.qlRateHelperQuoteValue($E117,Trigger)</f>
        <v>7.0150000000000004E-3</v>
      </c>
      <c r="H117" s="30">
        <f>_xll.qlSwapRateHelperSpread($E117,Trigger)</f>
        <v>0</v>
      </c>
      <c r="I117" s="29" t="b">
        <v>0</v>
      </c>
      <c r="J117" s="29">
        <v>40</v>
      </c>
      <c r="K117" s="29">
        <v>1</v>
      </c>
      <c r="L117" s="28">
        <f>_xll.qlRateHelperEarliestDate($E117,Trigger)</f>
        <v>42258</v>
      </c>
      <c r="M117" s="27" t="e">
        <f ca="1">_xll.qlRateHelperLatestDate($E117,Trigger)</f>
        <v>#NAME?</v>
      </c>
      <c r="P117" s="166"/>
    </row>
    <row r="118" spans="2:16" x14ac:dyDescent="0.2">
      <c r="B118" s="33" t="str">
        <f t="shared" si="8"/>
        <v>AB</v>
      </c>
      <c r="C118" s="32" t="str">
        <f t="shared" si="9"/>
        <v>3EBASIS</v>
      </c>
      <c r="D118" s="31" t="s">
        <v>36</v>
      </c>
      <c r="E118" s="31" t="str">
        <f>SwapsFromBasis!L17</f>
        <v>obj_0070d#0004</v>
      </c>
      <c r="F118" s="31" t="str">
        <f>_xll.qlRateHelperQuoteName(E118)</f>
        <v>EURAB3EBASIS9Y_Quote</v>
      </c>
      <c r="G118" s="30">
        <f>_xll.qlRateHelperQuoteValue($E118,Trigger)</f>
        <v>8.3050000000000016E-3</v>
      </c>
      <c r="H118" s="30">
        <f>_xll.qlSwapRateHelperSpread($E118,Trigger)</f>
        <v>0</v>
      </c>
      <c r="I118" s="29" t="b">
        <v>0</v>
      </c>
      <c r="J118" s="29">
        <v>40</v>
      </c>
      <c r="K118" s="29">
        <v>1</v>
      </c>
      <c r="L118" s="28">
        <f>_xll.qlRateHelperEarliestDate($E118,Trigger)</f>
        <v>42258</v>
      </c>
      <c r="M118" s="27" t="e">
        <f ca="1">_xll.qlRateHelperLatestDate($E118,Trigger)</f>
        <v>#NAME?</v>
      </c>
      <c r="P118" s="166"/>
    </row>
    <row r="119" spans="2:16" x14ac:dyDescent="0.2">
      <c r="B119" s="33" t="str">
        <f t="shared" si="8"/>
        <v>AB</v>
      </c>
      <c r="C119" s="32" t="str">
        <f t="shared" si="9"/>
        <v>3EBASIS</v>
      </c>
      <c r="D119" s="31" t="s">
        <v>35</v>
      </c>
      <c r="E119" s="31" t="str">
        <f>SwapsFromBasis!L18</f>
        <v>obj_00705#0004</v>
      </c>
      <c r="F119" s="31" t="str">
        <f>_xll.qlRateHelperQuoteName(E119)</f>
        <v>EURAB3EBASIS10Y_Quote</v>
      </c>
      <c r="G119" s="30">
        <f>_xll.qlRateHelperQuoteValue($E119,Trigger)</f>
        <v>9.4400000000000005E-3</v>
      </c>
      <c r="H119" s="30">
        <f>_xll.qlSwapRateHelperSpread($E119,Trigger)</f>
        <v>0</v>
      </c>
      <c r="I119" s="29" t="b">
        <v>0</v>
      </c>
      <c r="J119" s="29">
        <v>40</v>
      </c>
      <c r="K119" s="29">
        <v>1</v>
      </c>
      <c r="L119" s="28">
        <f>_xll.qlRateHelperEarliestDate($E119,Trigger)</f>
        <v>42258</v>
      </c>
      <c r="M119" s="27" t="e">
        <f ca="1">_xll.qlRateHelperLatestDate($E119,Trigger)</f>
        <v>#NAME?</v>
      </c>
      <c r="P119" s="166"/>
    </row>
    <row r="120" spans="2:16" x14ac:dyDescent="0.2">
      <c r="B120" s="33" t="str">
        <f t="shared" si="8"/>
        <v>AB</v>
      </c>
      <c r="C120" s="32" t="str">
        <f t="shared" si="9"/>
        <v>3EBASIS</v>
      </c>
      <c r="D120" s="31" t="s">
        <v>34</v>
      </c>
      <c r="E120" s="31" t="str">
        <f>SwapsFromBasis!L19</f>
        <v>obj_00723#0004</v>
      </c>
      <c r="F120" s="31" t="str">
        <f>_xll.qlRateHelperQuoteName(E120)</f>
        <v>EURAB3EBASIS11Y_Quote</v>
      </c>
      <c r="G120" s="30">
        <f>_xll.qlRateHelperQuoteValue($E120,Trigger)</f>
        <v>1.0455000000000001E-2</v>
      </c>
      <c r="H120" s="30">
        <f>_xll.qlSwapRateHelperSpread($E120,Trigger)</f>
        <v>0</v>
      </c>
      <c r="I120" s="29" t="b">
        <v>0</v>
      </c>
      <c r="J120" s="29">
        <v>40</v>
      </c>
      <c r="K120" s="29">
        <v>1</v>
      </c>
      <c r="L120" s="28">
        <f>_xll.qlRateHelperEarliestDate($E120,Trigger)</f>
        <v>42258</v>
      </c>
      <c r="M120" s="27" t="e">
        <f ca="1">_xll.qlRateHelperLatestDate($E120,Trigger)</f>
        <v>#NAME?</v>
      </c>
      <c r="P120" s="166"/>
    </row>
    <row r="121" spans="2:16" x14ac:dyDescent="0.2">
      <c r="B121" s="33" t="str">
        <f t="shared" si="8"/>
        <v>AB</v>
      </c>
      <c r="C121" s="32" t="str">
        <f t="shared" si="9"/>
        <v>3EBASIS</v>
      </c>
      <c r="D121" s="31" t="s">
        <v>33</v>
      </c>
      <c r="E121" s="31" t="str">
        <f>SwapsFromBasis!L20</f>
        <v>obj_00712#0004</v>
      </c>
      <c r="F121" s="31" t="str">
        <f>_xll.qlRateHelperQuoteName(E121)</f>
        <v>EURAB3EBASIS12Y_Quote</v>
      </c>
      <c r="G121" s="30">
        <f>_xll.qlRateHelperQuoteValue($E121,Trigger)</f>
        <v>1.1344999999999999E-2</v>
      </c>
      <c r="H121" s="30">
        <f>_xll.qlSwapRateHelperSpread($E121,Trigger)</f>
        <v>0</v>
      </c>
      <c r="I121" s="29" t="b">
        <v>0</v>
      </c>
      <c r="J121" s="29">
        <v>40</v>
      </c>
      <c r="K121" s="29">
        <v>1</v>
      </c>
      <c r="L121" s="28">
        <f>_xll.qlRateHelperEarliestDate($E121,Trigger)</f>
        <v>42258</v>
      </c>
      <c r="M121" s="27" t="e">
        <f ca="1">_xll.qlRateHelperLatestDate($E121,Trigger)</f>
        <v>#NAME?</v>
      </c>
      <c r="P121" s="166"/>
    </row>
    <row r="122" spans="2:16" x14ac:dyDescent="0.2">
      <c r="B122" s="33" t="str">
        <f t="shared" si="8"/>
        <v>AB</v>
      </c>
      <c r="C122" s="32" t="str">
        <f t="shared" si="9"/>
        <v>3EBASIS</v>
      </c>
      <c r="D122" s="31" t="s">
        <v>32</v>
      </c>
      <c r="E122" s="31" t="str">
        <f>SwapsFromBasis!L21</f>
        <v>obj_00709#0004</v>
      </c>
      <c r="F122" s="31" t="str">
        <f>_xll.qlRateHelperQuoteName(E122)</f>
        <v>EURAB3EBASIS13Y_Quote</v>
      </c>
      <c r="G122" s="30" t="e">
        <f>_xll.qlRateHelperQuoteValue($E122,Trigger)</f>
        <v>#NUM!</v>
      </c>
      <c r="H122" s="30">
        <f>_xll.qlSwapRateHelperSpread($E122,Trigger)</f>
        <v>0</v>
      </c>
      <c r="I122" s="29" t="b">
        <v>0</v>
      </c>
      <c r="J122" s="29">
        <v>40</v>
      </c>
      <c r="K122" s="29">
        <v>1</v>
      </c>
      <c r="L122" s="28">
        <f>_xll.qlRateHelperEarliestDate($E122,Trigger)</f>
        <v>42258</v>
      </c>
      <c r="M122" s="27" t="e">
        <f ca="1">_xll.qlRateHelperLatestDate($E122,Trigger)</f>
        <v>#NAME?</v>
      </c>
      <c r="P122" s="166"/>
    </row>
    <row r="123" spans="2:16" x14ac:dyDescent="0.2">
      <c r="B123" s="33" t="str">
        <f t="shared" si="8"/>
        <v>AB</v>
      </c>
      <c r="C123" s="32" t="str">
        <f t="shared" si="9"/>
        <v>3EBASIS</v>
      </c>
      <c r="D123" s="31" t="s">
        <v>31</v>
      </c>
      <c r="E123" s="31" t="str">
        <f>SwapsFromBasis!L22</f>
        <v>obj_00718#0004</v>
      </c>
      <c r="F123" s="31" t="str">
        <f>_xll.qlRateHelperQuoteName(E123)</f>
        <v>EURAB3EBASIS14Y_Quote</v>
      </c>
      <c r="G123" s="30" t="e">
        <f>_xll.qlRateHelperQuoteValue($E123,Trigger)</f>
        <v>#NUM!</v>
      </c>
      <c r="H123" s="30">
        <f>_xll.qlSwapRateHelperSpread($E123,Trigger)</f>
        <v>0</v>
      </c>
      <c r="I123" s="29" t="b">
        <v>0</v>
      </c>
      <c r="J123" s="29">
        <v>40</v>
      </c>
      <c r="K123" s="29">
        <v>1</v>
      </c>
      <c r="L123" s="28">
        <f>_xll.qlRateHelperEarliestDate($E123,Trigger)</f>
        <v>42258</v>
      </c>
      <c r="M123" s="27" t="e">
        <f ca="1">_xll.qlRateHelperLatestDate($E123,Trigger)</f>
        <v>#NAME?</v>
      </c>
      <c r="P123" s="166"/>
    </row>
    <row r="124" spans="2:16" x14ac:dyDescent="0.2">
      <c r="B124" s="33" t="str">
        <f t="shared" si="8"/>
        <v>AB</v>
      </c>
      <c r="C124" s="32" t="str">
        <f t="shared" si="9"/>
        <v>3EBASIS</v>
      </c>
      <c r="D124" s="31" t="s">
        <v>30</v>
      </c>
      <c r="E124" s="31" t="str">
        <f>SwapsFromBasis!L23</f>
        <v>obj_00710#0004</v>
      </c>
      <c r="F124" s="31" t="str">
        <f>_xll.qlRateHelperQuoteName(E124)</f>
        <v>EURAB3EBASIS15Y_Quote</v>
      </c>
      <c r="G124" s="30">
        <f>_xll.qlRateHelperQuoteValue($E124,Trigger)</f>
        <v>1.3305000000000001E-2</v>
      </c>
      <c r="H124" s="30">
        <f>_xll.qlSwapRateHelperSpread($E124,Trigger)</f>
        <v>0</v>
      </c>
      <c r="I124" s="29" t="b">
        <v>0</v>
      </c>
      <c r="J124" s="29">
        <v>40</v>
      </c>
      <c r="K124" s="29">
        <v>1</v>
      </c>
      <c r="L124" s="28">
        <f>_xll.qlRateHelperEarliestDate($E124,Trigger)</f>
        <v>42258</v>
      </c>
      <c r="M124" s="27" t="e">
        <f ca="1">_xll.qlRateHelperLatestDate($E124,Trigger)</f>
        <v>#NAME?</v>
      </c>
      <c r="P124" s="166"/>
    </row>
    <row r="125" spans="2:16" x14ac:dyDescent="0.2">
      <c r="B125" s="33" t="str">
        <f t="shared" si="8"/>
        <v>AB</v>
      </c>
      <c r="C125" s="32" t="str">
        <f t="shared" si="9"/>
        <v>3EBASIS</v>
      </c>
      <c r="D125" s="31" t="s">
        <v>29</v>
      </c>
      <c r="E125" s="31" t="str">
        <f>SwapsFromBasis!L24</f>
        <v>obj_00715#0004</v>
      </c>
      <c r="F125" s="31" t="str">
        <f>_xll.qlRateHelperQuoteName(E125)</f>
        <v>EURAB3EBASIS16Y_Quote</v>
      </c>
      <c r="G125" s="30" t="e">
        <f>_xll.qlRateHelperQuoteValue($E125,Trigger)</f>
        <v>#NUM!</v>
      </c>
      <c r="H125" s="30">
        <f>_xll.qlSwapRateHelperSpread($E125,Trigger)</f>
        <v>0</v>
      </c>
      <c r="I125" s="29" t="b">
        <v>0</v>
      </c>
      <c r="J125" s="29">
        <v>40</v>
      </c>
      <c r="K125" s="29">
        <v>1</v>
      </c>
      <c r="L125" s="28">
        <f>_xll.qlRateHelperEarliestDate($E125,Trigger)</f>
        <v>42258</v>
      </c>
      <c r="M125" s="27" t="e">
        <f ca="1">_xll.qlRateHelperLatestDate($E125,Trigger)</f>
        <v>#NAME?</v>
      </c>
      <c r="P125" s="166"/>
    </row>
    <row r="126" spans="2:16" x14ac:dyDescent="0.2">
      <c r="B126" s="33" t="str">
        <f t="shared" si="8"/>
        <v>AB</v>
      </c>
      <c r="C126" s="32" t="str">
        <f t="shared" si="9"/>
        <v>3EBASIS</v>
      </c>
      <c r="D126" s="31" t="s">
        <v>28</v>
      </c>
      <c r="E126" s="31" t="str">
        <f>SwapsFromBasis!L25</f>
        <v>obj_0070c#0004</v>
      </c>
      <c r="F126" s="31" t="str">
        <f>_xll.qlRateHelperQuoteName(E126)</f>
        <v>EURAB3EBASIS17Y_Quote</v>
      </c>
      <c r="G126" s="30" t="e">
        <f>_xll.qlRateHelperQuoteValue($E126,Trigger)</f>
        <v>#NUM!</v>
      </c>
      <c r="H126" s="30">
        <f>_xll.qlSwapRateHelperSpread($E126,Trigger)</f>
        <v>0</v>
      </c>
      <c r="I126" s="29" t="b">
        <v>0</v>
      </c>
      <c r="J126" s="29">
        <v>40</v>
      </c>
      <c r="K126" s="29">
        <v>1</v>
      </c>
      <c r="L126" s="28">
        <f>_xll.qlRateHelperEarliestDate($E126,Trigger)</f>
        <v>42258</v>
      </c>
      <c r="M126" s="27" t="e">
        <f ca="1">_xll.qlRateHelperLatestDate($E126,Trigger)</f>
        <v>#NAME?</v>
      </c>
      <c r="P126" s="166"/>
    </row>
    <row r="127" spans="2:16" x14ac:dyDescent="0.2">
      <c r="B127" s="33" t="str">
        <f t="shared" si="8"/>
        <v>AB</v>
      </c>
      <c r="C127" s="32" t="str">
        <f t="shared" si="9"/>
        <v>3EBASIS</v>
      </c>
      <c r="D127" s="31" t="s">
        <v>27</v>
      </c>
      <c r="E127" s="31" t="str">
        <f>SwapsFromBasis!L26</f>
        <v>obj_00704#0004</v>
      </c>
      <c r="F127" s="31" t="str">
        <f>_xll.qlRateHelperQuoteName(E127)</f>
        <v>EURAB3EBASIS18Y_Quote</v>
      </c>
      <c r="G127" s="30" t="e">
        <f>_xll.qlRateHelperQuoteValue($E127,Trigger)</f>
        <v>#NUM!</v>
      </c>
      <c r="H127" s="30">
        <f>_xll.qlSwapRateHelperSpread($E127,Trigger)</f>
        <v>0</v>
      </c>
      <c r="I127" s="29" t="b">
        <v>0</v>
      </c>
      <c r="J127" s="29">
        <v>40</v>
      </c>
      <c r="K127" s="29">
        <v>1</v>
      </c>
      <c r="L127" s="28">
        <f>_xll.qlRateHelperEarliestDate($E127,Trigger)</f>
        <v>42258</v>
      </c>
      <c r="M127" s="27" t="e">
        <f ca="1">_xll.qlRateHelperLatestDate($E127,Trigger)</f>
        <v>#NAME?</v>
      </c>
      <c r="P127" s="166"/>
    </row>
    <row r="128" spans="2:16" x14ac:dyDescent="0.2">
      <c r="B128" s="33" t="str">
        <f t="shared" si="8"/>
        <v>AB</v>
      </c>
      <c r="C128" s="32" t="str">
        <f t="shared" si="9"/>
        <v>3EBASIS</v>
      </c>
      <c r="D128" s="31" t="s">
        <v>26</v>
      </c>
      <c r="E128" s="31" t="str">
        <f>SwapsFromBasis!L27</f>
        <v>obj_00722#0004</v>
      </c>
      <c r="F128" s="31" t="str">
        <f>_xll.qlRateHelperQuoteName(E128)</f>
        <v>EURAB3EBASIS19Y_Quote</v>
      </c>
      <c r="G128" s="30" t="e">
        <f>_xll.qlRateHelperQuoteValue($E128,Trigger)</f>
        <v>#NUM!</v>
      </c>
      <c r="H128" s="30">
        <f>_xll.qlSwapRateHelperSpread($E128,Trigger)</f>
        <v>0</v>
      </c>
      <c r="I128" s="29" t="b">
        <v>0</v>
      </c>
      <c r="J128" s="29">
        <v>40</v>
      </c>
      <c r="K128" s="29">
        <v>1</v>
      </c>
      <c r="L128" s="28">
        <f>_xll.qlRateHelperEarliestDate($E128,Trigger)</f>
        <v>42258</v>
      </c>
      <c r="M128" s="27" t="e">
        <f ca="1">_xll.qlRateHelperLatestDate($E128,Trigger)</f>
        <v>#NAME?</v>
      </c>
      <c r="P128" s="166"/>
    </row>
    <row r="129" spans="2:16" x14ac:dyDescent="0.2">
      <c r="B129" s="33" t="str">
        <f t="shared" si="8"/>
        <v>AB</v>
      </c>
      <c r="C129" s="32" t="str">
        <f t="shared" si="9"/>
        <v>3EBASIS</v>
      </c>
      <c r="D129" s="31" t="s">
        <v>25</v>
      </c>
      <c r="E129" s="31" t="str">
        <f>SwapsFromBasis!L28</f>
        <v>obj_00720#0004</v>
      </c>
      <c r="F129" s="31" t="str">
        <f>_xll.qlRateHelperQuoteName(E129)</f>
        <v>EURAB3EBASIS20Y_Quote</v>
      </c>
      <c r="G129" s="30">
        <f>_xll.qlRateHelperQuoteValue($E129,Trigger)</f>
        <v>1.491E-2</v>
      </c>
      <c r="H129" s="30">
        <f>_xll.qlSwapRateHelperSpread($E129,Trigger)</f>
        <v>0</v>
      </c>
      <c r="I129" s="29" t="b">
        <v>0</v>
      </c>
      <c r="J129" s="29">
        <v>40</v>
      </c>
      <c r="K129" s="29">
        <v>1</v>
      </c>
      <c r="L129" s="28">
        <f>_xll.qlRateHelperEarliestDate($E129,Trigger)</f>
        <v>42258</v>
      </c>
      <c r="M129" s="27" t="e">
        <f ca="1">_xll.qlRateHelperLatestDate($E129,Trigger)</f>
        <v>#NAME?</v>
      </c>
      <c r="P129" s="166"/>
    </row>
    <row r="130" spans="2:16" x14ac:dyDescent="0.2">
      <c r="B130" s="33" t="str">
        <f t="shared" si="8"/>
        <v>AB</v>
      </c>
      <c r="C130" s="32" t="str">
        <f t="shared" si="9"/>
        <v>3EBASIS</v>
      </c>
      <c r="D130" s="31" t="s">
        <v>24</v>
      </c>
      <c r="E130" s="31" t="str">
        <f>SwapsFromBasis!L29</f>
        <v>obj_0071e#0004</v>
      </c>
      <c r="F130" s="31" t="str">
        <f>_xll.qlRateHelperQuoteName(E130)</f>
        <v>EURAB3EBASIS21Y_Quote</v>
      </c>
      <c r="G130" s="30" t="e">
        <f>_xll.qlRateHelperQuoteValue($E130,Trigger)</f>
        <v>#NUM!</v>
      </c>
      <c r="H130" s="30">
        <f>_xll.qlSwapRateHelperSpread($E130,Trigger)</f>
        <v>0</v>
      </c>
      <c r="I130" s="29" t="b">
        <v>0</v>
      </c>
      <c r="J130" s="29">
        <v>40</v>
      </c>
      <c r="K130" s="29">
        <v>1</v>
      </c>
      <c r="L130" s="28">
        <f>_xll.qlRateHelperEarliestDate($E130,Trigger)</f>
        <v>42258</v>
      </c>
      <c r="M130" s="27" t="e">
        <f ca="1">_xll.qlRateHelperLatestDate($E130,Trigger)</f>
        <v>#NAME?</v>
      </c>
      <c r="P130" s="166"/>
    </row>
    <row r="131" spans="2:16" x14ac:dyDescent="0.2">
      <c r="B131" s="33" t="str">
        <f t="shared" si="8"/>
        <v>AB</v>
      </c>
      <c r="C131" s="32" t="str">
        <f t="shared" si="9"/>
        <v>3EBASIS</v>
      </c>
      <c r="D131" s="31" t="s">
        <v>23</v>
      </c>
      <c r="E131" s="31" t="str">
        <f>SwapsFromBasis!L30</f>
        <v>obj_00711#0004</v>
      </c>
      <c r="F131" s="31" t="str">
        <f>_xll.qlRateHelperQuoteName(E131)</f>
        <v>EURAB3EBASIS22Y_Quote</v>
      </c>
      <c r="G131" s="30" t="e">
        <f>_xll.qlRateHelperQuoteValue($E131,Trigger)</f>
        <v>#NUM!</v>
      </c>
      <c r="H131" s="30">
        <f>_xll.qlSwapRateHelperSpread($E131,Trigger)</f>
        <v>0</v>
      </c>
      <c r="I131" s="29" t="b">
        <v>0</v>
      </c>
      <c r="J131" s="29">
        <v>40</v>
      </c>
      <c r="K131" s="29">
        <v>1</v>
      </c>
      <c r="L131" s="28">
        <f>_xll.qlRateHelperEarliestDate($E131,Trigger)</f>
        <v>42258</v>
      </c>
      <c r="M131" s="27" t="e">
        <f ca="1">_xll.qlRateHelperLatestDate($E131,Trigger)</f>
        <v>#NAME?</v>
      </c>
      <c r="P131" s="166"/>
    </row>
    <row r="132" spans="2:16" x14ac:dyDescent="0.2">
      <c r="B132" s="33" t="str">
        <f t="shared" si="8"/>
        <v>AB</v>
      </c>
      <c r="C132" s="32" t="str">
        <f t="shared" si="9"/>
        <v>3EBASIS</v>
      </c>
      <c r="D132" s="31" t="s">
        <v>22</v>
      </c>
      <c r="E132" s="31" t="str">
        <f>SwapsFromBasis!L31</f>
        <v>obj_00707#0004</v>
      </c>
      <c r="F132" s="31" t="str">
        <f>_xll.qlRateHelperQuoteName(E132)</f>
        <v>EURAB3EBASIS23Y_Quote</v>
      </c>
      <c r="G132" s="30" t="e">
        <f>_xll.qlRateHelperQuoteValue($E132,Trigger)</f>
        <v>#NUM!</v>
      </c>
      <c r="H132" s="30">
        <f>_xll.qlSwapRateHelperSpread($E132,Trigger)</f>
        <v>0</v>
      </c>
      <c r="I132" s="29" t="b">
        <v>0</v>
      </c>
      <c r="J132" s="29">
        <v>40</v>
      </c>
      <c r="K132" s="29">
        <v>1</v>
      </c>
      <c r="L132" s="28">
        <f>_xll.qlRateHelperEarliestDate($E132,Trigger)</f>
        <v>42258</v>
      </c>
      <c r="M132" s="27" t="e">
        <f ca="1">_xll.qlRateHelperLatestDate($E132,Trigger)</f>
        <v>#NAME?</v>
      </c>
      <c r="P132" s="166"/>
    </row>
    <row r="133" spans="2:16" x14ac:dyDescent="0.2">
      <c r="B133" s="33" t="str">
        <f t="shared" si="8"/>
        <v>AB</v>
      </c>
      <c r="C133" s="32" t="str">
        <f t="shared" si="9"/>
        <v>3EBASIS</v>
      </c>
      <c r="D133" s="31" t="s">
        <v>21</v>
      </c>
      <c r="E133" s="31" t="str">
        <f>SwapsFromBasis!L32</f>
        <v>obj_00714#0004</v>
      </c>
      <c r="F133" s="31" t="str">
        <f>_xll.qlRateHelperQuoteName(E133)</f>
        <v>EURAB3EBASIS24Y_Quote</v>
      </c>
      <c r="G133" s="30" t="e">
        <f>_xll.qlRateHelperQuoteValue($E133,Trigger)</f>
        <v>#NUM!</v>
      </c>
      <c r="H133" s="30">
        <f>_xll.qlSwapRateHelperSpread($E133,Trigger)</f>
        <v>0</v>
      </c>
      <c r="I133" s="29" t="b">
        <v>0</v>
      </c>
      <c r="J133" s="29">
        <v>40</v>
      </c>
      <c r="K133" s="29">
        <v>1</v>
      </c>
      <c r="L133" s="28">
        <f>_xll.qlRateHelperEarliestDate($E133,Trigger)</f>
        <v>42258</v>
      </c>
      <c r="M133" s="27" t="e">
        <f ca="1">_xll.qlRateHelperLatestDate($E133,Trigger)</f>
        <v>#NAME?</v>
      </c>
      <c r="P133" s="166"/>
    </row>
    <row r="134" spans="2:16" x14ac:dyDescent="0.2">
      <c r="B134" s="33" t="str">
        <f t="shared" ref="B134:B143" si="10">SwapFixedFreq</f>
        <v>AB</v>
      </c>
      <c r="C134" s="32" t="str">
        <f t="shared" si="9"/>
        <v>3EBASIS</v>
      </c>
      <c r="D134" s="31" t="s">
        <v>20</v>
      </c>
      <c r="E134" s="31" t="str">
        <f>SwapsFromBasis!L33</f>
        <v>obj_0070b#0004</v>
      </c>
      <c r="F134" s="31" t="str">
        <f>_xll.qlRateHelperQuoteName(E134)</f>
        <v>EURAB3EBASIS25Y_Quote</v>
      </c>
      <c r="G134" s="30">
        <f>_xll.qlRateHelperQuoteValue($E134,Trigger)</f>
        <v>1.5349999999999999E-2</v>
      </c>
      <c r="H134" s="30">
        <f>_xll.qlSwapRateHelperSpread($E134,Trigger)</f>
        <v>0</v>
      </c>
      <c r="I134" s="29" t="b">
        <v>0</v>
      </c>
      <c r="J134" s="29">
        <v>40</v>
      </c>
      <c r="K134" s="29">
        <v>1</v>
      </c>
      <c r="L134" s="28">
        <f>_xll.qlRateHelperEarliestDate($E134,Trigger)</f>
        <v>42258</v>
      </c>
      <c r="M134" s="27" t="e">
        <f ca="1">_xll.qlRateHelperLatestDate($E134,Trigger)</f>
        <v>#NAME?</v>
      </c>
      <c r="P134" s="166"/>
    </row>
    <row r="135" spans="2:16" x14ac:dyDescent="0.2">
      <c r="B135" s="33" t="str">
        <f t="shared" si="10"/>
        <v>AB</v>
      </c>
      <c r="C135" s="32" t="str">
        <f t="shared" si="9"/>
        <v>3EBASIS</v>
      </c>
      <c r="D135" s="31" t="s">
        <v>19</v>
      </c>
      <c r="E135" s="31" t="str">
        <f>SwapsFromBasis!L34</f>
        <v>obj_00703#0004</v>
      </c>
      <c r="F135" s="31" t="str">
        <f>_xll.qlRateHelperQuoteName(E135)</f>
        <v>EURAB3EBASIS26Y_Quote</v>
      </c>
      <c r="G135" s="30" t="e">
        <f>_xll.qlRateHelperQuoteValue($E135,Trigger)</f>
        <v>#NUM!</v>
      </c>
      <c r="H135" s="30">
        <f>_xll.qlSwapRateHelperSpread($E135,Trigger)</f>
        <v>0</v>
      </c>
      <c r="I135" s="29" t="b">
        <v>0</v>
      </c>
      <c r="J135" s="29">
        <v>40</v>
      </c>
      <c r="K135" s="29">
        <v>1</v>
      </c>
      <c r="L135" s="28">
        <f>_xll.qlRateHelperEarliestDate($E135,Trigger)</f>
        <v>42258</v>
      </c>
      <c r="M135" s="27" t="e">
        <f ca="1">_xll.qlRateHelperLatestDate($E135,Trigger)</f>
        <v>#NAME?</v>
      </c>
      <c r="P135" s="166"/>
    </row>
    <row r="136" spans="2:16" x14ac:dyDescent="0.2">
      <c r="B136" s="33" t="str">
        <f t="shared" si="10"/>
        <v>AB</v>
      </c>
      <c r="C136" s="32" t="str">
        <f t="shared" si="9"/>
        <v>3EBASIS</v>
      </c>
      <c r="D136" s="31" t="s">
        <v>18</v>
      </c>
      <c r="E136" s="31" t="str">
        <f>SwapsFromBasis!L35</f>
        <v>obj_00721#0004</v>
      </c>
      <c r="F136" s="31" t="str">
        <f>_xll.qlRateHelperQuoteName(E136)</f>
        <v>EURAB3EBASIS27Y_Quote</v>
      </c>
      <c r="G136" s="30" t="e">
        <f>_xll.qlRateHelperQuoteValue($E136,Trigger)</f>
        <v>#NUM!</v>
      </c>
      <c r="H136" s="30">
        <f>_xll.qlSwapRateHelperSpread($E136,Trigger)</f>
        <v>0</v>
      </c>
      <c r="I136" s="29" t="b">
        <v>0</v>
      </c>
      <c r="J136" s="29">
        <v>40</v>
      </c>
      <c r="K136" s="29">
        <v>1</v>
      </c>
      <c r="L136" s="28">
        <f>_xll.qlRateHelperEarliestDate($E136,Trigger)</f>
        <v>42258</v>
      </c>
      <c r="M136" s="27" t="e">
        <f ca="1">_xll.qlRateHelperLatestDate($E136,Trigger)</f>
        <v>#NAME?</v>
      </c>
      <c r="P136" s="166"/>
    </row>
    <row r="137" spans="2:16" x14ac:dyDescent="0.2">
      <c r="B137" s="33" t="str">
        <f t="shared" si="10"/>
        <v>AB</v>
      </c>
      <c r="C137" s="32" t="str">
        <f t="shared" si="9"/>
        <v>3EBASIS</v>
      </c>
      <c r="D137" s="31" t="s">
        <v>17</v>
      </c>
      <c r="E137" s="31" t="str">
        <f>SwapsFromBasis!L36</f>
        <v>obj_0071f#0004</v>
      </c>
      <c r="F137" s="31" t="str">
        <f>_xll.qlRateHelperQuoteName(E137)</f>
        <v>EURAB3EBASIS28Y_Quote</v>
      </c>
      <c r="G137" s="30" t="e">
        <f>_xll.qlRateHelperQuoteValue($E137,Trigger)</f>
        <v>#NUM!</v>
      </c>
      <c r="H137" s="30">
        <f>_xll.qlSwapRateHelperSpread($E137,Trigger)</f>
        <v>0</v>
      </c>
      <c r="I137" s="29" t="b">
        <v>0</v>
      </c>
      <c r="J137" s="29">
        <v>40</v>
      </c>
      <c r="K137" s="29">
        <v>1</v>
      </c>
      <c r="L137" s="28">
        <f>_xll.qlRateHelperEarliestDate($E137,Trigger)</f>
        <v>42258</v>
      </c>
      <c r="M137" s="27" t="e">
        <f ca="1">_xll.qlRateHelperLatestDate($E137,Trigger)</f>
        <v>#NAME?</v>
      </c>
      <c r="P137" s="166"/>
    </row>
    <row r="138" spans="2:16" x14ac:dyDescent="0.2">
      <c r="B138" s="33" t="str">
        <f t="shared" si="10"/>
        <v>AB</v>
      </c>
      <c r="C138" s="32" t="str">
        <f t="shared" si="9"/>
        <v>3EBASIS</v>
      </c>
      <c r="D138" s="31" t="s">
        <v>16</v>
      </c>
      <c r="E138" s="31" t="str">
        <f>SwapsFromBasis!L37</f>
        <v>obj_0071d#0004</v>
      </c>
      <c r="F138" s="31" t="str">
        <f>_xll.qlRateHelperQuoteName(E138)</f>
        <v>EURAB3EBASIS29Y_Quote</v>
      </c>
      <c r="G138" s="30" t="e">
        <f>_xll.qlRateHelperQuoteValue($E138,Trigger)</f>
        <v>#NUM!</v>
      </c>
      <c r="H138" s="30">
        <f>_xll.qlSwapRateHelperSpread($E138,Trigger)</f>
        <v>0</v>
      </c>
      <c r="I138" s="29" t="b">
        <v>0</v>
      </c>
      <c r="J138" s="29">
        <v>40</v>
      </c>
      <c r="K138" s="29">
        <v>1</v>
      </c>
      <c r="L138" s="28">
        <f>_xll.qlRateHelperEarliestDate($E138,Trigger)</f>
        <v>42258</v>
      </c>
      <c r="M138" s="27" t="e">
        <f ca="1">_xll.qlRateHelperLatestDate($E138,Trigger)</f>
        <v>#NAME?</v>
      </c>
      <c r="P138" s="166"/>
    </row>
    <row r="139" spans="2:16" x14ac:dyDescent="0.2">
      <c r="B139" s="33" t="str">
        <f t="shared" si="10"/>
        <v>AB</v>
      </c>
      <c r="C139" s="32" t="str">
        <f t="shared" si="9"/>
        <v>3EBASIS</v>
      </c>
      <c r="D139" s="31" t="s">
        <v>15</v>
      </c>
      <c r="E139" s="31" t="str">
        <f>SwapsFromBasis!L38</f>
        <v>obj_0071b#0004</v>
      </c>
      <c r="F139" s="31" t="str">
        <f>_xll.qlRateHelperQuoteName(E139)</f>
        <v>EURAB3EBASIS30Y_Quote</v>
      </c>
      <c r="G139" s="30">
        <f>_xll.qlRateHelperQuoteValue($E139,Trigger)</f>
        <v>1.5514999999999998E-2</v>
      </c>
      <c r="H139" s="30">
        <f>_xll.qlSwapRateHelperSpread($E139,Trigger)</f>
        <v>0</v>
      </c>
      <c r="I139" s="29" t="b">
        <v>0</v>
      </c>
      <c r="J139" s="29">
        <v>40</v>
      </c>
      <c r="K139" s="29">
        <v>1</v>
      </c>
      <c r="L139" s="28">
        <f>_xll.qlRateHelperEarliestDate($E139,Trigger)</f>
        <v>42258</v>
      </c>
      <c r="M139" s="27" t="e">
        <f ca="1">_xll.qlRateHelperLatestDate($E139,Trigger)</f>
        <v>#NAME?</v>
      </c>
      <c r="P139" s="166"/>
    </row>
    <row r="140" spans="2:16" x14ac:dyDescent="0.2">
      <c r="B140" s="33" t="str">
        <f t="shared" si="10"/>
        <v>AB</v>
      </c>
      <c r="C140" s="32" t="str">
        <f t="shared" si="9"/>
        <v>3EBASIS</v>
      </c>
      <c r="D140" s="31" t="s">
        <v>14</v>
      </c>
      <c r="E140" s="31" t="str">
        <f>SwapsFromBasis!L39</f>
        <v>obj_0071a#0004</v>
      </c>
      <c r="F140" s="31" t="str">
        <f>_xll.qlRateHelperQuoteName(E140)</f>
        <v>EURAB3EBASIS35Y_Quote</v>
      </c>
      <c r="G140" s="30" t="e">
        <f>_xll.qlRateHelperQuoteValue($E140,Trigger)</f>
        <v>#NUM!</v>
      </c>
      <c r="H140" s="30">
        <f>_xll.qlSwapRateHelperSpread($E140,Trigger)</f>
        <v>0</v>
      </c>
      <c r="I140" s="29" t="b">
        <v>0</v>
      </c>
      <c r="J140" s="29">
        <v>40</v>
      </c>
      <c r="K140" s="29">
        <v>1</v>
      </c>
      <c r="L140" s="28">
        <f>_xll.qlRateHelperEarliestDate($E140,Trigger)</f>
        <v>42258</v>
      </c>
      <c r="M140" s="27" t="e">
        <f ca="1">_xll.qlRateHelperLatestDate($E140,Trigger)</f>
        <v>#NAME?</v>
      </c>
      <c r="P140" s="166"/>
    </row>
    <row r="141" spans="2:16" x14ac:dyDescent="0.2">
      <c r="B141" s="33" t="str">
        <f t="shared" si="10"/>
        <v>AB</v>
      </c>
      <c r="C141" s="32" t="str">
        <f t="shared" si="9"/>
        <v>3EBASIS</v>
      </c>
      <c r="D141" s="31" t="s">
        <v>13</v>
      </c>
      <c r="E141" s="31" t="str">
        <f>SwapsFromBasis!L40</f>
        <v>obj_00713#0004</v>
      </c>
      <c r="F141" s="31" t="str">
        <f>_xll.qlRateHelperQuoteName(E141)</f>
        <v>EURAB3EBASIS40Y_Quote</v>
      </c>
      <c r="G141" s="30">
        <f>_xll.qlRateHelperQuoteValue($E141,Trigger)</f>
        <v>1.5730000000000001E-2</v>
      </c>
      <c r="H141" s="30">
        <f>_xll.qlSwapRateHelperSpread($E141,Trigger)</f>
        <v>0</v>
      </c>
      <c r="I141" s="29" t="b">
        <v>0</v>
      </c>
      <c r="J141" s="29">
        <v>40</v>
      </c>
      <c r="K141" s="29">
        <v>1</v>
      </c>
      <c r="L141" s="28">
        <f>_xll.qlRateHelperEarliestDate($E141,Trigger)</f>
        <v>42258</v>
      </c>
      <c r="M141" s="27" t="e">
        <f ca="1">_xll.qlRateHelperLatestDate($E141,Trigger)</f>
        <v>#NAME?</v>
      </c>
      <c r="P141" s="166"/>
    </row>
    <row r="142" spans="2:16" x14ac:dyDescent="0.2">
      <c r="B142" s="33" t="str">
        <f t="shared" si="10"/>
        <v>AB</v>
      </c>
      <c r="C142" s="32" t="str">
        <f t="shared" si="9"/>
        <v>3EBASIS</v>
      </c>
      <c r="D142" s="31" t="s">
        <v>12</v>
      </c>
      <c r="E142" s="31" t="str">
        <f>SwapsFromBasis!L41</f>
        <v>obj_0070a#0004</v>
      </c>
      <c r="F142" s="31" t="str">
        <f>_xll.qlRateHelperQuoteName(E142)</f>
        <v>EURAB3EBASIS50Y_Quote</v>
      </c>
      <c r="G142" s="30">
        <f>_xll.qlRateHelperQuoteValue($E142,Trigger)</f>
        <v>1.541E-2</v>
      </c>
      <c r="H142" s="30">
        <f>_xll.qlSwapRateHelperSpread($E142,Trigger)</f>
        <v>0</v>
      </c>
      <c r="I142" s="29" t="b">
        <v>0</v>
      </c>
      <c r="J142" s="29">
        <v>40</v>
      </c>
      <c r="K142" s="29">
        <v>1</v>
      </c>
      <c r="L142" s="28">
        <f>_xll.qlRateHelperEarliestDate($E142,Trigger)</f>
        <v>42258</v>
      </c>
      <c r="M142" s="27" t="e">
        <f ca="1">_xll.qlRateHelperLatestDate($E142,Trigger)</f>
        <v>#NAME?</v>
      </c>
      <c r="P142" s="166"/>
    </row>
    <row r="143" spans="2:16" x14ac:dyDescent="0.2">
      <c r="B143" s="26" t="str">
        <f t="shared" si="10"/>
        <v>AB</v>
      </c>
      <c r="C143" s="25" t="str">
        <f t="shared" si="9"/>
        <v>3EBASIS</v>
      </c>
      <c r="D143" s="24" t="s">
        <v>11</v>
      </c>
      <c r="E143" s="31" t="str">
        <f>SwapsFromBasis!L42</f>
        <v>obj_00702#0004</v>
      </c>
      <c r="F143" s="31" t="str">
        <f>_xll.qlRateHelperQuoteName(E143)</f>
        <v>EURAB3EBASIS60Y_Quote</v>
      </c>
      <c r="G143" s="30">
        <f>_xll.qlRateHelperQuoteValue($E143,Trigger)</f>
        <v>1.5290000000000002E-2</v>
      </c>
      <c r="H143" s="30">
        <f>_xll.qlSwapRateHelperSpread($E143,Trigger)</f>
        <v>0</v>
      </c>
      <c r="I143" s="29" t="b">
        <v>0</v>
      </c>
      <c r="J143" s="29">
        <v>40</v>
      </c>
      <c r="K143" s="29">
        <v>1</v>
      </c>
      <c r="L143" s="28">
        <f>_xll.qlRateHelperEarliestDate($E143,Trigger)</f>
        <v>42258</v>
      </c>
      <c r="M143" s="27" t="e">
        <f ca="1">_xll.qlRateHelperLatestDate($E143,Trigger)</f>
        <v>#NAME?</v>
      </c>
      <c r="P143" s="166"/>
    </row>
    <row r="144" spans="2:16" x14ac:dyDescent="0.2">
      <c r="E144" s="106"/>
      <c r="F144" s="106"/>
      <c r="G144" s="106"/>
      <c r="H144" s="106"/>
      <c r="I144" s="106"/>
      <c r="J144" s="106"/>
      <c r="K144" s="106"/>
      <c r="L144" s="106"/>
      <c r="M144" s="106"/>
      <c r="O144" s="16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32" t="s">
        <v>10</v>
      </c>
      <c r="B1" s="333"/>
      <c r="D1" s="183" t="s">
        <v>9</v>
      </c>
      <c r="E1" s="19" t="s">
        <v>177</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obj_005c4</v>
      </c>
      <c r="E2" s="11" t="str">
        <f>_xll.qlRateHelperQuoteName(D2)</f>
        <v>EUR1MD_SYNTH3M_Quote</v>
      </c>
      <c r="F2" s="10">
        <f>_xll.qlRateHelperRate($D2)</f>
        <v>-3.57E-4</v>
      </c>
      <c r="G2" s="10" t="str">
        <f>IF(ISERROR(_xll.qlSwapRateHelperSpread($D2)),IF(ISERROR(_xll.qlFuturesRateHelperConvexityAdjustment($D2)),"--",_xll.qlFuturesRateHelperConvexityAdjustment($D2)),_xll.qlSwapRateHelperSpread($D2))</f>
        <v>--</v>
      </c>
      <c r="H2" s="9">
        <f>_xll.qlRateHelperEarliestDate($D2)</f>
        <v>42258</v>
      </c>
      <c r="I2" s="8">
        <f>_xll.qlRateHelperPillarDate($D2)</f>
        <v>42289</v>
      </c>
      <c r="J2" s="3">
        <v>1.0000323426634941</v>
      </c>
      <c r="L2" s="3"/>
    </row>
    <row r="3" spans="1:12" x14ac:dyDescent="0.2">
      <c r="A3" s="12" t="s">
        <v>4</v>
      </c>
      <c r="B3" s="14">
        <v>0</v>
      </c>
      <c r="D3" s="11" t="str">
        <v>obj_005c1</v>
      </c>
      <c r="E3" s="11" t="str">
        <f>_xll.qlRateHelperQuoteName(D3)</f>
        <v>EUR2MD_SYNTH3M_Quote</v>
      </c>
      <c r="F3" s="10">
        <f>_xll.qlRateHelperRate($D3)</f>
        <v>-3.4600000000000001E-4</v>
      </c>
      <c r="G3" s="10" t="str">
        <f>IF(ISERROR(_xll.qlSwapRateHelperSpread($D3)),IF(ISERROR(_xll.qlFuturesRateHelperConvexityAdjustment($D3)),"--",_xll.qlFuturesRateHelperConvexityAdjustment($D3)),_xll.qlSwapRateHelperSpread($D3))</f>
        <v>--</v>
      </c>
      <c r="H3" s="9">
        <f>_xll.qlRateHelperEarliestDate($D3)</f>
        <v>42258</v>
      </c>
      <c r="I3" s="8">
        <f>_xll.qlRateHelperPillarDate($D3)</f>
        <v>42319</v>
      </c>
      <c r="J3" s="3">
        <v>1.0000668317526553</v>
      </c>
      <c r="L3" s="3"/>
    </row>
    <row r="4" spans="1:12" x14ac:dyDescent="0.2">
      <c r="A4" s="12" t="s">
        <v>3</v>
      </c>
      <c r="B4" s="14">
        <v>4</v>
      </c>
      <c r="D4" s="11" t="str">
        <v>obj_005c2</v>
      </c>
      <c r="E4" s="11" t="str">
        <f>_xll.qlRateHelperQuoteName(D4)</f>
        <v>EUR3MD_SYNTH3M_Quote</v>
      </c>
      <c r="F4" s="10">
        <f>_xll.qlRateHelperRate($D4)</f>
        <v>-3.6699999999999998E-4</v>
      </c>
      <c r="G4" s="10" t="str">
        <f>IF(ISERROR(_xll.qlSwapRateHelperSpread($D4)),IF(ISERROR(_xll.qlFuturesRateHelperConvexityAdjustment($D4)),"--",_xll.qlFuturesRateHelperConvexityAdjustment($D4)),_xll.qlSwapRateHelperSpread($D4))</f>
        <v>--</v>
      </c>
      <c r="H4" s="9">
        <f>_xll.qlRateHelperEarliestDate($D4)</f>
        <v>42258</v>
      </c>
      <c r="I4" s="8">
        <f>_xll.qlRateHelperPillarDate($D4)</f>
        <v>42349</v>
      </c>
      <c r="J4" s="3">
        <v>1.0001066794769513</v>
      </c>
      <c r="L4" s="3"/>
    </row>
    <row r="5" spans="1:12" x14ac:dyDescent="0.2">
      <c r="A5" s="12" t="s">
        <v>2</v>
      </c>
      <c r="B5" s="13" t="s">
        <v>1</v>
      </c>
      <c r="D5" s="11" t="str">
        <v>obj_005bc</v>
      </c>
      <c r="E5" s="11" t="str">
        <f>_xll.qlRateHelperQuoteName(D5)</f>
        <v>EURFUT3MU5_Quote</v>
      </c>
      <c r="F5" s="10">
        <f>_xll.qlRateHelperRate($D5)</f>
        <v>-3.7500000000001421E-4</v>
      </c>
      <c r="G5" s="10">
        <f>IF(ISERROR(_xll.qlSwapRateHelperSpread($D5)),IF(ISERROR(_xll.qlFuturesRateHelperConvexityAdjustment($D5)),"--",_xll.qlFuturesRateHelperConvexityAdjustment($D5)),_xll.qlSwapRateHelperSpread($D5))</f>
        <v>0</v>
      </c>
      <c r="H5" s="9">
        <f>_xll.qlRateHelperEarliestDate($D5)</f>
        <v>42263</v>
      </c>
      <c r="I5" s="8">
        <f>_xll.qlRateHelperPillarDate($D5)</f>
        <v>42354</v>
      </c>
      <c r="J5" s="3">
        <v>1.0001138274248187</v>
      </c>
      <c r="L5" s="3"/>
    </row>
    <row r="6" spans="1:12" x14ac:dyDescent="0.2">
      <c r="D6" s="11" t="str">
        <v>obj_005b0</v>
      </c>
      <c r="E6" s="11" t="str">
        <f>_xll.qlRateHelperQuoteName(D6)</f>
        <v>EURFUT3MZ5_Quote</v>
      </c>
      <c r="F6" s="10">
        <f>_xll.qlRateHelperRate($D6)</f>
        <v>-3.7500000000001421E-4</v>
      </c>
      <c r="G6" s="10">
        <f>IF(ISERROR(_xll.qlSwapRateHelperSpread($D6)),IF(ISERROR(_xll.qlFuturesRateHelperConvexityAdjustment($D6)),"--",_xll.qlFuturesRateHelperConvexityAdjustment($D6)),_xll.qlSwapRateHelperSpread($D6))</f>
        <v>0</v>
      </c>
      <c r="H6" s="9">
        <f>_xll.qlRateHelperEarliestDate($D6)</f>
        <v>42354</v>
      </c>
      <c r="I6" s="8">
        <f>_xll.qlRateHelperPillarDate($D6)</f>
        <v>42445</v>
      </c>
      <c r="J6" s="3">
        <v>1.0002277431604525</v>
      </c>
      <c r="L6" s="3"/>
    </row>
    <row r="7" spans="1:12" x14ac:dyDescent="0.2">
      <c r="D7" s="11" t="str">
        <v>obj_00598</v>
      </c>
      <c r="E7" s="11" t="str">
        <f>_xll.qlRateHelperQuoteName(D7)</f>
        <v>EURFUT3MH6_Quote</v>
      </c>
      <c r="F7" s="10">
        <f>_xll.qlRateHelperRate($D7)</f>
        <v>-3.7500000000001421E-4</v>
      </c>
      <c r="G7" s="10">
        <f>IF(ISERROR(_xll.qlSwapRateHelperSpread($D7)),IF(ISERROR(_xll.qlFuturesRateHelperConvexityAdjustment($D7)),"--",_xll.qlFuturesRateHelperConvexityAdjustment($D7)),_xll.qlSwapRateHelperSpread($D7))</f>
        <v>0</v>
      </c>
      <c r="H7" s="9">
        <f>_xll.qlRateHelperEarliestDate($D7)</f>
        <v>42445</v>
      </c>
      <c r="I7" s="8">
        <f>_xll.qlRateHelperPillarDate($D7)</f>
        <v>42537</v>
      </c>
      <c r="J7" s="3">
        <v>1.0003384124728623</v>
      </c>
      <c r="L7" s="3"/>
    </row>
    <row r="8" spans="1:12" x14ac:dyDescent="0.2">
      <c r="D8" s="11" t="str">
        <v>obj_005a2</v>
      </c>
      <c r="E8" s="11" t="str">
        <f>_xll.qlRateHelperQuoteName(D8)</f>
        <v>EURFUT3MM6_Quote</v>
      </c>
      <c r="F8" s="10">
        <f>_xll.qlRateHelperRate($D8)</f>
        <v>-3.249999999999087E-4</v>
      </c>
      <c r="G8" s="10">
        <f>IF(ISERROR(_xll.qlSwapRateHelperSpread($D8)),IF(ISERROR(_xll.qlFuturesRateHelperConvexityAdjustment($D8)),"--",_xll.qlFuturesRateHelperConvexityAdjustment($D8)),_xll.qlSwapRateHelperSpread($D8))</f>
        <v>0</v>
      </c>
      <c r="H8" s="9">
        <f>_xll.qlRateHelperEarliestDate($D8)</f>
        <v>42536</v>
      </c>
      <c r="I8" s="8">
        <f>_xll.qlRateHelperPillarDate($D8)</f>
        <v>42628</v>
      </c>
      <c r="J8" s="3">
        <v>1.0004430517987695</v>
      </c>
      <c r="L8" s="3"/>
    </row>
    <row r="9" spans="1:12" x14ac:dyDescent="0.2">
      <c r="D9" s="11" t="str">
        <v>obj_0059f</v>
      </c>
      <c r="E9" s="11" t="str">
        <f>_xll.qlRateHelperQuoteName(D9)</f>
        <v>EURFUT3MU6_Quote</v>
      </c>
      <c r="F9" s="10">
        <f>_xll.qlRateHelperRate($D9)</f>
        <v>-1.7500000000003624E-4</v>
      </c>
      <c r="G9" s="10">
        <f>IF(ISERROR(_xll.qlSwapRateHelperSpread($D9)),IF(ISERROR(_xll.qlFuturesRateHelperConvexityAdjustment($D9)),"--",_xll.qlFuturesRateHelperConvexityAdjustment($D9)),_xll.qlSwapRateHelperSpread($D9))</f>
        <v>0</v>
      </c>
      <c r="H9" s="9">
        <f>_xll.qlRateHelperEarliestDate($D9)</f>
        <v>42634</v>
      </c>
      <c r="I9" s="8">
        <f>_xll.qlRateHelperPillarDate($D9)</f>
        <v>42725</v>
      </c>
      <c r="J9" s="3">
        <v>1.0004921670754217</v>
      </c>
      <c r="L9" s="3"/>
    </row>
    <row r="10" spans="1:12" x14ac:dyDescent="0.2">
      <c r="D10" s="11" t="str">
        <v>obj_005b1</v>
      </c>
      <c r="E10" s="11" t="str">
        <f>_xll.qlRateHelperQuoteName(D10)</f>
        <v>EURFUT3MZ6_Quote</v>
      </c>
      <c r="F10" s="10">
        <f>_xll.qlRateHelperRate($D10)</f>
        <v>2.4999999999941735E-5</v>
      </c>
      <c r="G10" s="10">
        <f>IF(ISERROR(_xll.qlSwapRateHelperSpread($D10)),IF(ISERROR(_xll.qlFuturesRateHelperConvexityAdjustment($D10)),"--",_xll.qlFuturesRateHelperConvexityAdjustment($D10)),_xll.qlSwapRateHelperSpread($D10))</f>
        <v>0</v>
      </c>
      <c r="H10" s="9">
        <f>_xll.qlRateHelperEarliestDate($D10)</f>
        <v>42725</v>
      </c>
      <c r="I10" s="8">
        <f>_xll.qlRateHelperPillarDate($D10)</f>
        <v>42815</v>
      </c>
      <c r="J10" s="3">
        <v>1.0005065244728633</v>
      </c>
      <c r="L10" s="3"/>
    </row>
    <row r="11" spans="1:12" x14ac:dyDescent="0.2">
      <c r="D11" s="11" t="str">
        <v>obj_0059c</v>
      </c>
      <c r="E11" s="11" t="str">
        <f>_xll.qlRateHelperQuoteName(D11)</f>
        <v>EURFUT3MH7_Quote</v>
      </c>
      <c r="F11" s="10">
        <f>_xll.qlRateHelperRate($D11)</f>
        <v>3.2500000000001972E-4</v>
      </c>
      <c r="G11" s="10">
        <f>IF(ISERROR(_xll.qlSwapRateHelperSpread($D11)),IF(ISERROR(_xll.qlFuturesRateHelperConvexityAdjustment($D11)),"--",_xll.qlFuturesRateHelperConvexityAdjustment($D11)),_xll.qlSwapRateHelperSpread($D11))</f>
        <v>0</v>
      </c>
      <c r="H11" s="9">
        <f>_xll.qlRateHelperEarliestDate($D11)</f>
        <v>42809</v>
      </c>
      <c r="I11" s="8">
        <f>_xll.qlRateHelperPillarDate($D11)</f>
        <v>42901</v>
      </c>
      <c r="J11" s="3">
        <v>1.0004250992515187</v>
      </c>
      <c r="L11" s="3"/>
    </row>
    <row r="12" spans="1:12" x14ac:dyDescent="0.2">
      <c r="D12" s="11" t="str">
        <v>obj_005a0</v>
      </c>
      <c r="E12" s="11" t="str">
        <f>_xll.qlRateHelperQuoteName(D12)</f>
        <v>EURFUT3MM7_Quote</v>
      </c>
      <c r="F12" s="10">
        <f>_xll.qlRateHelperRate($D12)</f>
        <v>7.2499999999986464E-4</v>
      </c>
      <c r="G12" s="10">
        <f>IF(ISERROR(_xll.qlSwapRateHelperSpread($D12)),IF(ISERROR(_xll.qlFuturesRateHelperConvexityAdjustment($D12)),"--",_xll.qlFuturesRateHelperConvexityAdjustment($D12)),_xll.qlSwapRateHelperSpread($D12))</f>
        <v>0</v>
      </c>
      <c r="H12" s="9">
        <f>_xll.qlRateHelperEarliestDate($D12)</f>
        <v>42907</v>
      </c>
      <c r="I12" s="8">
        <f>_xll.qlRateHelperPillarDate($D12)</f>
        <v>42999</v>
      </c>
      <c r="J12" s="3">
        <v>1.0002308534288713</v>
      </c>
      <c r="L12" s="3"/>
    </row>
    <row r="13" spans="1:12" x14ac:dyDescent="0.2">
      <c r="D13" s="11" t="str">
        <v>obj_006df</v>
      </c>
      <c r="E13" s="11" t="str">
        <f>_xll.qlRateHelperQuoteName(D13)</f>
        <v>EURAB3E3Y_Quote</v>
      </c>
      <c r="F13" s="10">
        <f>_xll.qlRateHelperRate($D13)</f>
        <v>5.9999999999999995E-4</v>
      </c>
      <c r="G13" s="10">
        <f>IF(ISERROR(_xll.qlSwapRateHelperSpread($D13)),IF(ISERROR(_xll.qlFuturesRateHelperConvexityAdjustment($D13)),"--",_xll.qlFuturesRateHelperConvexityAdjustment($D13)),_xll.qlSwapRateHelperSpread($D13))</f>
        <v>0</v>
      </c>
      <c r="H13" s="9">
        <f>_xll.qlRateHelperEarliestDate($D13)</f>
        <v>42258</v>
      </c>
      <c r="I13" s="8">
        <f>_xll.qlRateHelperPillarDate($D13)</f>
        <v>43354</v>
      </c>
      <c r="J13" s="3">
        <v>0.99829898690836549</v>
      </c>
      <c r="L13" s="3"/>
    </row>
    <row r="14" spans="1:12" x14ac:dyDescent="0.2">
      <c r="D14" s="11" t="str">
        <v>obj_006db</v>
      </c>
      <c r="E14" s="11" t="str">
        <f>_xll.qlRateHelperQuoteName(D14)</f>
        <v>EURAB3E4Y_Quote</v>
      </c>
      <c r="F14" s="10">
        <f>_xll.qlRateHelperRate($D14)</f>
        <v>1.6200000000000001E-3</v>
      </c>
      <c r="G14" s="10">
        <f>IF(ISERROR(_xll.qlSwapRateHelperSpread($D14)),IF(ISERROR(_xll.qlFuturesRateHelperConvexityAdjustment($D14)),"--",_xll.qlFuturesRateHelperConvexityAdjustment($D14)),_xll.qlSwapRateHelperSpread($D14))</f>
        <v>0</v>
      </c>
      <c r="H14" s="9">
        <f>_xll.qlRateHelperEarliestDate($D14)</f>
        <v>42258</v>
      </c>
      <c r="I14" s="8">
        <f>_xll.qlRateHelperPillarDate($D14)</f>
        <v>43719</v>
      </c>
      <c r="J14" s="3">
        <v>0.99363777786255314</v>
      </c>
      <c r="L14" s="3"/>
    </row>
    <row r="15" spans="1:12" x14ac:dyDescent="0.2">
      <c r="D15" s="11" t="str">
        <v>obj_006d8</v>
      </c>
      <c r="E15" s="11" t="str">
        <f>_xll.qlRateHelperQuoteName(D15)</f>
        <v>EURAB3E5Y_Quote</v>
      </c>
      <c r="F15" s="10">
        <f>_xll.qlRateHelperRate($D15)</f>
        <v>2.8300000000000005E-3</v>
      </c>
      <c r="G15" s="10">
        <f>IF(ISERROR(_xll.qlSwapRateHelperSpread($D15)),IF(ISERROR(_xll.qlFuturesRateHelperConvexityAdjustment($D15)),"--",_xll.qlFuturesRateHelperConvexityAdjustment($D15)),_xll.qlSwapRateHelperSpread($D15))</f>
        <v>0</v>
      </c>
      <c r="H15" s="9">
        <f>_xll.qlRateHelperEarliestDate($D15)</f>
        <v>42258</v>
      </c>
      <c r="I15" s="8">
        <f>_xll.qlRateHelperPillarDate($D15)</f>
        <v>44085</v>
      </c>
      <c r="J15" s="3">
        <v>0.98603237124998677</v>
      </c>
      <c r="L15" s="3"/>
    </row>
    <row r="16" spans="1:12" x14ac:dyDescent="0.2">
      <c r="D16" s="11" t="str">
        <v>obj_006d4</v>
      </c>
      <c r="E16" s="11" t="str">
        <f>_xll.qlRateHelperQuoteName(D16)</f>
        <v>EURAB3E6Y_Quote</v>
      </c>
      <c r="F16" s="10">
        <f>_xll.qlRateHelperRate($D16)</f>
        <v>4.2300000000000003E-3</v>
      </c>
      <c r="G16" s="10">
        <f>IF(ISERROR(_xll.qlSwapRateHelperSpread($D16)),IF(ISERROR(_xll.qlFuturesRateHelperConvexityAdjustment($D16)),"--",_xll.qlFuturesRateHelperConvexityAdjustment($D16)),_xll.qlSwapRateHelperSpread($D16))</f>
        <v>0</v>
      </c>
      <c r="H16" s="9">
        <f>_xll.qlRateHelperEarliestDate($D16)</f>
        <v>42258</v>
      </c>
      <c r="I16" s="8">
        <f>_xll.qlRateHelperPillarDate($D16)</f>
        <v>44452</v>
      </c>
      <c r="J16" s="3">
        <v>0.97494416333063649</v>
      </c>
      <c r="L16" s="3"/>
    </row>
    <row r="17" spans="4:12" x14ac:dyDescent="0.2">
      <c r="D17" s="11" t="str">
        <v>obj_006cf</v>
      </c>
      <c r="E17" s="11" t="str">
        <f>_xll.qlRateHelperQuoteName(D17)</f>
        <v>EURAB3E7Y_Quote</v>
      </c>
      <c r="F17" s="10">
        <f>_xll.qlRateHelperRate($D17)</f>
        <v>5.6399999999999992E-3</v>
      </c>
      <c r="G17" s="10">
        <f>IF(ISERROR(_xll.qlSwapRateHelperSpread($D17)),IF(ISERROR(_xll.qlFuturesRateHelperConvexityAdjustment($D17)),"--",_xll.qlFuturesRateHelperConvexityAdjustment($D17)),_xll.qlSwapRateHelperSpread($D17))</f>
        <v>0</v>
      </c>
      <c r="H17" s="9">
        <f>_xll.qlRateHelperEarliestDate($D17)</f>
        <v>42258</v>
      </c>
      <c r="I17" s="8">
        <f>_xll.qlRateHelperPillarDate($D17)</f>
        <v>44816</v>
      </c>
      <c r="J17" s="3">
        <v>0.96117555671107091</v>
      </c>
      <c r="L17" s="3"/>
    </row>
    <row r="18" spans="4:12" x14ac:dyDescent="0.2">
      <c r="D18" s="11" t="str">
        <v>obj_006ca</v>
      </c>
      <c r="E18" s="11" t="str">
        <f>_xll.qlRateHelperQuoteName(D18)</f>
        <v>EURAB3E8Y_Quote</v>
      </c>
      <c r="F18" s="10">
        <f>_xll.qlRateHelperRate($D18)</f>
        <v>7.0199999999999993E-3</v>
      </c>
      <c r="G18" s="10">
        <f>IF(ISERROR(_xll.qlSwapRateHelperSpread($D18)),IF(ISERROR(_xll.qlFuturesRateHelperConvexityAdjustment($D18)),"--",_xll.qlFuturesRateHelperConvexityAdjustment($D18)),_xll.qlSwapRateHelperSpread($D18))</f>
        <v>0</v>
      </c>
      <c r="H18" s="9">
        <f>_xll.qlRateHelperEarliestDate($D18)</f>
        <v>42258</v>
      </c>
      <c r="I18" s="8">
        <f>_xll.qlRateHelperPillarDate($D18)</f>
        <v>45180</v>
      </c>
      <c r="J18" s="3">
        <v>0.94506492231181827</v>
      </c>
      <c r="L18" s="3"/>
    </row>
    <row r="19" spans="4:12" x14ac:dyDescent="0.2">
      <c r="D19" s="11" t="str">
        <v>obj_006c5</v>
      </c>
      <c r="E19" s="11" t="str">
        <f>_xll.qlRateHelperQuoteName(D19)</f>
        <v>EURAB3E9Y_Quote</v>
      </c>
      <c r="F19" s="10">
        <f>_xll.qlRateHelperRate($D19)</f>
        <v>8.3100000000000014E-3</v>
      </c>
      <c r="G19" s="10">
        <f>IF(ISERROR(_xll.qlSwapRateHelperSpread($D19)),IF(ISERROR(_xll.qlFuturesRateHelperConvexityAdjustment($D19)),"--",_xll.qlFuturesRateHelperConvexityAdjustment($D19)),_xll.qlSwapRateHelperSpread($D19))</f>
        <v>0</v>
      </c>
      <c r="H19" s="9">
        <f>_xll.qlRateHelperEarliestDate($D19)</f>
        <v>42258</v>
      </c>
      <c r="I19" s="8">
        <f>_xll.qlRateHelperPillarDate($D19)</f>
        <v>45546</v>
      </c>
      <c r="J19" s="3">
        <v>0.9272818820763703</v>
      </c>
      <c r="L19" s="3"/>
    </row>
    <row r="20" spans="4:12" x14ac:dyDescent="0.2">
      <c r="D20" s="11" t="str">
        <v>obj_006c0</v>
      </c>
      <c r="E20" s="11" t="str">
        <f>_xll.qlRateHelperQuoteName(D20)</f>
        <v>EURAB3E10Y_Quote</v>
      </c>
      <c r="F20" s="10">
        <f>_xll.qlRateHelperRate($D20)</f>
        <v>9.4399999999999987E-3</v>
      </c>
      <c r="G20" s="10">
        <f>IF(ISERROR(_xll.qlSwapRateHelperSpread($D20)),IF(ISERROR(_xll.qlFuturesRateHelperConvexityAdjustment($D20)),"--",_xll.qlFuturesRateHelperConvexityAdjustment($D20)),_xll.qlSwapRateHelperSpread($D20))</f>
        <v>0</v>
      </c>
      <c r="H20" s="9">
        <f>_xll.qlRateHelperEarliestDate($D20)</f>
        <v>42258</v>
      </c>
      <c r="I20" s="8">
        <f>_xll.qlRateHelperPillarDate($D20)</f>
        <v>45911</v>
      </c>
      <c r="J20" s="3">
        <v>0.90883834544926734</v>
      </c>
      <c r="L20" s="3"/>
    </row>
    <row r="21" spans="4:12" x14ac:dyDescent="0.2">
      <c r="D21" s="11" t="str">
        <v>obj_006e0</v>
      </c>
      <c r="E21" s="11" t="str">
        <f>_xll.qlRateHelperQuoteName(D21)</f>
        <v>EURAB3E12Y_Quote</v>
      </c>
      <c r="F21" s="10">
        <f>_xll.qlRateHelperRate($D21)</f>
        <v>1.1350000000000001E-2</v>
      </c>
      <c r="G21" s="10">
        <f>IF(ISERROR(_xll.qlSwapRateHelperSpread($D21)),IF(ISERROR(_xll.qlFuturesRateHelperConvexityAdjustment($D21)),"--",_xll.qlFuturesRateHelperConvexityAdjustment($D21)),_xll.qlSwapRateHelperSpread($D21))</f>
        <v>0</v>
      </c>
      <c r="H21" s="9">
        <f>_xll.qlRateHelperEarliestDate($D21)</f>
        <v>42258</v>
      </c>
      <c r="I21" s="8">
        <f>_xll.qlRateHelperPillarDate($D21)</f>
        <v>46643</v>
      </c>
      <c r="J21" s="3">
        <v>0.87042724772941615</v>
      </c>
      <c r="L21" s="3"/>
    </row>
    <row r="22" spans="4:12" x14ac:dyDescent="0.2">
      <c r="D22" s="11" t="str">
        <v>obj_006ce</v>
      </c>
      <c r="E22" s="11" t="str">
        <f>_xll.qlRateHelperQuoteName(D22)</f>
        <v>EURAB3E15Y_Quote</v>
      </c>
      <c r="F22" s="10">
        <f>_xll.qlRateHelperRate($D22)</f>
        <v>1.3309999999999999E-2</v>
      </c>
      <c r="G22" s="10">
        <f>IF(ISERROR(_xll.qlSwapRateHelperSpread($D22)),IF(ISERROR(_xll.qlFuturesRateHelperConvexityAdjustment($D22)),"--",_xll.qlFuturesRateHelperConvexityAdjustment($D22)),_xll.qlSwapRateHelperSpread($D22))</f>
        <v>0</v>
      </c>
      <c r="H22" s="9">
        <f>_xll.qlRateHelperEarliestDate($D22)</f>
        <v>42258</v>
      </c>
      <c r="I22" s="8">
        <f>_xll.qlRateHelperPillarDate($D22)</f>
        <v>47737</v>
      </c>
      <c r="J22" s="3">
        <v>0.81496412458010448</v>
      </c>
      <c r="L22" s="3"/>
    </row>
    <row r="23" spans="4:12" x14ac:dyDescent="0.2">
      <c r="D23" s="11" t="str">
        <v>obj_006da</v>
      </c>
      <c r="E23" s="11" t="str">
        <f>_xll.qlRateHelperQuoteName(D23)</f>
        <v>EURAB3E20Y_Quote</v>
      </c>
      <c r="F23" s="10">
        <f>_xll.qlRateHelperRate($D23)</f>
        <v>1.4910000000000001E-2</v>
      </c>
      <c r="G23" s="10">
        <f>IF(ISERROR(_xll.qlSwapRateHelperSpread($D23)),IF(ISERROR(_xll.qlFuturesRateHelperConvexityAdjustment($D23)),"--",_xll.qlFuturesRateHelperConvexityAdjustment($D23)),_xll.qlSwapRateHelperSpread($D23))</f>
        <v>0</v>
      </c>
      <c r="H23" s="9">
        <f>_xll.qlRateHelperEarliestDate($D23)</f>
        <v>42258</v>
      </c>
      <c r="I23" s="8">
        <f>_xll.qlRateHelperPillarDate($D23)</f>
        <v>49563</v>
      </c>
      <c r="J23" s="3">
        <v>0.73576632444954571</v>
      </c>
      <c r="L23" s="3"/>
    </row>
    <row r="24" spans="4:12" x14ac:dyDescent="0.2">
      <c r="D24" s="11" t="str">
        <v>obj_006c3</v>
      </c>
      <c r="E24" s="11" t="str">
        <f>_xll.qlRateHelperQuoteName(D24)</f>
        <v>EURAB3E25Y_Quote</v>
      </c>
      <c r="F24" s="10">
        <f>_xll.qlRateHelperRate($D24)</f>
        <v>1.5350000000000001E-2</v>
      </c>
      <c r="G24" s="10">
        <f>IF(ISERROR(_xll.qlSwapRateHelperSpread($D24)),IF(ISERROR(_xll.qlFuturesRateHelperConvexityAdjustment($D24)),"--",_xll.qlFuturesRateHelperConvexityAdjustment($D24)),_xll.qlSwapRateHelperSpread($D24))</f>
        <v>0</v>
      </c>
      <c r="H24" s="9">
        <f>_xll.qlRateHelperEarliestDate($D24)</f>
        <v>42258</v>
      </c>
      <c r="I24" s="8">
        <f>_xll.qlRateHelperPillarDate($D24)</f>
        <v>51390</v>
      </c>
      <c r="J24" s="3">
        <v>0.67445194308696743</v>
      </c>
      <c r="L24" s="3"/>
    </row>
    <row r="25" spans="4:12" x14ac:dyDescent="0.2">
      <c r="D25" s="11" t="str">
        <v>obj_006d1</v>
      </c>
      <c r="E25" s="11" t="str">
        <f>_xll.qlRateHelperQuoteName(D25)</f>
        <v>EURAB3E30Y_Quote</v>
      </c>
      <c r="F25" s="10">
        <f>_xll.qlRateHelperRate($D25)</f>
        <v>1.5520000000000001E-2</v>
      </c>
      <c r="G25" s="10">
        <f>IF(ISERROR(_xll.qlSwapRateHelperSpread($D25)),IF(ISERROR(_xll.qlFuturesRateHelperConvexityAdjustment($D25)),"--",_xll.qlFuturesRateHelperConvexityAdjustment($D25)),_xll.qlSwapRateHelperSpread($D25))</f>
        <v>0</v>
      </c>
      <c r="H25" s="9">
        <f>_xll.qlRateHelperEarliestDate($D25)</f>
        <v>42258</v>
      </c>
      <c r="I25" s="8">
        <f>_xll.qlRateHelperPillarDate($D25)</f>
        <v>53216</v>
      </c>
      <c r="J25" s="3">
        <v>0.62103931025723691</v>
      </c>
      <c r="L25" s="3"/>
    </row>
    <row r="26" spans="4:12" x14ac:dyDescent="0.2">
      <c r="D26" s="11" t="str">
        <v>obj_006c7</v>
      </c>
      <c r="E26" s="11" t="str">
        <f>_xll.qlRateHelperQuoteName(D26)</f>
        <v>EURAB3E40Y_Quote</v>
      </c>
      <c r="F26" s="10">
        <f>_xll.qlRateHelperRate($D26)</f>
        <v>1.5730000000000001E-2</v>
      </c>
      <c r="G26" s="10">
        <f>IF(ISERROR(_xll.qlSwapRateHelperSpread($D26)),IF(ISERROR(_xll.qlFuturesRateHelperConvexityAdjustment($D26)),"--",_xll.qlFuturesRateHelperConvexityAdjustment($D26)),_xll.qlSwapRateHelperSpread($D26))</f>
        <v>0</v>
      </c>
      <c r="H26" s="9">
        <f>_xll.qlRateHelperEarliestDate($D26)</f>
        <v>42258</v>
      </c>
      <c r="I26" s="8">
        <f>_xll.qlRateHelperPillarDate($D26)</f>
        <v>56870</v>
      </c>
      <c r="J26" s="3">
        <v>0.52671058387328751</v>
      </c>
      <c r="L26" s="3"/>
    </row>
    <row r="27" spans="4:12" x14ac:dyDescent="0.2">
      <c r="D27" s="11" t="str">
        <v>obj_006c2</v>
      </c>
      <c r="E27" s="11" t="str">
        <f>_xll.qlRateHelperQuoteName(D27)</f>
        <v>EURAB3E50Y_Quote</v>
      </c>
      <c r="F27" s="10">
        <f>_xll.qlRateHelperRate($D27)</f>
        <v>1.541E-2</v>
      </c>
      <c r="G27" s="10">
        <f>IF(ISERROR(_xll.qlSwapRateHelperSpread($D27)),IF(ISERROR(_xll.qlFuturesRateHelperConvexityAdjustment($D27)),"--",_xll.qlFuturesRateHelperConvexityAdjustment($D27)),_xll.qlSwapRateHelperSpread($D27))</f>
        <v>0</v>
      </c>
      <c r="H27" s="9">
        <f>_xll.qlRateHelperEarliestDate($D27)</f>
        <v>42258</v>
      </c>
      <c r="I27" s="8">
        <f>_xll.qlRateHelperPillarDate($D27)</f>
        <v>60521</v>
      </c>
      <c r="J27" s="3">
        <v>0.46091158485395833</v>
      </c>
      <c r="L27" s="3"/>
    </row>
    <row r="28" spans="4:12" x14ac:dyDescent="0.2">
      <c r="D28" s="11" t="str">
        <v>obj_006bd</v>
      </c>
      <c r="E28" s="11" t="str">
        <f>_xll.qlRateHelperQuoteName(D28)</f>
        <v>EURAB3E60Y_Quote</v>
      </c>
      <c r="F28" s="10">
        <f>_xll.qlRateHelperRate($D28)</f>
        <v>1.529E-2</v>
      </c>
      <c r="G28" s="10">
        <f>IF(ISERROR(_xll.qlSwapRateHelperSpread($D28)),IF(ISERROR(_xll.qlFuturesRateHelperConvexityAdjustment($D28)),"--",_xll.qlFuturesRateHelperConvexityAdjustment($D28)),_xll.qlSwapRateHelperSpread($D28))</f>
        <v>0</v>
      </c>
      <c r="H28" s="9">
        <f>_xll.qlRateHelperEarliestDate($D28)</f>
        <v>42258</v>
      </c>
      <c r="I28" s="8">
        <f>_xll.qlRateHelperPillarDate($D28)</f>
        <v>64173</v>
      </c>
      <c r="J28" s="3">
        <v>0.39977115769671145</v>
      </c>
      <c r="L28" s="3"/>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_xll.qlRateHelperPillarDate($D29)</f>
        <v>#VALUE!</v>
      </c>
      <c r="J29" s="3" t="e">
        <v>#N/A</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_xll.qlRateHelperPillarDate($D30)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_xll.qlRateHelperPillarDate($D31)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_xll.qlRateHelperPillarDate($D32)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_xll.qlRateHelperPillarDate($D33)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_xll.qlRateHelperPillarDate($D34)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_xll.qlRateHelperPillarDate($D35)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_xll.qlRateHelperPillarDate($D36)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_xll.qlRateHelperPillarDate($D37)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_xll.qlRateHelperPillarDate($D38)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_xll.qlRateHelperPillarDate($D39)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_xll.qlRateHelperPillarDate($D40)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_xll.qlRateHelperPillarDate($D41)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_xll.qlRateHelperPillarDate($D42)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_xll.qlRateHelperPillarDate($D43)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_xll.qlRateHelperPillarDate($D44)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_xll.qlRateHelperPillarDate($D45)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_xll.qlRateHelperPillarDate($D46)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_xll.qlRateHelperPillarDate($D47)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_xll.qlRateHelperPillarDate($D48)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_xll.qlRateHelperPillarDate($D49)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_xll.qlRateHelperPillarDate($D50)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_xll.qlRateHelperPillarDate($D51)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_xll.qlRateHelperPillarDate($D52)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_xll.qlRateHelperPillarDate($D53)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_xll.qlRateHelperPillarDate($D54)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_xll.qlRateHelperPillarDate($D55)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_xll.qlRateHelperPillarDate($D56)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_xll.qlRateHelperPillarDate($D57)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_xll.qlRateHelperPillarDate($D58)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_xll.qlRateHelperPillarDate($D59)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_xll.qlRateHelperPillarDate($D60)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_xll.qlRateHelperPillarDate($D61)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_xll.qlRateHelperPillarDate($D62)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_xll.qlRateHelperPillarDate($D63)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_xll.qlRateHelperPillarDate($D64)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_xll.qlRateHelperPillarDate($D65)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_xll.qlRateHelperPillarDate($D66)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_xll.qlRateHelperPillarDate($D67)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_xll.qlRateHelperPillarDate($D68)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_xll.qlRateHelperPillarDate($D69)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_xll.qlRateHelperPillarDate($D70)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_xll.qlRateHelperPillarDate($D71)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_xll.qlRateHelperPillarDate($D72)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_xll.qlRateHelperPillarDate($D73)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_xll.qlRateHelperPillarDate($D74)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_xll.qlRateHelperPillarDate($D75)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_xll.qlRateHelperPillarDate($D76)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_xll.qlRateHelperPillarDate($D77)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_xll.qlRateHelperPillarDate($D78)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_xll.qlRateHelperPillarDate($D79)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_xll.qlRateHelperPillarDate($D80)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_xll.qlRateHelperPillarDate($D81)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_xll.qlRateHelperPillarDate($D82)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_xll.qlRateHelperPillarDate($D83)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_xll.qlRateHelperPillarDate($D84)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_xll.qlRateHelperPillarDate($D85)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_xll.qlRateHelperPillarDate($D86)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_xll.qlRateHelperPillarDate($D87)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_xll.qlRateHelperPillarDate($D88)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_xll.qlRateHelperPillarDate($D89)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_xll.qlRateHelperPillarDate($D90)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_xll.qlRateHelperPillarDate($D91)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_xll.qlRateHelperPillarDate($D92)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_xll.qlRateHelperPillarDate($D93)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_xll.qlRateHelperPillarDate($D94)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_xll.qlRateHelperPillarDate($D95)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_xll.qlRateHelperPillarDate($D96)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_xll.qlRateHelperPillarDate($D97)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_xll.qlRateHelperPillarDate($D98)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_xll.qlRateHelperPillarDate($D99)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_xll.qlRateHelperPillarDate($D100)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_xll.qlRateHelperPillarDate($D101)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_xll.qlRateHelperPillarDate($D102)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_xll.qlRateHelperPillarDate($D103)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_xll.qlRateHelperPillarDate($D104)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_xll.qlRateHelperPillarDate($D105)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_xll.qlRateHelperPillarDate($D106)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_xll.qlRateHelperPillarDate($D107)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_xll.qlRateHelperPillarDate($D108)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_xll.qlRateHelperPillarDate($D109)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_xll.qlRateHelperPillarDate($D110)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_xll.qlRateHelperPillarDate($D111)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_xll.qlRateHelperPillarDate($D112)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_xll.qlRateHelperPillarDate($D113)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_xll.qlRateHelperPillarDate($D114)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_xll.qlRateHelperPillarDate($D115)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_xll.qlRateHelperPillarDate($D116)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_xll.qlRateHelperPillarDate($D117)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_xll.qlRateHelperPillarDate($D118)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_xll.qlRateHelperPillarDate($D119)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_xll.qlRateHelperPillarDate($D120)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_xll.qlRateHelperPillarDate($D121)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_xll.qlRateHelperPillarDate($D122)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_xll.qlRateHelperPillarDate($D123)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_xll.qlRateHelperPillarDate($D124)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_xll.qlRateHelperPillarDate($D125)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_xll.qlRateHelperPillarDate($D126)</f>
        <v>#VALUE!</v>
      </c>
      <c r="J126" s="3" t="e">
        <v>#N/A</v>
      </c>
      <c r="L126" s="3"/>
    </row>
    <row r="127" spans="4:12" x14ac:dyDescent="0.2">
      <c r="E127" s="195"/>
      <c r="F127" s="19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3" sqref="J3"/>
    </sheetView>
  </sheetViews>
  <sheetFormatPr defaultRowHeight="11.25" x14ac:dyDescent="0.2"/>
  <cols>
    <col min="1" max="1" width="2.7109375" style="1" customWidth="1"/>
    <col min="2" max="2" width="3.42578125" style="1" bestFit="1" customWidth="1"/>
    <col min="3" max="3" width="6" style="1" bestFit="1" customWidth="1"/>
    <col min="4" max="4" width="7" style="1" customWidth="1"/>
    <col min="5" max="5" width="9" style="1" bestFit="1" customWidth="1"/>
    <col min="6" max="6" width="19.28515625" style="1" bestFit="1" customWidth="1"/>
    <col min="7" max="7" width="6" style="1" bestFit="1" customWidth="1"/>
    <col min="8" max="8" width="10.85546875" style="1" customWidth="1"/>
    <col min="9" max="9" width="21.42578125" style="1" bestFit="1" customWidth="1"/>
    <col min="10" max="10" width="16" style="1" customWidth="1"/>
    <col min="11" max="11" width="20.7109375" style="1" customWidth="1"/>
    <col min="12" max="12" width="2.7109375" style="1" customWidth="1"/>
    <col min="13" max="16384" width="9.140625" style="1"/>
  </cols>
  <sheetData>
    <row r="1" spans="1:12" ht="12" x14ac:dyDescent="0.2">
      <c r="A1" s="227"/>
      <c r="B1" s="221"/>
      <c r="C1" s="221"/>
      <c r="D1" s="221"/>
      <c r="E1" s="221"/>
      <c r="F1" s="307" t="str">
        <f>PROPER(Currency)&amp;FamilyName&amp;$B9</f>
        <v>Euribor3M</v>
      </c>
      <c r="G1" s="221"/>
      <c r="H1" s="29" t="s">
        <v>99</v>
      </c>
      <c r="I1" s="166" t="str">
        <f>Currency&amp;"_YC"&amp;$H$1&amp;"RH"</f>
        <v>EUR_YC3MRH</v>
      </c>
      <c r="J1" s="272" t="str">
        <f>$I$1&amp;"_Deposits.xml"</f>
        <v>EUR_YC3MRH_Deposits.xml</v>
      </c>
      <c r="L1" s="274"/>
    </row>
    <row r="2" spans="1:12" ht="25.5" customHeight="1" x14ac:dyDescent="0.2">
      <c r="A2" s="220"/>
      <c r="B2" s="302"/>
      <c r="C2" s="302" t="s">
        <v>138</v>
      </c>
      <c r="D2" s="302" t="s">
        <v>139</v>
      </c>
      <c r="E2" s="302" t="s">
        <v>140</v>
      </c>
      <c r="F2" s="302" t="s">
        <v>141</v>
      </c>
      <c r="G2" s="302" t="s">
        <v>142</v>
      </c>
      <c r="H2" s="302" t="s">
        <v>143</v>
      </c>
      <c r="I2" s="302" t="s">
        <v>106</v>
      </c>
      <c r="J2" s="308" t="str">
        <f>IF(Serialize,_xll.ohObjectSave(J3:J9,SerializationPath&amp;J1,FileOverwrite,Serialize),"---")</f>
        <v>---</v>
      </c>
      <c r="K2" s="278" t="str">
        <f>_xll.ohRangeRetrieveError(J2)</f>
        <v/>
      </c>
      <c r="L2" s="274"/>
    </row>
    <row r="3" spans="1:12" ht="11.25" customHeight="1" x14ac:dyDescent="0.2">
      <c r="A3" s="220"/>
      <c r="B3" s="309" t="s">
        <v>105</v>
      </c>
      <c r="C3" s="310" t="s">
        <v>117</v>
      </c>
      <c r="D3" s="235">
        <f>_xll.qlInterestRateIndexFixingDays($F$1,Trigger)</f>
        <v>2</v>
      </c>
      <c r="E3" s="310" t="str">
        <f>_xll.qlIndexFixingCalendar($F$1,Trigger)</f>
        <v>TARGET</v>
      </c>
      <c r="F3" s="310" t="s">
        <v>145</v>
      </c>
      <c r="G3" s="310" t="b">
        <v>0</v>
      </c>
      <c r="H3" s="235" t="str">
        <f>_xll.qlInterestRateIndexDayCounter($F$1,Trigger)</f>
        <v>Actual/360</v>
      </c>
      <c r="I3" s="311" t="str">
        <f t="shared" ref="I3:I9" si="0">Currency&amp;B3&amp;"D_SYNTH"&amp;$H$1&amp;QuoteSuffix</f>
        <v>EURSND_SYNTH3M_Quote</v>
      </c>
      <c r="J3" s="234" t="str">
        <f>_xll.qlDepositRateHelper2(,I3,C3,D3,E3,F3,G3,H3,Permanent,Trigger,ObjectOverwrite)</f>
        <v>obj_005c0#0014</v>
      </c>
      <c r="K3" s="284" t="str">
        <f>_xll.ohRangeRetrieveError(J3)</f>
        <v/>
      </c>
      <c r="L3" s="274"/>
    </row>
    <row r="4" spans="1:12" ht="11.25" customHeight="1" x14ac:dyDescent="0.2">
      <c r="A4" s="220"/>
      <c r="B4" s="312" t="s">
        <v>104</v>
      </c>
      <c r="C4" s="313" t="s">
        <v>144</v>
      </c>
      <c r="D4" s="244">
        <f>_xll.qlInterestRateIndexFixingDays($F$1,Trigger)</f>
        <v>2</v>
      </c>
      <c r="E4" s="313" t="str">
        <f>_xll.qlIndexFixingCalendar($F$1,Trigger)</f>
        <v>TARGET</v>
      </c>
      <c r="F4" s="313" t="s">
        <v>145</v>
      </c>
      <c r="G4" s="313" t="b">
        <v>0</v>
      </c>
      <c r="H4" s="244" t="str">
        <f>_xll.qlInterestRateIndexDayCounter($F$1,Trigger)</f>
        <v>Actual/360</v>
      </c>
      <c r="I4" s="314" t="str">
        <f t="shared" si="0"/>
        <v>EURSWD_SYNTH3M_Quote</v>
      </c>
      <c r="J4" s="243" t="str">
        <f>_xll.qlDepositRateHelper2(,I4,C4,D4,E4,F4,G4,H4,Permanent,Trigger,ObjectOverwrite)</f>
        <v>obj_005be#0004</v>
      </c>
      <c r="K4" s="290" t="str">
        <f>_xll.ohRangeRetrieveError(J4)</f>
        <v/>
      </c>
      <c r="L4" s="274"/>
    </row>
    <row r="5" spans="1:12" ht="11.25" customHeight="1" x14ac:dyDescent="0.2">
      <c r="A5" s="220"/>
      <c r="B5" s="312" t="s">
        <v>103</v>
      </c>
      <c r="C5" s="313" t="s">
        <v>103</v>
      </c>
      <c r="D5" s="244">
        <f>_xll.qlInterestRateIndexFixingDays($F$1,Trigger)</f>
        <v>2</v>
      </c>
      <c r="E5" s="313" t="str">
        <f>_xll.qlIndexFixingCalendar($F$1,Trigger)</f>
        <v>TARGET</v>
      </c>
      <c r="F5" s="313" t="s">
        <v>145</v>
      </c>
      <c r="G5" s="313" t="b">
        <v>0</v>
      </c>
      <c r="H5" s="244" t="str">
        <f>_xll.qlInterestRateIndexDayCounter($F$1,Trigger)</f>
        <v>Actual/360</v>
      </c>
      <c r="I5" s="314" t="str">
        <f t="shared" si="0"/>
        <v>EUR2WD_SYNTH3M_Quote</v>
      </c>
      <c r="J5" s="243" t="str">
        <f>_xll.qlDepositRateHelper2(,I5,C5,D5,E5,F5,G5,H5,Permanent,Trigger,ObjectOverwrite)</f>
        <v>obj_005c3#0004</v>
      </c>
      <c r="K5" s="290" t="str">
        <f>_xll.ohRangeRetrieveError(J5)</f>
        <v/>
      </c>
      <c r="L5" s="274"/>
    </row>
    <row r="6" spans="1:12" ht="11.25" customHeight="1" x14ac:dyDescent="0.2">
      <c r="A6" s="220"/>
      <c r="B6" s="312" t="s">
        <v>102</v>
      </c>
      <c r="C6" s="313" t="s">
        <v>102</v>
      </c>
      <c r="D6" s="244">
        <f>_xll.qlInterestRateIndexFixingDays($F$1,Trigger)</f>
        <v>2</v>
      </c>
      <c r="E6" s="313" t="str">
        <f>_xll.qlIndexFixingCalendar($F$1,Trigger)</f>
        <v>TARGET</v>
      </c>
      <c r="F6" s="313" t="s">
        <v>145</v>
      </c>
      <c r="G6" s="313" t="b">
        <v>0</v>
      </c>
      <c r="H6" s="244" t="str">
        <f>_xll.qlInterestRateIndexDayCounter($F$1,Trigger)</f>
        <v>Actual/360</v>
      </c>
      <c r="I6" s="314" t="str">
        <f t="shared" si="0"/>
        <v>EUR3WD_SYNTH3M_Quote</v>
      </c>
      <c r="J6" s="243" t="str">
        <f>_xll.qlDepositRateHelper2(,I6,C6,D6,E6,F6,G6,H6,Permanent,Trigger,ObjectOverwrite)</f>
        <v>obj_005bf#0004</v>
      </c>
      <c r="K6" s="290" t="str">
        <f>_xll.ohRangeRetrieveError(J6)</f>
        <v/>
      </c>
      <c r="L6" s="274"/>
    </row>
    <row r="7" spans="1:12" ht="11.25" customHeight="1" x14ac:dyDescent="0.2">
      <c r="A7" s="220"/>
      <c r="B7" s="312" t="s">
        <v>101</v>
      </c>
      <c r="C7" s="313" t="s">
        <v>101</v>
      </c>
      <c r="D7" s="244">
        <f>_xll.qlInterestRateIndexFixingDays($F$1,Trigger)</f>
        <v>2</v>
      </c>
      <c r="E7" s="313" t="str">
        <f>_xll.qlIndexFixingCalendar($F$1,Trigger)</f>
        <v>TARGET</v>
      </c>
      <c r="F7" s="313" t="str">
        <f>_xll.qlIborIndexBusinessDayConv($F$1,Trigger)</f>
        <v>Modified Following</v>
      </c>
      <c r="G7" s="313" t="b">
        <f>_xll.qlIborIndexEndOfMonth($F$1,Trigger)</f>
        <v>1</v>
      </c>
      <c r="H7" s="244" t="str">
        <f>_xll.qlInterestRateIndexDayCounter($F$1,Trigger)</f>
        <v>Actual/360</v>
      </c>
      <c r="I7" s="314" t="str">
        <f t="shared" si="0"/>
        <v>EUR1MD_SYNTH3M_Quote</v>
      </c>
      <c r="J7" s="243" t="str">
        <f>_xll.qlDepositRateHelper2(,I7,C7,D7,E7,F7,G7,H7,Permanent,Trigger,ObjectOverwrite)</f>
        <v>obj_005c4#0004</v>
      </c>
      <c r="K7" s="290" t="str">
        <f>_xll.ohRangeRetrieveError(J7)</f>
        <v/>
      </c>
      <c r="L7" s="274"/>
    </row>
    <row r="8" spans="1:12" ht="11.25" customHeight="1" x14ac:dyDescent="0.2">
      <c r="A8" s="220"/>
      <c r="B8" s="312" t="s">
        <v>100</v>
      </c>
      <c r="C8" s="313" t="s">
        <v>100</v>
      </c>
      <c r="D8" s="244">
        <f>_xll.qlInterestRateIndexFixingDays($F$1,Trigger)</f>
        <v>2</v>
      </c>
      <c r="E8" s="313" t="str">
        <f>_xll.qlIndexFixingCalendar($F$1,Trigger)</f>
        <v>TARGET</v>
      </c>
      <c r="F8" s="313" t="str">
        <f>_xll.qlIborIndexBusinessDayConv($F$1,Trigger)</f>
        <v>Modified Following</v>
      </c>
      <c r="G8" s="313" t="b">
        <f>_xll.qlIborIndexEndOfMonth($F$1,Trigger)</f>
        <v>1</v>
      </c>
      <c r="H8" s="244" t="str">
        <f>_xll.qlInterestRateIndexDayCounter($F$1,Trigger)</f>
        <v>Actual/360</v>
      </c>
      <c r="I8" s="314" t="str">
        <f t="shared" si="0"/>
        <v>EUR2MD_SYNTH3M_Quote</v>
      </c>
      <c r="J8" s="243" t="str">
        <f>_xll.qlDepositRateHelper2(,I8,C8,D8,E8,F8,G8,H8,Permanent,Trigger,ObjectOverwrite)</f>
        <v>obj_005c1#0004</v>
      </c>
      <c r="K8" s="290" t="str">
        <f>_xll.ohRangeRetrieveError(J8)</f>
        <v/>
      </c>
      <c r="L8" s="274"/>
    </row>
    <row r="9" spans="1:12" ht="11.25" customHeight="1" x14ac:dyDescent="0.2">
      <c r="A9" s="220"/>
      <c r="B9" s="315" t="s">
        <v>99</v>
      </c>
      <c r="C9" s="307" t="s">
        <v>99</v>
      </c>
      <c r="D9" s="255">
        <f>_xll.qlInterestRateIndexFixingDays($F$1,Trigger)</f>
        <v>2</v>
      </c>
      <c r="E9" s="307" t="str">
        <f>_xll.qlIndexFixingCalendar($F$1,Trigger)</f>
        <v>TARGET</v>
      </c>
      <c r="F9" s="307" t="str">
        <f>_xll.qlIborIndexBusinessDayConv($F$1,Trigger)</f>
        <v>Modified Following</v>
      </c>
      <c r="G9" s="307" t="b">
        <f>_xll.qlIborIndexEndOfMonth($F$1,Trigger)</f>
        <v>1</v>
      </c>
      <c r="H9" s="255" t="str">
        <f>_xll.qlInterestRateIndexDayCounter($F$1,Trigger)</f>
        <v>Actual/360</v>
      </c>
      <c r="I9" s="316" t="str">
        <f t="shared" si="0"/>
        <v>EUR3MD_SYNTH3M_Quote</v>
      </c>
      <c r="J9" s="254" t="str">
        <f>_xll.qlDepositRateHelper2(,I9,C9,D9,E9,F9,G9,H9,Permanent,Trigger,ObjectOverwrite)</f>
        <v>obj_005c2#0004</v>
      </c>
      <c r="K9" s="295" t="str">
        <f>_xll.ohRangeRetrieveError(J9)</f>
        <v/>
      </c>
      <c r="L9" s="274"/>
    </row>
    <row r="10" spans="1:12" ht="11.25" customHeight="1" thickBot="1" x14ac:dyDescent="0.25">
      <c r="A10" s="257"/>
      <c r="B10" s="258"/>
      <c r="C10" s="258"/>
      <c r="D10" s="258"/>
      <c r="E10" s="258"/>
      <c r="F10" s="258"/>
      <c r="G10" s="258"/>
      <c r="H10" s="258"/>
      <c r="I10" s="258"/>
      <c r="J10" s="258"/>
      <c r="K10" s="258"/>
      <c r="L10" s="29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5"/>
  <sheetViews>
    <sheetView workbookViewId="0">
      <selection activeCell="C3" sqref="C3:C14"/>
    </sheetView>
  </sheetViews>
  <sheetFormatPr defaultRowHeight="11.25" x14ac:dyDescent="0.2"/>
  <cols>
    <col min="1" max="1" width="2.7109375" style="1" customWidth="1"/>
    <col min="2" max="2" width="4" style="1" bestFit="1" customWidth="1"/>
    <col min="3" max="3" width="3" style="1" bestFit="1" customWidth="1"/>
    <col min="4" max="4" width="4" style="1" bestFit="1" customWidth="1"/>
    <col min="5" max="5" width="10" style="1" bestFit="1" customWidth="1"/>
    <col min="6" max="6" width="16.140625" style="1" bestFit="1" customWidth="1"/>
    <col min="7" max="7" width="20.85546875" style="2" bestFit="1" customWidth="1"/>
    <col min="8" max="8" width="20.7109375" style="1" customWidth="1"/>
    <col min="9" max="9" width="2.7109375" style="1" customWidth="1"/>
    <col min="10" max="16384" width="9.140625" style="1"/>
  </cols>
  <sheetData>
    <row r="1" spans="1:9" ht="12" x14ac:dyDescent="0.2">
      <c r="A1" s="216"/>
      <c r="B1" s="218"/>
      <c r="C1" s="218"/>
      <c r="D1" s="218">
        <v>3</v>
      </c>
      <c r="E1" s="299" t="str">
        <f>_xll.qlPeriodEquivalent(D1&amp;"M")</f>
        <v>3M</v>
      </c>
      <c r="F1" s="238" t="str">
        <f>Currency&amp;"_YC"&amp;$E$1&amp;"RH"</f>
        <v>EUR_YC3MRH</v>
      </c>
      <c r="G1" s="272" t="str">
        <f>$F$1&amp;"_FRAs.xml"</f>
        <v>EUR_YC3MRH_FRAs.xml</v>
      </c>
      <c r="H1" s="185"/>
      <c r="I1" s="300"/>
    </row>
    <row r="2" spans="1:9" ht="17.25" customHeight="1" x14ac:dyDescent="0.2">
      <c r="A2" s="220"/>
      <c r="B2" s="301"/>
      <c r="C2" s="301"/>
      <c r="D2" s="277"/>
      <c r="E2" s="302" t="s">
        <v>107</v>
      </c>
      <c r="F2" s="302" t="s">
        <v>106</v>
      </c>
      <c r="G2" s="225" t="str">
        <f>IF(Serialize,_xll.ohObjectSave(G3:G8,SerializationPath&amp;G1,FileOverwrite,Serialize),"---")</f>
        <v>---</v>
      </c>
      <c r="H2" s="303" t="str">
        <f>_xll.ohRangeRetrieveError(G2)</f>
        <v/>
      </c>
      <c r="I2" s="274"/>
    </row>
    <row r="3" spans="1:9" x14ac:dyDescent="0.2">
      <c r="A3" s="220"/>
      <c r="B3" s="234" t="str">
        <f t="shared" ref="B3:B8" si="0">C3&amp;"M"</f>
        <v>1M</v>
      </c>
      <c r="C3" s="234">
        <v>1</v>
      </c>
      <c r="D3" s="234" t="str">
        <f t="shared" ref="D3:D8" si="1">"x"&amp;C3+$D$1&amp;"F"</f>
        <v>x4F</v>
      </c>
      <c r="E3" s="234" t="str">
        <f t="shared" ref="E3:E14" si="2">PROPER(Currency)&amp;FamilyName&amp;$E$1</f>
        <v>Euribor3M</v>
      </c>
      <c r="F3" s="234" t="str">
        <f t="shared" ref="F3:F8" si="3">Currency&amp;C3&amp;D3&amp;"_Quote"</f>
        <v>EUR1x4F_Quote</v>
      </c>
      <c r="G3" s="234" t="str">
        <f>_xll.qlFraRateHelper(,F3,B3,E3,,,Permanent,Trigger,ObjectOverwrite)</f>
        <v>obj_006b0#0004</v>
      </c>
      <c r="H3" s="304" t="str">
        <f>_xll.ohRangeRetrieveError(G3)</f>
        <v/>
      </c>
      <c r="I3" s="274"/>
    </row>
    <row r="4" spans="1:9" x14ac:dyDescent="0.2">
      <c r="A4" s="220"/>
      <c r="B4" s="243" t="str">
        <f t="shared" si="0"/>
        <v>2M</v>
      </c>
      <c r="C4" s="243">
        <v>2</v>
      </c>
      <c r="D4" s="243" t="str">
        <f t="shared" si="1"/>
        <v>x5F</v>
      </c>
      <c r="E4" s="243" t="str">
        <f t="shared" si="2"/>
        <v>Euribor3M</v>
      </c>
      <c r="F4" s="243" t="str">
        <f t="shared" si="3"/>
        <v>EUR2x5F_Quote</v>
      </c>
      <c r="G4" s="243" t="str">
        <f>_xll.qlFraRateHelper(,F4,B4,E4,,,Permanent,Trigger,ObjectOverwrite)</f>
        <v>obj_006b9#0004</v>
      </c>
      <c r="H4" s="305" t="str">
        <f>_xll.ohRangeRetrieveError(G4)</f>
        <v/>
      </c>
      <c r="I4" s="274"/>
    </row>
    <row r="5" spans="1:9" x14ac:dyDescent="0.2">
      <c r="A5" s="220"/>
      <c r="B5" s="243" t="str">
        <f t="shared" si="0"/>
        <v>3M</v>
      </c>
      <c r="C5" s="243">
        <v>3</v>
      </c>
      <c r="D5" s="243" t="str">
        <f t="shared" si="1"/>
        <v>x6F</v>
      </c>
      <c r="E5" s="243" t="str">
        <f t="shared" si="2"/>
        <v>Euribor3M</v>
      </c>
      <c r="F5" s="243" t="str">
        <f t="shared" si="3"/>
        <v>EUR3x6F_Quote</v>
      </c>
      <c r="G5" s="243" t="str">
        <f>_xll.qlFraRateHelper(,F5,B5,E5,,,Permanent,Trigger,ObjectOverwrite)</f>
        <v>obj_006b5#0004</v>
      </c>
      <c r="H5" s="305" t="str">
        <f>_xll.ohRangeRetrieveError(G5)</f>
        <v/>
      </c>
      <c r="I5" s="274"/>
    </row>
    <row r="6" spans="1:9" x14ac:dyDescent="0.2">
      <c r="A6" s="220"/>
      <c r="B6" s="243" t="str">
        <f t="shared" si="0"/>
        <v>4M</v>
      </c>
      <c r="C6" s="243">
        <v>4</v>
      </c>
      <c r="D6" s="243" t="str">
        <f t="shared" si="1"/>
        <v>x7F</v>
      </c>
      <c r="E6" s="243" t="str">
        <f t="shared" si="2"/>
        <v>Euribor3M</v>
      </c>
      <c r="F6" s="243" t="str">
        <f t="shared" si="3"/>
        <v>EUR4x7F_Quote</v>
      </c>
      <c r="G6" s="243" t="str">
        <f>_xll.qlFraRateHelper(,F6,B6,E6,,,Permanent,Trigger,ObjectOverwrite)</f>
        <v>obj_006b2#0004</v>
      </c>
      <c r="H6" s="305" t="str">
        <f>_xll.ohRangeRetrieveError(G6)</f>
        <v/>
      </c>
      <c r="I6" s="274"/>
    </row>
    <row r="7" spans="1:9" x14ac:dyDescent="0.2">
      <c r="A7" s="220"/>
      <c r="B7" s="243" t="str">
        <f t="shared" si="0"/>
        <v>5M</v>
      </c>
      <c r="C7" s="243">
        <v>5</v>
      </c>
      <c r="D7" s="243" t="str">
        <f t="shared" si="1"/>
        <v>x8F</v>
      </c>
      <c r="E7" s="243" t="str">
        <f t="shared" si="2"/>
        <v>Euribor3M</v>
      </c>
      <c r="F7" s="243" t="str">
        <f t="shared" si="3"/>
        <v>EUR5x8F_Quote</v>
      </c>
      <c r="G7" s="243" t="str">
        <f>_xll.qlFraRateHelper(,F7,B7,E7,,,Permanent,Trigger,ObjectOverwrite)</f>
        <v>obj_006bb#0004</v>
      </c>
      <c r="H7" s="305" t="str">
        <f>_xll.ohRangeRetrieveError(G7)</f>
        <v/>
      </c>
      <c r="I7" s="274"/>
    </row>
    <row r="8" spans="1:9" x14ac:dyDescent="0.2">
      <c r="A8" s="220"/>
      <c r="B8" s="243" t="str">
        <f t="shared" si="0"/>
        <v>6M</v>
      </c>
      <c r="C8" s="243">
        <v>6</v>
      </c>
      <c r="D8" s="243" t="str">
        <f t="shared" si="1"/>
        <v>x9F</v>
      </c>
      <c r="E8" s="243" t="str">
        <f t="shared" si="2"/>
        <v>Euribor3M</v>
      </c>
      <c r="F8" s="243" t="str">
        <f t="shared" si="3"/>
        <v>EUR6x9F_Quote</v>
      </c>
      <c r="G8" s="243" t="str">
        <f>_xll.qlFraRateHelper(,F8,B8,E8,,,Permanent,Trigger,ObjectOverwrite)</f>
        <v>obj_006b7#0004</v>
      </c>
      <c r="H8" s="305" t="str">
        <f>_xll.ohRangeRetrieveError(G8)</f>
        <v/>
      </c>
      <c r="I8" s="274"/>
    </row>
    <row r="9" spans="1:9" x14ac:dyDescent="0.2">
      <c r="A9" s="220"/>
      <c r="B9" s="243" t="str">
        <f t="shared" ref="B9:B14" si="4">C9&amp;"M"</f>
        <v>7M</v>
      </c>
      <c r="C9" s="243">
        <v>7</v>
      </c>
      <c r="D9" s="243" t="str">
        <f t="shared" ref="D9:D14" si="5">"x"&amp;C9+$D$1&amp;"F"</f>
        <v>x10F</v>
      </c>
      <c r="E9" s="243" t="str">
        <f t="shared" si="2"/>
        <v>Euribor3M</v>
      </c>
      <c r="F9" s="243" t="str">
        <f t="shared" ref="F9:F14" si="6">Currency&amp;C9&amp;D9&amp;"_Quote"</f>
        <v>EUR7x10F_Quote</v>
      </c>
      <c r="G9" s="243" t="str">
        <f>_xll.qlFraRateHelper(,F9,B9,E9,,,Permanent,Trigger,ObjectOverwrite)</f>
        <v>obj_006b3#0004</v>
      </c>
      <c r="H9" s="305" t="str">
        <f>_xll.ohRangeRetrieveError(G9)</f>
        <v/>
      </c>
      <c r="I9" s="274"/>
    </row>
    <row r="10" spans="1:9" x14ac:dyDescent="0.2">
      <c r="A10" s="220"/>
      <c r="B10" s="243" t="str">
        <f t="shared" si="4"/>
        <v>8M</v>
      </c>
      <c r="C10" s="243">
        <v>8</v>
      </c>
      <c r="D10" s="243" t="str">
        <f t="shared" si="5"/>
        <v>x11F</v>
      </c>
      <c r="E10" s="243" t="str">
        <f t="shared" si="2"/>
        <v>Euribor3M</v>
      </c>
      <c r="F10" s="243" t="str">
        <f t="shared" si="6"/>
        <v>EUR8x11F_Quote</v>
      </c>
      <c r="G10" s="243" t="str">
        <f>_xll.qlFraRateHelper(,F10,B10,E10,,,Permanent,Trigger,ObjectOverwrite)</f>
        <v>obj_006b6#0004</v>
      </c>
      <c r="H10" s="305" t="str">
        <f>_xll.ohRangeRetrieveError(G10)</f>
        <v/>
      </c>
      <c r="I10" s="274"/>
    </row>
    <row r="11" spans="1:9" x14ac:dyDescent="0.2">
      <c r="A11" s="220"/>
      <c r="B11" s="243" t="str">
        <f t="shared" si="4"/>
        <v>9M</v>
      </c>
      <c r="C11" s="243">
        <v>9</v>
      </c>
      <c r="D11" s="243" t="str">
        <f t="shared" si="5"/>
        <v>x12F</v>
      </c>
      <c r="E11" s="243" t="str">
        <f t="shared" si="2"/>
        <v>Euribor3M</v>
      </c>
      <c r="F11" s="243" t="str">
        <f t="shared" si="6"/>
        <v>EUR9x12F_Quote</v>
      </c>
      <c r="G11" s="243" t="str">
        <f>_xll.qlFraRateHelper(,F11,B11,E11,,,Permanent,Trigger,ObjectOverwrite)</f>
        <v>obj_006ba#0004</v>
      </c>
      <c r="H11" s="305" t="str">
        <f>_xll.ohRangeRetrieveError(G11)</f>
        <v/>
      </c>
      <c r="I11" s="274"/>
    </row>
    <row r="12" spans="1:9" x14ac:dyDescent="0.2">
      <c r="A12" s="220"/>
      <c r="B12" s="243" t="str">
        <f t="shared" si="4"/>
        <v>10M</v>
      </c>
      <c r="C12" s="243">
        <v>10</v>
      </c>
      <c r="D12" s="243" t="str">
        <f t="shared" si="5"/>
        <v>x13F</v>
      </c>
      <c r="E12" s="243" t="str">
        <f t="shared" si="2"/>
        <v>Euribor3M</v>
      </c>
      <c r="F12" s="243" t="str">
        <f t="shared" si="6"/>
        <v>EUR10x13F_Quote</v>
      </c>
      <c r="G12" s="243" t="str">
        <f>_xll.qlFraRateHelper(,F12,B12,E12,,,Permanent,Trigger,ObjectOverwrite)</f>
        <v>obj_006b8#0004</v>
      </c>
      <c r="H12" s="305" t="str">
        <f>_xll.ohRangeRetrieveError(G12)</f>
        <v/>
      </c>
      <c r="I12" s="274"/>
    </row>
    <row r="13" spans="1:9" x14ac:dyDescent="0.2">
      <c r="A13" s="220"/>
      <c r="B13" s="243" t="str">
        <f t="shared" si="4"/>
        <v>11M</v>
      </c>
      <c r="C13" s="243">
        <v>11</v>
      </c>
      <c r="D13" s="243" t="str">
        <f t="shared" si="5"/>
        <v>x14F</v>
      </c>
      <c r="E13" s="243" t="str">
        <f t="shared" si="2"/>
        <v>Euribor3M</v>
      </c>
      <c r="F13" s="243" t="str">
        <f t="shared" si="6"/>
        <v>EUR11x14F_Quote</v>
      </c>
      <c r="G13" s="243" t="str">
        <f>_xll.qlFraRateHelper(,F13,B13,E13,,,Permanent,Trigger,ObjectOverwrite)</f>
        <v>obj_006b4#0004</v>
      </c>
      <c r="H13" s="305" t="str">
        <f>_xll.ohRangeRetrieveError(G13)</f>
        <v/>
      </c>
      <c r="I13" s="274"/>
    </row>
    <row r="14" spans="1:9" x14ac:dyDescent="0.2">
      <c r="A14" s="220"/>
      <c r="B14" s="254" t="str">
        <f t="shared" si="4"/>
        <v>12M</v>
      </c>
      <c r="C14" s="254">
        <v>12</v>
      </c>
      <c r="D14" s="254" t="str">
        <f t="shared" si="5"/>
        <v>x15F</v>
      </c>
      <c r="E14" s="254" t="str">
        <f t="shared" si="2"/>
        <v>Euribor3M</v>
      </c>
      <c r="F14" s="254" t="str">
        <f t="shared" si="6"/>
        <v>EUR12x15F_Quote</v>
      </c>
      <c r="G14" s="254" t="str">
        <f>_xll.qlFraRateHelper(,F14,B14,E14,,,Permanent,Trigger,ObjectOverwrite)</f>
        <v>obj_006b1#0004</v>
      </c>
      <c r="H14" s="306" t="str">
        <f>_xll.ohRangeRetrieveError(G14)</f>
        <v/>
      </c>
      <c r="I14" s="274"/>
    </row>
    <row r="15" spans="1:9" ht="12" thickBot="1" x14ac:dyDescent="0.25">
      <c r="A15" s="321"/>
      <c r="B15" s="322"/>
      <c r="C15" s="322"/>
      <c r="D15" s="322"/>
      <c r="E15" s="322"/>
      <c r="F15" s="322"/>
      <c r="G15" s="323"/>
      <c r="H15" s="322"/>
      <c r="I15" s="324"/>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E3" sqref="E3:E14"/>
    </sheetView>
  </sheetViews>
  <sheetFormatPr defaultRowHeight="13.5" x14ac:dyDescent="0.25"/>
  <cols>
    <col min="1" max="1" width="2.7109375" style="275" customWidth="1"/>
    <col min="2" max="2" width="3" style="275" bestFit="1" customWidth="1"/>
    <col min="3" max="3" width="6.85546875" style="275" customWidth="1"/>
    <col min="4" max="4" width="6" style="275" bestFit="1" customWidth="1"/>
    <col min="5" max="5" width="7.140625" style="275" customWidth="1"/>
    <col min="6" max="7" width="10" style="275" bestFit="1" customWidth="1"/>
    <col min="8" max="8" width="17.28515625" style="275" bestFit="1" customWidth="1"/>
    <col min="9" max="9" width="24.42578125" style="275" bestFit="1" customWidth="1"/>
    <col min="10" max="10" width="15.85546875" style="275" customWidth="1"/>
    <col min="11" max="11" width="20.7109375" style="275" customWidth="1"/>
    <col min="12" max="12" width="2.7109375" style="275" customWidth="1"/>
    <col min="13" max="16384" width="9.140625" style="275"/>
  </cols>
  <sheetData>
    <row r="1" spans="1:13" x14ac:dyDescent="0.25">
      <c r="A1" s="227"/>
      <c r="B1" s="269"/>
      <c r="C1" s="269"/>
      <c r="D1" s="269"/>
      <c r="E1" s="269"/>
      <c r="F1" s="269"/>
      <c r="G1" s="29" t="s">
        <v>99</v>
      </c>
      <c r="H1" s="270"/>
      <c r="I1" s="271" t="str">
        <f>Currency&amp;"_YC"&amp;$G$1&amp;"RH"</f>
        <v>EUR_YC3MRH</v>
      </c>
      <c r="J1" s="272" t="str">
        <f>$I$1&amp;"_Futures"&amp;$G$1&amp;".xml"</f>
        <v>EUR_YC3MRH_Futures3M.xml</v>
      </c>
      <c r="K1" s="273"/>
      <c r="L1" s="274"/>
    </row>
    <row r="2" spans="1:13" ht="25.5" customHeight="1" x14ac:dyDescent="0.25">
      <c r="A2" s="227"/>
      <c r="B2" s="276" t="s">
        <v>122</v>
      </c>
      <c r="C2" s="276" t="s">
        <v>187</v>
      </c>
      <c r="D2" s="224" t="s">
        <v>121</v>
      </c>
      <c r="E2" s="277" t="s">
        <v>120</v>
      </c>
      <c r="F2" s="277" t="s">
        <v>188</v>
      </c>
      <c r="G2" s="224" t="s">
        <v>107</v>
      </c>
      <c r="H2" s="224" t="s">
        <v>106</v>
      </c>
      <c r="I2" s="276" t="s">
        <v>119</v>
      </c>
      <c r="J2" s="225" t="str">
        <f>IF(Serialize,_xll.ohObjectSave(J3:J44,SerializationPath&amp;J1,FileOverwrite,Serialize),"---")</f>
        <v>---</v>
      </c>
      <c r="K2" s="278" t="str">
        <f>_xll.ohRangeRetrieveError(J2)</f>
        <v/>
      </c>
      <c r="L2" s="274"/>
    </row>
    <row r="3" spans="1:13" ht="12" customHeight="1" x14ac:dyDescent="0.25">
      <c r="A3" s="279"/>
      <c r="B3" s="232">
        <v>1</v>
      </c>
      <c r="C3" s="232" t="s">
        <v>186</v>
      </c>
      <c r="D3" s="232" t="b">
        <v>0</v>
      </c>
      <c r="E3" s="280" t="str">
        <f t="array" ref="E3:E44">_xll.qlIMMNextCodes(_xll.qlSettingsEvaluationDate(Trigger)-1,$D3:$D122)</f>
        <v>U5</v>
      </c>
      <c r="F3" s="281">
        <f>_xll.qlIMMdate(E3)</f>
        <v>42263</v>
      </c>
      <c r="G3" s="232" t="str">
        <f t="shared" ref="G3:G34" si="0">PROPER(Currency)&amp;FamilyName&amp;$G$1</f>
        <v>Euribor3M</v>
      </c>
      <c r="H3" s="282" t="str">
        <f t="shared" ref="H3:H34" si="1">Currency&amp;"FUT"&amp;$G$1&amp;$E3&amp;QuoteSuffix</f>
        <v>EURFUT3MU5_Quote</v>
      </c>
      <c r="I3" s="282" t="str">
        <f t="shared" ref="I3:I34" si="2">Currency&amp;"FUT"&amp;$G$1&amp;$E3&amp;"ConvAdj"&amp;QuoteSuffix</f>
        <v>EURFUT3MU5ConvAdj_Quote</v>
      </c>
      <c r="J3" s="283" t="str">
        <f>_xll.qlFuturesRateHelper(,$H3,$C3,$F3,$G3,$I3,Permanent,Trigger,ObjectOverwrite)</f>
        <v>obj_005bc#0004</v>
      </c>
      <c r="K3" s="284" t="str">
        <f>_xll.ohRangeRetrieveError(J3)</f>
        <v/>
      </c>
      <c r="L3" s="274"/>
      <c r="M3" s="285"/>
    </row>
    <row r="4" spans="1:13" ht="12" customHeight="1" x14ac:dyDescent="0.25">
      <c r="A4" s="279"/>
      <c r="B4" s="160">
        <v>2</v>
      </c>
      <c r="C4" s="160" t="s">
        <v>186</v>
      </c>
      <c r="D4" s="160" t="b">
        <v>0</v>
      </c>
      <c r="E4" s="286" t="str">
        <v>V5</v>
      </c>
      <c r="F4" s="287">
        <f>_xll.qlIMMdate(E4)</f>
        <v>42298</v>
      </c>
      <c r="G4" s="160" t="str">
        <f t="shared" si="0"/>
        <v>Euribor3M</v>
      </c>
      <c r="H4" s="288" t="str">
        <f t="shared" si="1"/>
        <v>EURFUT3MV5_Quote</v>
      </c>
      <c r="I4" s="288" t="str">
        <f t="shared" si="2"/>
        <v>EURFUT3MV5ConvAdj_Quote</v>
      </c>
      <c r="J4" s="289" t="str">
        <f>_xll.qlFuturesRateHelper(,$H4,$C4,$F4,$G4,$I4,Permanent,Trigger,ObjectOverwrite)</f>
        <v>obj_005ba#0004</v>
      </c>
      <c r="K4" s="290" t="str">
        <f>_xll.ohRangeRetrieveError(J4)</f>
        <v/>
      </c>
      <c r="L4" s="274"/>
      <c r="M4" s="285"/>
    </row>
    <row r="5" spans="1:13" ht="12" customHeight="1" x14ac:dyDescent="0.25">
      <c r="A5" s="279"/>
      <c r="B5" s="160">
        <v>3</v>
      </c>
      <c r="C5" s="160" t="s">
        <v>186</v>
      </c>
      <c r="D5" s="160" t="b">
        <v>0</v>
      </c>
      <c r="E5" s="286" t="str">
        <v>X5</v>
      </c>
      <c r="F5" s="287">
        <f>_xll.qlIMMdate(E5)</f>
        <v>42326</v>
      </c>
      <c r="G5" s="160" t="str">
        <f t="shared" si="0"/>
        <v>Euribor3M</v>
      </c>
      <c r="H5" s="288" t="str">
        <f t="shared" si="1"/>
        <v>EURFUT3MX5_Quote</v>
      </c>
      <c r="I5" s="288" t="str">
        <f t="shared" si="2"/>
        <v>EURFUT3MX5ConvAdj_Quote</v>
      </c>
      <c r="J5" s="289" t="str">
        <f>_xll.qlFuturesRateHelper(,$H5,$C5,$F5,$G5,$I5,Permanent,Trigger,ObjectOverwrite)</f>
        <v>obj_00596#0004</v>
      </c>
      <c r="K5" s="290" t="str">
        <f>_xll.ohRangeRetrieveError(J5)</f>
        <v/>
      </c>
      <c r="L5" s="274"/>
      <c r="M5" s="285"/>
    </row>
    <row r="6" spans="1:13" ht="12" customHeight="1" x14ac:dyDescent="0.25">
      <c r="A6" s="279"/>
      <c r="B6" s="160">
        <v>4</v>
      </c>
      <c r="C6" s="160" t="s">
        <v>186</v>
      </c>
      <c r="D6" s="160" t="b">
        <v>0</v>
      </c>
      <c r="E6" s="286" t="str">
        <v>Z5</v>
      </c>
      <c r="F6" s="287">
        <f>_xll.qlIMMdate(E6)</f>
        <v>42354</v>
      </c>
      <c r="G6" s="160" t="str">
        <f t="shared" si="0"/>
        <v>Euribor3M</v>
      </c>
      <c r="H6" s="288" t="str">
        <f t="shared" si="1"/>
        <v>EURFUT3MZ5_Quote</v>
      </c>
      <c r="I6" s="288" t="str">
        <f t="shared" si="2"/>
        <v>EURFUT3MZ5ConvAdj_Quote</v>
      </c>
      <c r="J6" s="289" t="str">
        <f>_xll.qlFuturesRateHelper(,$H6,$C6,$F6,$G6,$I6,Permanent,Trigger,ObjectOverwrite)</f>
        <v>obj_005b0#0004</v>
      </c>
      <c r="K6" s="290" t="str">
        <f>_xll.ohRangeRetrieveError(J6)</f>
        <v/>
      </c>
      <c r="L6" s="274"/>
      <c r="M6" s="285"/>
    </row>
    <row r="7" spans="1:13" ht="12" customHeight="1" x14ac:dyDescent="0.25">
      <c r="A7" s="279"/>
      <c r="B7" s="160">
        <v>5</v>
      </c>
      <c r="C7" s="160" t="s">
        <v>186</v>
      </c>
      <c r="D7" s="160" t="b">
        <v>0</v>
      </c>
      <c r="E7" s="286" t="str">
        <v>F6</v>
      </c>
      <c r="F7" s="287">
        <f>_xll.qlIMMdate(E7)</f>
        <v>42389</v>
      </c>
      <c r="G7" s="160" t="str">
        <f t="shared" si="0"/>
        <v>Euribor3M</v>
      </c>
      <c r="H7" s="288" t="str">
        <f t="shared" si="1"/>
        <v>EURFUT3MF6_Quote</v>
      </c>
      <c r="I7" s="288" t="str">
        <f t="shared" si="2"/>
        <v>EURFUT3MF6ConvAdj_Quote</v>
      </c>
      <c r="J7" s="289" t="str">
        <f>_xll.qlFuturesRateHelper(,$H7,$C7,$F7,$G7,$I7,Permanent,Trigger,ObjectOverwrite)</f>
        <v>obj_005ab#0004</v>
      </c>
      <c r="K7" s="290" t="str">
        <f>_xll.ohRangeRetrieveError(J7)</f>
        <v/>
      </c>
      <c r="L7" s="274"/>
      <c r="M7" s="285"/>
    </row>
    <row r="8" spans="1:13" ht="12" customHeight="1" x14ac:dyDescent="0.25">
      <c r="A8" s="279"/>
      <c r="B8" s="160">
        <v>6</v>
      </c>
      <c r="C8" s="160" t="s">
        <v>186</v>
      </c>
      <c r="D8" s="160" t="b">
        <v>0</v>
      </c>
      <c r="E8" s="286" t="str">
        <v>G6</v>
      </c>
      <c r="F8" s="287">
        <f>_xll.qlIMMdate(E8)</f>
        <v>42417</v>
      </c>
      <c r="G8" s="160" t="str">
        <f t="shared" si="0"/>
        <v>Euribor3M</v>
      </c>
      <c r="H8" s="288" t="str">
        <f t="shared" si="1"/>
        <v>EURFUT3MG6_Quote</v>
      </c>
      <c r="I8" s="288" t="str">
        <f t="shared" si="2"/>
        <v>EURFUT3MG6ConvAdj_Quote</v>
      </c>
      <c r="J8" s="289" t="str">
        <f>_xll.qlFuturesRateHelper(,$H8,$C8,$F8,$G8,$I8,Permanent,Trigger,ObjectOverwrite)</f>
        <v>obj_005a3#0004</v>
      </c>
      <c r="K8" s="290" t="str">
        <f>_xll.ohRangeRetrieveError(J8)</f>
        <v/>
      </c>
      <c r="L8" s="274"/>
      <c r="M8" s="285"/>
    </row>
    <row r="9" spans="1:13" ht="12" customHeight="1" x14ac:dyDescent="0.25">
      <c r="A9" s="279"/>
      <c r="B9" s="160">
        <v>7</v>
      </c>
      <c r="C9" s="160" t="s">
        <v>186</v>
      </c>
      <c r="D9" s="160" t="b">
        <v>0</v>
      </c>
      <c r="E9" s="286" t="str">
        <v>H6</v>
      </c>
      <c r="F9" s="287">
        <f>_xll.qlIMMdate(E9)</f>
        <v>42445</v>
      </c>
      <c r="G9" s="160" t="str">
        <f t="shared" si="0"/>
        <v>Euribor3M</v>
      </c>
      <c r="H9" s="288" t="str">
        <f t="shared" si="1"/>
        <v>EURFUT3MH6_Quote</v>
      </c>
      <c r="I9" s="288" t="str">
        <f t="shared" si="2"/>
        <v>EURFUT3MH6ConvAdj_Quote</v>
      </c>
      <c r="J9" s="289" t="str">
        <f>_xll.qlFuturesRateHelper(,$H9,$C9,$F9,$G9,$I9,Permanent,Trigger,ObjectOverwrite)</f>
        <v>obj_00598#0004</v>
      </c>
      <c r="K9" s="290" t="str">
        <f>_xll.ohRangeRetrieveError(J9)</f>
        <v/>
      </c>
      <c r="L9" s="274"/>
      <c r="M9" s="285"/>
    </row>
    <row r="10" spans="1:13" ht="12" customHeight="1" x14ac:dyDescent="0.25">
      <c r="A10" s="279"/>
      <c r="B10" s="160">
        <v>8</v>
      </c>
      <c r="C10" s="160" t="s">
        <v>186</v>
      </c>
      <c r="D10" s="160" t="b">
        <v>0</v>
      </c>
      <c r="E10" s="286" t="str">
        <v>J6</v>
      </c>
      <c r="F10" s="287">
        <f>_xll.qlIMMdate(E10)</f>
        <v>42480</v>
      </c>
      <c r="G10" s="160" t="str">
        <f t="shared" si="0"/>
        <v>Euribor3M</v>
      </c>
      <c r="H10" s="288" t="str">
        <f t="shared" si="1"/>
        <v>EURFUT3MJ6_Quote</v>
      </c>
      <c r="I10" s="288" t="str">
        <f t="shared" si="2"/>
        <v>EURFUT3MJ6ConvAdj_Quote</v>
      </c>
      <c r="J10" s="289" t="str">
        <f>_xll.qlFuturesRateHelper(,$H10,$C10,$F10,$G10,$I10,Permanent,Trigger,ObjectOverwrite)</f>
        <v>obj_005b4#0004</v>
      </c>
      <c r="K10" s="290" t="str">
        <f>_xll.ohRangeRetrieveError(J10)</f>
        <v/>
      </c>
      <c r="L10" s="274"/>
      <c r="M10" s="285"/>
    </row>
    <row r="11" spans="1:13" ht="12" customHeight="1" x14ac:dyDescent="0.25">
      <c r="A11" s="279"/>
      <c r="B11" s="160">
        <v>9</v>
      </c>
      <c r="C11" s="160" t="s">
        <v>186</v>
      </c>
      <c r="D11" s="160" t="b">
        <v>0</v>
      </c>
      <c r="E11" s="286" t="str">
        <v>K6</v>
      </c>
      <c r="F11" s="287">
        <f>_xll.qlIMMdate(E11)</f>
        <v>42508</v>
      </c>
      <c r="G11" s="160" t="str">
        <f t="shared" si="0"/>
        <v>Euribor3M</v>
      </c>
      <c r="H11" s="288" t="str">
        <f t="shared" si="1"/>
        <v>EURFUT3MK6_Quote</v>
      </c>
      <c r="I11" s="288" t="str">
        <f t="shared" si="2"/>
        <v>EURFUT3MK6ConvAdj_Quote</v>
      </c>
      <c r="J11" s="289" t="str">
        <f>_xll.qlFuturesRateHelper(,$H11,$C11,$F11,$G11,$I11,Permanent,Trigger,ObjectOverwrite)</f>
        <v>obj_005bd#0004</v>
      </c>
      <c r="K11" s="290" t="str">
        <f>_xll.ohRangeRetrieveError(J11)</f>
        <v/>
      </c>
      <c r="L11" s="274"/>
      <c r="M11" s="285"/>
    </row>
    <row r="12" spans="1:13" ht="12" customHeight="1" x14ac:dyDescent="0.25">
      <c r="A12" s="279"/>
      <c r="B12" s="160">
        <v>10</v>
      </c>
      <c r="C12" s="160" t="s">
        <v>186</v>
      </c>
      <c r="D12" s="160" t="b">
        <v>0</v>
      </c>
      <c r="E12" s="286" t="str">
        <v>M6</v>
      </c>
      <c r="F12" s="287">
        <f>_xll.qlIMMdate(E12)</f>
        <v>42536</v>
      </c>
      <c r="G12" s="160" t="str">
        <f t="shared" si="0"/>
        <v>Euribor3M</v>
      </c>
      <c r="H12" s="288" t="str">
        <f t="shared" si="1"/>
        <v>EURFUT3MM6_Quote</v>
      </c>
      <c r="I12" s="288" t="str">
        <f t="shared" si="2"/>
        <v>EURFUT3MM6ConvAdj_Quote</v>
      </c>
      <c r="J12" s="289" t="str">
        <f>_xll.qlFuturesRateHelper(,$H12,$C12,$F12,$G12,$I12,Permanent,Trigger,ObjectOverwrite)</f>
        <v>obj_005a2#0004</v>
      </c>
      <c r="K12" s="290" t="str">
        <f>_xll.ohRangeRetrieveError(J12)</f>
        <v/>
      </c>
      <c r="L12" s="274"/>
      <c r="M12" s="285"/>
    </row>
    <row r="13" spans="1:13" ht="12" customHeight="1" x14ac:dyDescent="0.25">
      <c r="A13" s="279"/>
      <c r="B13" s="160">
        <v>11</v>
      </c>
      <c r="C13" s="160" t="s">
        <v>186</v>
      </c>
      <c r="D13" s="160" t="b">
        <v>0</v>
      </c>
      <c r="E13" s="286" t="str">
        <v>N6</v>
      </c>
      <c r="F13" s="287">
        <f>_xll.qlIMMdate(E13)</f>
        <v>42571</v>
      </c>
      <c r="G13" s="160" t="str">
        <f t="shared" si="0"/>
        <v>Euribor3M</v>
      </c>
      <c r="H13" s="288" t="str">
        <f t="shared" si="1"/>
        <v>EURFUT3MN6_Quote</v>
      </c>
      <c r="I13" s="288" t="str">
        <f t="shared" si="2"/>
        <v>EURFUT3MN6ConvAdj_Quote</v>
      </c>
      <c r="J13" s="289" t="str">
        <f>_xll.qlFuturesRateHelper(,$H13,$C13,$F13,$G13,$I13,Permanent,Trigger,ObjectOverwrite)</f>
        <v>obj_005b2#0004</v>
      </c>
      <c r="K13" s="290" t="str">
        <f>_xll.ohRangeRetrieveError(J13)</f>
        <v/>
      </c>
      <c r="L13" s="274"/>
      <c r="M13" s="285"/>
    </row>
    <row r="14" spans="1:13" ht="12" customHeight="1" x14ac:dyDescent="0.25">
      <c r="A14" s="279"/>
      <c r="B14" s="160">
        <v>12</v>
      </c>
      <c r="C14" s="160" t="s">
        <v>186</v>
      </c>
      <c r="D14" s="160" t="b">
        <v>0</v>
      </c>
      <c r="E14" s="286" t="str">
        <v>Q6</v>
      </c>
      <c r="F14" s="287">
        <f>_xll.qlIMMdate(E14)</f>
        <v>42599</v>
      </c>
      <c r="G14" s="160" t="str">
        <f t="shared" si="0"/>
        <v>Euribor3M</v>
      </c>
      <c r="H14" s="288" t="str">
        <f t="shared" si="1"/>
        <v>EURFUT3MQ6_Quote</v>
      </c>
      <c r="I14" s="288" t="str">
        <f t="shared" si="2"/>
        <v>EURFUT3MQ6ConvAdj_Quote</v>
      </c>
      <c r="J14" s="289" t="str">
        <f>_xll.qlFuturesRateHelper(,$H14,$C14,$F14,$G14,$I14,Permanent,Trigger,ObjectOverwrite)</f>
        <v>obj_005ac#0004</v>
      </c>
      <c r="K14" s="290" t="str">
        <f>_xll.ohRangeRetrieveError(J14)</f>
        <v/>
      </c>
      <c r="L14" s="274"/>
      <c r="M14" s="285"/>
    </row>
    <row r="15" spans="1:13" ht="12" customHeight="1" x14ac:dyDescent="0.25">
      <c r="A15" s="279"/>
      <c r="B15" s="160">
        <v>13</v>
      </c>
      <c r="C15" s="160" t="s">
        <v>186</v>
      </c>
      <c r="D15" s="160" t="b">
        <v>1</v>
      </c>
      <c r="E15" s="286" t="str">
        <v>U6</v>
      </c>
      <c r="F15" s="287">
        <f>_xll.qlIMMdate(E15)</f>
        <v>42634</v>
      </c>
      <c r="G15" s="160" t="str">
        <f t="shared" si="0"/>
        <v>Euribor3M</v>
      </c>
      <c r="H15" s="288" t="str">
        <f t="shared" si="1"/>
        <v>EURFUT3MU6_Quote</v>
      </c>
      <c r="I15" s="288" t="str">
        <f t="shared" si="2"/>
        <v>EURFUT3MU6ConvAdj_Quote</v>
      </c>
      <c r="J15" s="289" t="str">
        <f>_xll.qlFuturesRateHelper(,$H15,$C15,$F15,$G15,$I15,Permanent,Trigger,ObjectOverwrite)</f>
        <v>obj_0059f#0004</v>
      </c>
      <c r="K15" s="290" t="str">
        <f>_xll.ohRangeRetrieveError(J15)</f>
        <v/>
      </c>
      <c r="L15" s="274"/>
      <c r="M15" s="285"/>
    </row>
    <row r="16" spans="1:13" ht="12" customHeight="1" x14ac:dyDescent="0.25">
      <c r="A16" s="279"/>
      <c r="B16" s="160">
        <v>14</v>
      </c>
      <c r="C16" s="160" t="s">
        <v>186</v>
      </c>
      <c r="D16" s="160" t="b">
        <v>1</v>
      </c>
      <c r="E16" s="286" t="str">
        <v>Z6</v>
      </c>
      <c r="F16" s="287">
        <f>_xll.qlIMMdate(E16)</f>
        <v>42725</v>
      </c>
      <c r="G16" s="160" t="str">
        <f t="shared" si="0"/>
        <v>Euribor3M</v>
      </c>
      <c r="H16" s="288" t="str">
        <f t="shared" si="1"/>
        <v>EURFUT3MZ6_Quote</v>
      </c>
      <c r="I16" s="288" t="str">
        <f t="shared" si="2"/>
        <v>EURFUT3MZ6ConvAdj_Quote</v>
      </c>
      <c r="J16" s="289" t="str">
        <f>_xll.qlFuturesRateHelper(,$H16,$C16,$F16,$G16,$I16,Permanent,Trigger,ObjectOverwrite)</f>
        <v>obj_005b1#0004</v>
      </c>
      <c r="K16" s="290" t="str">
        <f>_xll.ohRangeRetrieveError(J16)</f>
        <v/>
      </c>
      <c r="L16" s="274"/>
      <c r="M16" s="285"/>
    </row>
    <row r="17" spans="1:13" ht="12" customHeight="1" x14ac:dyDescent="0.25">
      <c r="A17" s="279"/>
      <c r="B17" s="160">
        <v>15</v>
      </c>
      <c r="C17" s="160" t="s">
        <v>186</v>
      </c>
      <c r="D17" s="160" t="b">
        <v>1</v>
      </c>
      <c r="E17" s="286" t="str">
        <v>H7</v>
      </c>
      <c r="F17" s="287">
        <f>_xll.qlIMMdate(E17)</f>
        <v>42809</v>
      </c>
      <c r="G17" s="160" t="str">
        <f t="shared" si="0"/>
        <v>Euribor3M</v>
      </c>
      <c r="H17" s="288" t="str">
        <f t="shared" si="1"/>
        <v>EURFUT3MH7_Quote</v>
      </c>
      <c r="I17" s="288" t="str">
        <f t="shared" si="2"/>
        <v>EURFUT3MH7ConvAdj_Quote</v>
      </c>
      <c r="J17" s="289" t="str">
        <f>_xll.qlFuturesRateHelper(,$H17,$C17,$F17,$G17,$I17,Permanent,Trigger,ObjectOverwrite)</f>
        <v>obj_0059c#0004</v>
      </c>
      <c r="K17" s="290" t="str">
        <f>_xll.ohRangeRetrieveError(J17)</f>
        <v/>
      </c>
      <c r="L17" s="274"/>
      <c r="M17" s="285"/>
    </row>
    <row r="18" spans="1:13" ht="12" customHeight="1" x14ac:dyDescent="0.25">
      <c r="A18" s="279"/>
      <c r="B18" s="160">
        <v>16</v>
      </c>
      <c r="C18" s="160" t="s">
        <v>186</v>
      </c>
      <c r="D18" s="160" t="b">
        <v>1</v>
      </c>
      <c r="E18" s="286" t="str">
        <v>M7</v>
      </c>
      <c r="F18" s="287">
        <f>_xll.qlIMMdate(E18)</f>
        <v>42907</v>
      </c>
      <c r="G18" s="160" t="str">
        <f t="shared" si="0"/>
        <v>Euribor3M</v>
      </c>
      <c r="H18" s="288" t="str">
        <f t="shared" si="1"/>
        <v>EURFUT3MM7_Quote</v>
      </c>
      <c r="I18" s="288" t="str">
        <f t="shared" si="2"/>
        <v>EURFUT3MM7ConvAdj_Quote</v>
      </c>
      <c r="J18" s="289" t="str">
        <f>_xll.qlFuturesRateHelper(,$H18,$C18,$F18,$G18,$I18,Permanent,Trigger,ObjectOverwrite)</f>
        <v>obj_005a0#0004</v>
      </c>
      <c r="K18" s="290" t="str">
        <f>_xll.ohRangeRetrieveError(J18)</f>
        <v/>
      </c>
      <c r="L18" s="274"/>
      <c r="M18" s="285"/>
    </row>
    <row r="19" spans="1:13" ht="12" customHeight="1" x14ac:dyDescent="0.25">
      <c r="A19" s="279"/>
      <c r="B19" s="160">
        <v>17</v>
      </c>
      <c r="C19" s="160" t="s">
        <v>186</v>
      </c>
      <c r="D19" s="160" t="b">
        <v>1</v>
      </c>
      <c r="E19" s="286" t="str">
        <v>U7</v>
      </c>
      <c r="F19" s="287">
        <f>_xll.qlIMMdate(E19)</f>
        <v>42998</v>
      </c>
      <c r="G19" s="160" t="str">
        <f t="shared" si="0"/>
        <v>Euribor3M</v>
      </c>
      <c r="H19" s="288" t="str">
        <f t="shared" si="1"/>
        <v>EURFUT3MU7_Quote</v>
      </c>
      <c r="I19" s="288" t="str">
        <f t="shared" si="2"/>
        <v>EURFUT3MU7ConvAdj_Quote</v>
      </c>
      <c r="J19" s="289" t="str">
        <f>_xll.qlFuturesRateHelper(,$H19,$C19,$F19,$G19,$I19,Permanent,Trigger,ObjectOverwrite)</f>
        <v>obj_005a6#0004</v>
      </c>
      <c r="K19" s="290" t="str">
        <f>_xll.ohRangeRetrieveError(J19)</f>
        <v/>
      </c>
      <c r="L19" s="274"/>
      <c r="M19" s="285"/>
    </row>
    <row r="20" spans="1:13" ht="12" customHeight="1" x14ac:dyDescent="0.25">
      <c r="A20" s="279"/>
      <c r="B20" s="160">
        <v>18</v>
      </c>
      <c r="C20" s="160" t="s">
        <v>186</v>
      </c>
      <c r="D20" s="160" t="b">
        <v>1</v>
      </c>
      <c r="E20" s="286" t="str">
        <v>Z7</v>
      </c>
      <c r="F20" s="287">
        <f>_xll.qlIMMdate(E20)</f>
        <v>43089</v>
      </c>
      <c r="G20" s="160" t="str">
        <f t="shared" si="0"/>
        <v>Euribor3M</v>
      </c>
      <c r="H20" s="288" t="str">
        <f t="shared" si="1"/>
        <v>EURFUT3MZ7_Quote</v>
      </c>
      <c r="I20" s="288" t="str">
        <f t="shared" si="2"/>
        <v>EURFUT3MZ7ConvAdj_Quote</v>
      </c>
      <c r="J20" s="289" t="str">
        <f>_xll.qlFuturesRateHelper(,$H20,$C20,$F20,$G20,$I20,Permanent,Trigger,ObjectOverwrite)</f>
        <v>obj_00595#0004</v>
      </c>
      <c r="K20" s="290" t="str">
        <f>_xll.ohRangeRetrieveError(J20)</f>
        <v/>
      </c>
      <c r="L20" s="274"/>
      <c r="M20" s="285"/>
    </row>
    <row r="21" spans="1:13" ht="12" customHeight="1" x14ac:dyDescent="0.25">
      <c r="A21" s="279"/>
      <c r="B21" s="160">
        <v>19</v>
      </c>
      <c r="C21" s="160" t="s">
        <v>186</v>
      </c>
      <c r="D21" s="160" t="b">
        <v>1</v>
      </c>
      <c r="E21" s="286" t="str">
        <v>H8</v>
      </c>
      <c r="F21" s="287">
        <f>_xll.qlIMMdate(E21)</f>
        <v>43180</v>
      </c>
      <c r="G21" s="160" t="str">
        <f t="shared" si="0"/>
        <v>Euribor3M</v>
      </c>
      <c r="H21" s="288" t="str">
        <f t="shared" si="1"/>
        <v>EURFUT3MH8_Quote</v>
      </c>
      <c r="I21" s="288" t="str">
        <f t="shared" si="2"/>
        <v>EURFUT3MH8ConvAdj_Quote</v>
      </c>
      <c r="J21" s="289" t="str">
        <f>_xll.qlFuturesRateHelper(,$H21,$C21,$F21,$G21,$I21,Permanent,Trigger,ObjectOverwrite)</f>
        <v>obj_00597#0004</v>
      </c>
      <c r="K21" s="290" t="str">
        <f>_xll.ohRangeRetrieveError(J21)</f>
        <v/>
      </c>
      <c r="L21" s="274"/>
      <c r="M21" s="285"/>
    </row>
    <row r="22" spans="1:13" ht="12" customHeight="1" x14ac:dyDescent="0.25">
      <c r="A22" s="279"/>
      <c r="B22" s="160">
        <v>20</v>
      </c>
      <c r="C22" s="160" t="s">
        <v>186</v>
      </c>
      <c r="D22" s="160" t="b">
        <v>1</v>
      </c>
      <c r="E22" s="286" t="str">
        <v>M8</v>
      </c>
      <c r="F22" s="287">
        <f>_xll.qlIMMdate(E22)</f>
        <v>43271</v>
      </c>
      <c r="G22" s="160" t="str">
        <f t="shared" si="0"/>
        <v>Euribor3M</v>
      </c>
      <c r="H22" s="288" t="str">
        <f t="shared" si="1"/>
        <v>EURFUT3MM8_Quote</v>
      </c>
      <c r="I22" s="288" t="str">
        <f t="shared" si="2"/>
        <v>EURFUT3MM8ConvAdj_Quote</v>
      </c>
      <c r="J22" s="289" t="str">
        <f>_xll.qlFuturesRateHelper(,$H22,$C22,$F22,$G22,$I22,Permanent,Trigger,ObjectOverwrite)</f>
        <v>obj_0059e#0004</v>
      </c>
      <c r="K22" s="290" t="str">
        <f>_xll.ohRangeRetrieveError(J22)</f>
        <v/>
      </c>
      <c r="L22" s="274"/>
      <c r="M22" s="285"/>
    </row>
    <row r="23" spans="1:13" ht="12" customHeight="1" x14ac:dyDescent="0.25">
      <c r="A23" s="279"/>
      <c r="B23" s="160">
        <v>21</v>
      </c>
      <c r="C23" s="160" t="s">
        <v>186</v>
      </c>
      <c r="D23" s="160" t="b">
        <v>1</v>
      </c>
      <c r="E23" s="286" t="str">
        <v>U8</v>
      </c>
      <c r="F23" s="287">
        <f>_xll.qlIMMdate(E23)</f>
        <v>43362</v>
      </c>
      <c r="G23" s="160" t="str">
        <f t="shared" si="0"/>
        <v>Euribor3M</v>
      </c>
      <c r="H23" s="288" t="str">
        <f t="shared" si="1"/>
        <v>EURFUT3MU8_Quote</v>
      </c>
      <c r="I23" s="288" t="str">
        <f t="shared" si="2"/>
        <v>EURFUT3MU8ConvAdj_Quote</v>
      </c>
      <c r="J23" s="289" t="str">
        <f>_xll.qlFuturesRateHelper(,$H23,$C23,$F23,$G23,$I23,Permanent,Trigger,ObjectOverwrite)</f>
        <v>obj_005b9#0004</v>
      </c>
      <c r="K23" s="290" t="str">
        <f>_xll.ohRangeRetrieveError(J23)</f>
        <v/>
      </c>
      <c r="L23" s="274"/>
      <c r="M23" s="285"/>
    </row>
    <row r="24" spans="1:13" ht="12" customHeight="1" x14ac:dyDescent="0.25">
      <c r="A24" s="279"/>
      <c r="B24" s="160">
        <v>22</v>
      </c>
      <c r="C24" s="160" t="s">
        <v>186</v>
      </c>
      <c r="D24" s="160" t="b">
        <v>1</v>
      </c>
      <c r="E24" s="286" t="str">
        <v>Z8</v>
      </c>
      <c r="F24" s="287">
        <f>_xll.qlIMMdate(E24)</f>
        <v>43453</v>
      </c>
      <c r="G24" s="160" t="str">
        <f t="shared" si="0"/>
        <v>Euribor3M</v>
      </c>
      <c r="H24" s="288" t="str">
        <f t="shared" si="1"/>
        <v>EURFUT3MZ8_Quote</v>
      </c>
      <c r="I24" s="288" t="str">
        <f t="shared" si="2"/>
        <v>EURFUT3MZ8ConvAdj_Quote</v>
      </c>
      <c r="J24" s="289" t="str">
        <f>_xll.qlFuturesRateHelper(,$H24,$C24,$F24,$G24,$I24,Permanent,Trigger,ObjectOverwrite)</f>
        <v>obj_005a7#0004</v>
      </c>
      <c r="K24" s="290" t="str">
        <f>_xll.ohRangeRetrieveError(J24)</f>
        <v/>
      </c>
      <c r="L24" s="274"/>
      <c r="M24" s="285"/>
    </row>
    <row r="25" spans="1:13" ht="12" customHeight="1" x14ac:dyDescent="0.25">
      <c r="A25" s="279"/>
      <c r="B25" s="160">
        <v>23</v>
      </c>
      <c r="C25" s="160" t="s">
        <v>186</v>
      </c>
      <c r="D25" s="160" t="b">
        <v>1</v>
      </c>
      <c r="E25" s="286" t="str">
        <v>H9</v>
      </c>
      <c r="F25" s="287">
        <f>_xll.qlIMMdate(E25)</f>
        <v>43544</v>
      </c>
      <c r="G25" s="160" t="str">
        <f t="shared" si="0"/>
        <v>Euribor3M</v>
      </c>
      <c r="H25" s="288" t="str">
        <f t="shared" si="1"/>
        <v>EURFUT3MH9_Quote</v>
      </c>
      <c r="I25" s="288" t="str">
        <f t="shared" si="2"/>
        <v>EURFUT3MH9ConvAdj_Quote</v>
      </c>
      <c r="J25" s="289" t="str">
        <f>_xll.qlFuturesRateHelper(,$H25,$C25,$F25,$G25,$I25,Permanent,Trigger,ObjectOverwrite)</f>
        <v>obj_005b7#0004</v>
      </c>
      <c r="K25" s="290" t="str">
        <f>_xll.ohRangeRetrieveError(J25)</f>
        <v/>
      </c>
      <c r="L25" s="274"/>
      <c r="M25" s="285"/>
    </row>
    <row r="26" spans="1:13" ht="12" customHeight="1" x14ac:dyDescent="0.25">
      <c r="A26" s="279"/>
      <c r="B26" s="160">
        <v>24</v>
      </c>
      <c r="C26" s="160" t="s">
        <v>186</v>
      </c>
      <c r="D26" s="160" t="b">
        <v>1</v>
      </c>
      <c r="E26" s="286" t="str">
        <v>M9</v>
      </c>
      <c r="F26" s="287">
        <f>_xll.qlIMMdate(E26)</f>
        <v>43635</v>
      </c>
      <c r="G26" s="160" t="str">
        <f t="shared" si="0"/>
        <v>Euribor3M</v>
      </c>
      <c r="H26" s="288" t="str">
        <f t="shared" si="1"/>
        <v>EURFUT3MM9_Quote</v>
      </c>
      <c r="I26" s="288" t="str">
        <f t="shared" si="2"/>
        <v>EURFUT3MM9ConvAdj_Quote</v>
      </c>
      <c r="J26" s="289" t="str">
        <f>_xll.qlFuturesRateHelper(,$H26,$C26,$F26,$G26,$I26,Permanent,Trigger,ObjectOverwrite)</f>
        <v>obj_005a8#0004</v>
      </c>
      <c r="K26" s="290" t="str">
        <f>_xll.ohRangeRetrieveError(J26)</f>
        <v/>
      </c>
      <c r="L26" s="274"/>
      <c r="M26" s="285"/>
    </row>
    <row r="27" spans="1:13" ht="12" customHeight="1" x14ac:dyDescent="0.25">
      <c r="A27" s="279"/>
      <c r="B27" s="160">
        <v>25</v>
      </c>
      <c r="C27" s="160" t="s">
        <v>186</v>
      </c>
      <c r="D27" s="160" t="b">
        <v>1</v>
      </c>
      <c r="E27" s="286" t="str">
        <v>U9</v>
      </c>
      <c r="F27" s="287">
        <f>_xll.qlIMMdate(E27)</f>
        <v>43726</v>
      </c>
      <c r="G27" s="160" t="str">
        <f t="shared" si="0"/>
        <v>Euribor3M</v>
      </c>
      <c r="H27" s="288" t="str">
        <f t="shared" si="1"/>
        <v>EURFUT3MU9_Quote</v>
      </c>
      <c r="I27" s="288" t="str">
        <f t="shared" si="2"/>
        <v>EURFUT3MU9ConvAdj_Quote</v>
      </c>
      <c r="J27" s="289" t="str">
        <f>_xll.qlFuturesRateHelper(,$H27,$C27,$F27,$G27,$I27,Permanent,Trigger,ObjectOverwrite)</f>
        <v>obj_005aa#0004</v>
      </c>
      <c r="K27" s="290" t="str">
        <f>_xll.ohRangeRetrieveError(J27)</f>
        <v/>
      </c>
      <c r="L27" s="274"/>
      <c r="M27" s="285"/>
    </row>
    <row r="28" spans="1:13" ht="12" customHeight="1" x14ac:dyDescent="0.25">
      <c r="A28" s="279"/>
      <c r="B28" s="160">
        <v>26</v>
      </c>
      <c r="C28" s="160" t="s">
        <v>186</v>
      </c>
      <c r="D28" s="160" t="b">
        <v>1</v>
      </c>
      <c r="E28" s="286" t="str">
        <v>Z9</v>
      </c>
      <c r="F28" s="287">
        <f>_xll.qlIMMdate(E28)</f>
        <v>43817</v>
      </c>
      <c r="G28" s="160" t="str">
        <f t="shared" si="0"/>
        <v>Euribor3M</v>
      </c>
      <c r="H28" s="288" t="str">
        <f t="shared" si="1"/>
        <v>EURFUT3MZ9_Quote</v>
      </c>
      <c r="I28" s="288" t="str">
        <f t="shared" si="2"/>
        <v>EURFUT3MZ9ConvAdj_Quote</v>
      </c>
      <c r="J28" s="289" t="str">
        <f>_xll.qlFuturesRateHelper(,$H28,$C28,$F28,$G28,$I28,Permanent,Trigger,ObjectOverwrite)</f>
        <v>obj_005a1#0004</v>
      </c>
      <c r="K28" s="290" t="str">
        <f>_xll.ohRangeRetrieveError(J28)</f>
        <v/>
      </c>
      <c r="L28" s="274"/>
      <c r="M28" s="285"/>
    </row>
    <row r="29" spans="1:13" ht="12" customHeight="1" x14ac:dyDescent="0.25">
      <c r="A29" s="279"/>
      <c r="B29" s="160">
        <v>27</v>
      </c>
      <c r="C29" s="160" t="s">
        <v>186</v>
      </c>
      <c r="D29" s="160" t="b">
        <v>1</v>
      </c>
      <c r="E29" s="286" t="str">
        <v>H0</v>
      </c>
      <c r="F29" s="287">
        <f>_xll.qlIMMdate(E29)</f>
        <v>43908</v>
      </c>
      <c r="G29" s="160" t="str">
        <f t="shared" si="0"/>
        <v>Euribor3M</v>
      </c>
      <c r="H29" s="288" t="str">
        <f t="shared" si="1"/>
        <v>EURFUT3MH0_Quote</v>
      </c>
      <c r="I29" s="288" t="str">
        <f t="shared" si="2"/>
        <v>EURFUT3MH0ConvAdj_Quote</v>
      </c>
      <c r="J29" s="289" t="str">
        <f>_xll.qlFuturesRateHelper(,$H29,$C29,$F29,$G29,$I29,Permanent,Trigger,ObjectOverwrite)</f>
        <v>obj_005b5#0004</v>
      </c>
      <c r="K29" s="290" t="str">
        <f>_xll.ohRangeRetrieveError(J29)</f>
        <v/>
      </c>
      <c r="L29" s="274"/>
      <c r="M29" s="285"/>
    </row>
    <row r="30" spans="1:13" ht="12" customHeight="1" x14ac:dyDescent="0.25">
      <c r="A30" s="279"/>
      <c r="B30" s="160">
        <v>28</v>
      </c>
      <c r="C30" s="160" t="s">
        <v>186</v>
      </c>
      <c r="D30" s="160" t="b">
        <v>1</v>
      </c>
      <c r="E30" s="286" t="str">
        <v>M0</v>
      </c>
      <c r="F30" s="287">
        <f>_xll.qlIMMdate(E30)</f>
        <v>43999</v>
      </c>
      <c r="G30" s="160" t="str">
        <f t="shared" si="0"/>
        <v>Euribor3M</v>
      </c>
      <c r="H30" s="288" t="str">
        <f t="shared" si="1"/>
        <v>EURFUT3MM0_Quote</v>
      </c>
      <c r="I30" s="288" t="str">
        <f t="shared" si="2"/>
        <v>EURFUT3MM0ConvAdj_Quote</v>
      </c>
      <c r="J30" s="289" t="str">
        <f>_xll.qlFuturesRateHelper(,$H30,$C30,$F30,$G30,$I30,Permanent,Trigger,ObjectOverwrite)</f>
        <v>obj_00599#0004</v>
      </c>
      <c r="K30" s="290" t="str">
        <f>_xll.ohRangeRetrieveError(J30)</f>
        <v/>
      </c>
      <c r="L30" s="274"/>
      <c r="M30" s="285"/>
    </row>
    <row r="31" spans="1:13" ht="12" customHeight="1" x14ac:dyDescent="0.25">
      <c r="A31" s="279"/>
      <c r="B31" s="160">
        <v>29</v>
      </c>
      <c r="C31" s="160" t="s">
        <v>186</v>
      </c>
      <c r="D31" s="160" t="b">
        <v>1</v>
      </c>
      <c r="E31" s="286" t="str">
        <v>U0</v>
      </c>
      <c r="F31" s="287">
        <f>_xll.qlIMMdate(E31)</f>
        <v>44090</v>
      </c>
      <c r="G31" s="160" t="str">
        <f t="shared" si="0"/>
        <v>Euribor3M</v>
      </c>
      <c r="H31" s="288" t="str">
        <f t="shared" si="1"/>
        <v>EURFUT3MU0_Quote</v>
      </c>
      <c r="I31" s="288" t="str">
        <f t="shared" si="2"/>
        <v>EURFUT3MU0ConvAdj_Quote</v>
      </c>
      <c r="J31" s="289" t="str">
        <f>_xll.qlFuturesRateHelper(,$H31,$C31,$F31,$G31,$I31,Permanent,Trigger,ObjectOverwrite)</f>
        <v>obj_0059b#0004</v>
      </c>
      <c r="K31" s="290" t="str">
        <f>_xll.ohRangeRetrieveError(J31)</f>
        <v/>
      </c>
      <c r="L31" s="274"/>
      <c r="M31" s="285"/>
    </row>
    <row r="32" spans="1:13" ht="12" customHeight="1" x14ac:dyDescent="0.25">
      <c r="A32" s="279"/>
      <c r="B32" s="160">
        <v>30</v>
      </c>
      <c r="C32" s="160" t="s">
        <v>186</v>
      </c>
      <c r="D32" s="160" t="b">
        <v>1</v>
      </c>
      <c r="E32" s="286" t="str">
        <v>Z0</v>
      </c>
      <c r="F32" s="287">
        <f>_xll.qlIMMdate(E32)</f>
        <v>44181</v>
      </c>
      <c r="G32" s="160" t="str">
        <f t="shared" si="0"/>
        <v>Euribor3M</v>
      </c>
      <c r="H32" s="288" t="str">
        <f t="shared" si="1"/>
        <v>EURFUT3MZ0_Quote</v>
      </c>
      <c r="I32" s="288" t="str">
        <f t="shared" si="2"/>
        <v>EURFUT3MZ0ConvAdj_Quote</v>
      </c>
      <c r="J32" s="289" t="str">
        <f>_xll.qlFuturesRateHelper(,$H32,$C32,$F32,$G32,$I32,Permanent,Trigger,ObjectOverwrite)</f>
        <v>obj_005ad#0004</v>
      </c>
      <c r="K32" s="290" t="str">
        <f>_xll.ohRangeRetrieveError(J32)</f>
        <v/>
      </c>
      <c r="L32" s="274"/>
      <c r="M32" s="285"/>
    </row>
    <row r="33" spans="1:13" ht="12" customHeight="1" x14ac:dyDescent="0.25">
      <c r="A33" s="279"/>
      <c r="B33" s="160">
        <v>31</v>
      </c>
      <c r="C33" s="160" t="s">
        <v>186</v>
      </c>
      <c r="D33" s="160" t="b">
        <v>1</v>
      </c>
      <c r="E33" s="286" t="str">
        <v>H1</v>
      </c>
      <c r="F33" s="287">
        <f>_xll.qlIMMdate(E33)</f>
        <v>44272</v>
      </c>
      <c r="G33" s="160" t="str">
        <f t="shared" si="0"/>
        <v>Euribor3M</v>
      </c>
      <c r="H33" s="288" t="str">
        <f t="shared" si="1"/>
        <v>EURFUT3MH1_Quote</v>
      </c>
      <c r="I33" s="288" t="str">
        <f t="shared" si="2"/>
        <v>EURFUT3MH1ConvAdj_Quote</v>
      </c>
      <c r="J33" s="289" t="str">
        <f>_xll.qlFuturesRateHelper(,$H33,$C33,$F33,$G33,$I33,Permanent,Trigger,ObjectOverwrite)</f>
        <v>obj_0059d#0004</v>
      </c>
      <c r="K33" s="290" t="str">
        <f>_xll.ohRangeRetrieveError(J33)</f>
        <v/>
      </c>
      <c r="L33" s="274"/>
      <c r="M33" s="285"/>
    </row>
    <row r="34" spans="1:13" ht="12" customHeight="1" x14ac:dyDescent="0.25">
      <c r="A34" s="279"/>
      <c r="B34" s="160">
        <v>32</v>
      </c>
      <c r="C34" s="160" t="s">
        <v>186</v>
      </c>
      <c r="D34" s="160" t="b">
        <v>1</v>
      </c>
      <c r="E34" s="286" t="str">
        <v>M1</v>
      </c>
      <c r="F34" s="287">
        <f>_xll.qlIMMdate(E34)</f>
        <v>44363</v>
      </c>
      <c r="G34" s="160" t="str">
        <f t="shared" si="0"/>
        <v>Euribor3M</v>
      </c>
      <c r="H34" s="288" t="str">
        <f t="shared" si="1"/>
        <v>EURFUT3MM1_Quote</v>
      </c>
      <c r="I34" s="288" t="str">
        <f t="shared" si="2"/>
        <v>EURFUT3MM1ConvAdj_Quote</v>
      </c>
      <c r="J34" s="289" t="str">
        <f>_xll.qlFuturesRateHelper(,$H34,$C34,$F34,$G34,$I34,Permanent,Trigger,ObjectOverwrite)</f>
        <v>obj_005af#0004</v>
      </c>
      <c r="K34" s="290" t="str">
        <f>_xll.ohRangeRetrieveError(J34)</f>
        <v/>
      </c>
      <c r="L34" s="274"/>
      <c r="M34" s="285"/>
    </row>
    <row r="35" spans="1:13" ht="12" customHeight="1" x14ac:dyDescent="0.25">
      <c r="A35" s="279"/>
      <c r="B35" s="160">
        <v>33</v>
      </c>
      <c r="C35" s="160" t="s">
        <v>186</v>
      </c>
      <c r="D35" s="160" t="b">
        <v>1</v>
      </c>
      <c r="E35" s="286" t="str">
        <v>U1</v>
      </c>
      <c r="F35" s="287">
        <f>_xll.qlIMMdate(E35)</f>
        <v>44454</v>
      </c>
      <c r="G35" s="160" t="str">
        <f t="shared" ref="G35:G44" si="3">PROPER(Currency)&amp;FamilyName&amp;$G$1</f>
        <v>Euribor3M</v>
      </c>
      <c r="H35" s="288" t="str">
        <f t="shared" ref="H35:H44" si="4">Currency&amp;"FUT"&amp;$G$1&amp;$E35&amp;QuoteSuffix</f>
        <v>EURFUT3MU1_Quote</v>
      </c>
      <c r="I35" s="288" t="str">
        <f t="shared" ref="I35:I44" si="5">Currency&amp;"FUT"&amp;$G$1&amp;$E35&amp;"ConvAdj"&amp;QuoteSuffix</f>
        <v>EURFUT3MU1ConvAdj_Quote</v>
      </c>
      <c r="J35" s="289" t="str">
        <f>_xll.qlFuturesRateHelper(,$H35,$C35,$F35,$G35,$I35,Permanent,Trigger,ObjectOverwrite)</f>
        <v>obj_005bb#0004</v>
      </c>
      <c r="K35" s="290" t="str">
        <f>_xll.ohRangeRetrieveError(J35)</f>
        <v/>
      </c>
      <c r="L35" s="274"/>
      <c r="M35" s="285"/>
    </row>
    <row r="36" spans="1:13" ht="12" customHeight="1" x14ac:dyDescent="0.25">
      <c r="A36" s="279"/>
      <c r="B36" s="160">
        <v>34</v>
      </c>
      <c r="C36" s="160" t="s">
        <v>186</v>
      </c>
      <c r="D36" s="160" t="b">
        <v>1</v>
      </c>
      <c r="E36" s="286" t="str">
        <v>Z1</v>
      </c>
      <c r="F36" s="287">
        <f>_xll.qlIMMdate(E36)</f>
        <v>44545</v>
      </c>
      <c r="G36" s="160" t="str">
        <f t="shared" si="3"/>
        <v>Euribor3M</v>
      </c>
      <c r="H36" s="288" t="str">
        <f t="shared" si="4"/>
        <v>EURFUT3MZ1_Quote</v>
      </c>
      <c r="I36" s="288" t="str">
        <f t="shared" si="5"/>
        <v>EURFUT3MZ1ConvAdj_Quote</v>
      </c>
      <c r="J36" s="289" t="str">
        <f>_xll.qlFuturesRateHelper(,$H36,$C36,$F36,$G36,$I36,Permanent,Trigger,ObjectOverwrite)</f>
        <v>obj_005a4#0004</v>
      </c>
      <c r="K36" s="290" t="str">
        <f>_xll.ohRangeRetrieveError(J36)</f>
        <v/>
      </c>
      <c r="L36" s="274"/>
      <c r="M36" s="285"/>
    </row>
    <row r="37" spans="1:13" ht="12" customHeight="1" x14ac:dyDescent="0.25">
      <c r="A37" s="279"/>
      <c r="B37" s="160">
        <v>35</v>
      </c>
      <c r="C37" s="160" t="s">
        <v>186</v>
      </c>
      <c r="D37" s="160" t="b">
        <v>1</v>
      </c>
      <c r="E37" s="286" t="str">
        <v>H2</v>
      </c>
      <c r="F37" s="287">
        <f>_xll.qlIMMdate(E37)</f>
        <v>44636</v>
      </c>
      <c r="G37" s="160" t="str">
        <f t="shared" si="3"/>
        <v>Euribor3M</v>
      </c>
      <c r="H37" s="288" t="str">
        <f t="shared" si="4"/>
        <v>EURFUT3MH2_Quote</v>
      </c>
      <c r="I37" s="288" t="str">
        <f t="shared" si="5"/>
        <v>EURFUT3MH2ConvAdj_Quote</v>
      </c>
      <c r="J37" s="289" t="str">
        <f>_xll.qlFuturesRateHelper(,$H37,$C37,$F37,$G37,$I37,Permanent,Trigger,ObjectOverwrite)</f>
        <v>obj_00594#0004</v>
      </c>
      <c r="K37" s="290" t="str">
        <f>_xll.ohRangeRetrieveError(J37)</f>
        <v/>
      </c>
      <c r="L37" s="274"/>
      <c r="M37" s="285"/>
    </row>
    <row r="38" spans="1:13" ht="12" customHeight="1" x14ac:dyDescent="0.25">
      <c r="A38" s="279"/>
      <c r="B38" s="160">
        <v>36</v>
      </c>
      <c r="C38" s="160" t="s">
        <v>186</v>
      </c>
      <c r="D38" s="160" t="b">
        <v>1</v>
      </c>
      <c r="E38" s="286" t="str">
        <v>M2</v>
      </c>
      <c r="F38" s="287">
        <f>_xll.qlIMMdate(E38)</f>
        <v>44727</v>
      </c>
      <c r="G38" s="160" t="str">
        <f t="shared" si="3"/>
        <v>Euribor3M</v>
      </c>
      <c r="H38" s="288" t="str">
        <f t="shared" si="4"/>
        <v>EURFUT3MM2_Quote</v>
      </c>
      <c r="I38" s="288" t="str">
        <f t="shared" si="5"/>
        <v>EURFUT3MM2ConvAdj_Quote</v>
      </c>
      <c r="J38" s="289" t="str">
        <f>_xll.qlFuturesRateHelper(,$H38,$C38,$F38,$G38,$I38,Permanent,Trigger,ObjectOverwrite)</f>
        <v>obj_005a9#0004</v>
      </c>
      <c r="K38" s="290" t="str">
        <f>_xll.ohRangeRetrieveError(J38)</f>
        <v/>
      </c>
      <c r="L38" s="274"/>
      <c r="M38" s="285"/>
    </row>
    <row r="39" spans="1:13" ht="12" customHeight="1" x14ac:dyDescent="0.25">
      <c r="A39" s="279"/>
      <c r="B39" s="160">
        <v>37</v>
      </c>
      <c r="C39" s="160" t="s">
        <v>186</v>
      </c>
      <c r="D39" s="160" t="b">
        <v>1</v>
      </c>
      <c r="E39" s="286" t="str">
        <v>U2</v>
      </c>
      <c r="F39" s="287">
        <f>_xll.qlIMMdate(E39)</f>
        <v>44825</v>
      </c>
      <c r="G39" s="160" t="str">
        <f t="shared" si="3"/>
        <v>Euribor3M</v>
      </c>
      <c r="H39" s="288" t="str">
        <f t="shared" si="4"/>
        <v>EURFUT3MU2_Quote</v>
      </c>
      <c r="I39" s="288" t="str">
        <f t="shared" si="5"/>
        <v>EURFUT3MU2ConvAdj_Quote</v>
      </c>
      <c r="J39" s="289" t="str">
        <f>_xll.qlFuturesRateHelper(,$H39,$C39,$F39,$G39,$I39,Permanent,Trigger,ObjectOverwrite)</f>
        <v>obj_005ae#0004</v>
      </c>
      <c r="K39" s="290" t="str">
        <f>_xll.ohRangeRetrieveError(J39)</f>
        <v/>
      </c>
      <c r="L39" s="274"/>
      <c r="M39" s="285"/>
    </row>
    <row r="40" spans="1:13" ht="12" customHeight="1" x14ac:dyDescent="0.25">
      <c r="A40" s="279"/>
      <c r="B40" s="160">
        <v>38</v>
      </c>
      <c r="C40" s="160" t="s">
        <v>186</v>
      </c>
      <c r="D40" s="160" t="b">
        <v>1</v>
      </c>
      <c r="E40" s="286" t="str">
        <v>Z2</v>
      </c>
      <c r="F40" s="287">
        <f>_xll.qlIMMdate(E40)</f>
        <v>44916</v>
      </c>
      <c r="G40" s="160" t="str">
        <f t="shared" si="3"/>
        <v>Euribor3M</v>
      </c>
      <c r="H40" s="288" t="str">
        <f t="shared" si="4"/>
        <v>EURFUT3MZ2_Quote</v>
      </c>
      <c r="I40" s="288" t="str">
        <f t="shared" si="5"/>
        <v>EURFUT3MZ2ConvAdj_Quote</v>
      </c>
      <c r="J40" s="289" t="str">
        <f>_xll.qlFuturesRateHelper(,$H40,$C40,$F40,$G40,$I40,Permanent,Trigger,ObjectOverwrite)</f>
        <v>obj_005b3#0004</v>
      </c>
      <c r="K40" s="290" t="str">
        <f>_xll.ohRangeRetrieveError(J40)</f>
        <v/>
      </c>
      <c r="L40" s="274"/>
    </row>
    <row r="41" spans="1:13" ht="12" customHeight="1" x14ac:dyDescent="0.25">
      <c r="A41" s="279"/>
      <c r="B41" s="160">
        <v>39</v>
      </c>
      <c r="C41" s="160" t="s">
        <v>186</v>
      </c>
      <c r="D41" s="160" t="b">
        <v>1</v>
      </c>
      <c r="E41" s="286" t="str">
        <v>H3</v>
      </c>
      <c r="F41" s="287">
        <f>_xll.qlIMMdate(E41)</f>
        <v>45000</v>
      </c>
      <c r="G41" s="160" t="str">
        <f t="shared" si="3"/>
        <v>Euribor3M</v>
      </c>
      <c r="H41" s="288" t="str">
        <f t="shared" si="4"/>
        <v>EURFUT3MH3_Quote</v>
      </c>
      <c r="I41" s="288" t="str">
        <f t="shared" si="5"/>
        <v>EURFUT3MH3ConvAdj_Quote</v>
      </c>
      <c r="J41" s="289" t="str">
        <f>_xll.qlFuturesRateHelper(,$H41,$C41,$F41,$G41,$I41,Permanent,Trigger,ObjectOverwrite)</f>
        <v>obj_0059a#0004</v>
      </c>
      <c r="K41" s="290" t="str">
        <f>_xll.ohRangeRetrieveError(J41)</f>
        <v/>
      </c>
      <c r="L41" s="274"/>
    </row>
    <row r="42" spans="1:13" ht="12" customHeight="1" x14ac:dyDescent="0.25">
      <c r="A42" s="279"/>
      <c r="B42" s="160">
        <v>40</v>
      </c>
      <c r="C42" s="160" t="s">
        <v>186</v>
      </c>
      <c r="D42" s="160" t="b">
        <v>1</v>
      </c>
      <c r="E42" s="286" t="str">
        <v>M3</v>
      </c>
      <c r="F42" s="287">
        <f>_xll.qlIMMdate(E42)</f>
        <v>45098</v>
      </c>
      <c r="G42" s="160" t="str">
        <f t="shared" si="3"/>
        <v>Euribor3M</v>
      </c>
      <c r="H42" s="288" t="str">
        <f t="shared" si="4"/>
        <v>EURFUT3MM3_Quote</v>
      </c>
      <c r="I42" s="288" t="str">
        <f t="shared" si="5"/>
        <v>EURFUT3MM3ConvAdj_Quote</v>
      </c>
      <c r="J42" s="289" t="str">
        <f>_xll.qlFuturesRateHelper(,$H42,$C42,$F42,$G42,$I42,Permanent,Trigger,ObjectOverwrite)</f>
        <v>obj_005b8#0004</v>
      </c>
      <c r="K42" s="290" t="str">
        <f>_xll.ohRangeRetrieveError(J42)</f>
        <v/>
      </c>
      <c r="L42" s="274"/>
    </row>
    <row r="43" spans="1:13" ht="12" customHeight="1" x14ac:dyDescent="0.25">
      <c r="A43" s="279"/>
      <c r="B43" s="160">
        <v>41</v>
      </c>
      <c r="C43" s="160" t="s">
        <v>186</v>
      </c>
      <c r="D43" s="160" t="b">
        <v>1</v>
      </c>
      <c r="E43" s="286" t="str">
        <v>U3</v>
      </c>
      <c r="F43" s="287">
        <f>_xll.qlIMMdate(E43)</f>
        <v>45189</v>
      </c>
      <c r="G43" s="160" t="str">
        <f t="shared" si="3"/>
        <v>Euribor3M</v>
      </c>
      <c r="H43" s="288" t="str">
        <f t="shared" si="4"/>
        <v>EURFUT3MU3_Quote</v>
      </c>
      <c r="I43" s="288" t="str">
        <f t="shared" si="5"/>
        <v>EURFUT3MU3ConvAdj_Quote</v>
      </c>
      <c r="J43" s="289" t="str">
        <f>_xll.qlFuturesRateHelper(,$H43,$C43,$F43,$G43,$I43,Permanent,Trigger,ObjectOverwrite)</f>
        <v>obj_005b6#0004</v>
      </c>
      <c r="K43" s="290" t="str">
        <f>_xll.ohRangeRetrieveError(J43)</f>
        <v/>
      </c>
      <c r="L43" s="274"/>
    </row>
    <row r="44" spans="1:13" ht="12" customHeight="1" x14ac:dyDescent="0.25">
      <c r="A44" s="279"/>
      <c r="B44" s="252">
        <v>42</v>
      </c>
      <c r="C44" s="252" t="s">
        <v>186</v>
      </c>
      <c r="D44" s="252" t="b">
        <v>1</v>
      </c>
      <c r="E44" s="291" t="str">
        <v>Z3</v>
      </c>
      <c r="F44" s="292">
        <f>_xll.qlIMMdate(E44)</f>
        <v>45280</v>
      </c>
      <c r="G44" s="252" t="str">
        <f t="shared" si="3"/>
        <v>Euribor3M</v>
      </c>
      <c r="H44" s="293" t="str">
        <f t="shared" si="4"/>
        <v>EURFUT3MZ3_Quote</v>
      </c>
      <c r="I44" s="293" t="str">
        <f t="shared" si="5"/>
        <v>EURFUT3MZ3ConvAdj_Quote</v>
      </c>
      <c r="J44" s="294" t="str">
        <f>_xll.qlFuturesRateHelper(,$H44,$C44,$F44,$G44,$I44,Permanent,Trigger,ObjectOverwrite)</f>
        <v>obj_005a5#0004</v>
      </c>
      <c r="K44" s="295" t="str">
        <f>_xll.ohRangeRetrieveError(J44)</f>
        <v/>
      </c>
      <c r="L44" s="274"/>
    </row>
    <row r="45" spans="1:13" ht="12" customHeight="1" thickBot="1" x14ac:dyDescent="0.3">
      <c r="A45" s="296"/>
      <c r="B45" s="297"/>
      <c r="C45" s="297"/>
      <c r="D45" s="297"/>
      <c r="E45" s="297"/>
      <c r="F45" s="297"/>
      <c r="G45" s="297"/>
      <c r="H45" s="297"/>
      <c r="I45" s="297"/>
      <c r="J45" s="297"/>
      <c r="K45" s="297"/>
      <c r="L45" s="29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election activeCell="I57" sqref="I1:I57"/>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8" style="2" customWidth="1"/>
    <col min="13" max="13" width="20.7109375" style="1" customWidth="1"/>
    <col min="14" max="14" width="2.7109375" style="1" customWidth="1"/>
    <col min="15" max="15" width="2.5703125" style="1" customWidth="1"/>
    <col min="16" max="16" width="4" style="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99</v>
      </c>
      <c r="K2" s="29" t="str">
        <f>Currency&amp;"_YC"&amp;$J$2&amp;"RH"</f>
        <v>EUR_YC3MRH</v>
      </c>
      <c r="L2" s="222" t="str">
        <f>K2&amp;"_Swaps.xml"</f>
        <v>EUR_YC3MRH_Swaps.xml</v>
      </c>
      <c r="M2" s="221"/>
      <c r="N2" s="223"/>
    </row>
    <row r="3" spans="1:18" ht="25.5" customHeight="1" x14ac:dyDescent="0.2">
      <c r="A3" s="220"/>
      <c r="B3" s="224" t="s">
        <v>189</v>
      </c>
      <c r="C3" s="224" t="s">
        <v>133</v>
      </c>
      <c r="D3" s="224"/>
      <c r="E3" s="224"/>
      <c r="F3" s="224"/>
      <c r="G3" s="224" t="s">
        <v>132</v>
      </c>
      <c r="H3" s="224" t="s">
        <v>131</v>
      </c>
      <c r="I3" s="224" t="s">
        <v>130</v>
      </c>
      <c r="J3" s="224" t="s">
        <v>129</v>
      </c>
      <c r="K3" s="224" t="s">
        <v>106</v>
      </c>
      <c r="L3" s="225" t="str">
        <f>IF(Serialize,_xll.ohObjectSave(L4:L50,SerializationPath&amp;L2,FileOverwrite,Serialize),"---")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obj_00593#0004</v>
      </c>
      <c r="M4" s="229" t="str">
        <f>_xll.ohRangeRetrieveError(L4)</f>
        <v/>
      </c>
      <c r="N4" s="223"/>
    </row>
    <row r="5" spans="1:18" ht="12" thickBot="1" x14ac:dyDescent="0.25">
      <c r="A5" s="227"/>
      <c r="B5" s="221"/>
      <c r="C5" s="221"/>
      <c r="D5" s="221"/>
      <c r="E5" s="221"/>
      <c r="F5" s="221"/>
      <c r="G5" s="221"/>
      <c r="H5" s="221"/>
      <c r="I5" s="221"/>
      <c r="J5" s="221"/>
      <c r="K5" s="221"/>
      <c r="L5" s="221"/>
      <c r="M5" s="221"/>
      <c r="N5" s="223"/>
    </row>
    <row r="6" spans="1:18" x14ac:dyDescent="0.2">
      <c r="A6" s="220"/>
      <c r="B6" s="230">
        <v>2</v>
      </c>
      <c r="C6" s="230" t="s">
        <v>118</v>
      </c>
      <c r="D6" s="231" t="s">
        <v>47</v>
      </c>
      <c r="E6" s="230" t="str">
        <f t="array" ref="E6:E42">VLOOKUP(Currency,Conventions,2)</f>
        <v>AB</v>
      </c>
      <c r="F6" s="230" t="str">
        <f t="array" ref="F6:F42">VLOOKUP(Currency,Conventions,3)</f>
        <v>3E</v>
      </c>
      <c r="G6" s="230" t="str">
        <f t="shared" ref="G6:G42" si="0">IF(UPPER(LEFT($E6))="A","Annual",IF(UPPER(LEFT($E6))="S","Semiannual","--"))</f>
        <v>Annual</v>
      </c>
      <c r="H6" s="232" t="s">
        <v>124</v>
      </c>
      <c r="I6" s="232" t="str">
        <f t="shared" ref="I6:I42" si="1">IF(UPPER(RIGHT($E6))="B",BondBasisDayCounter,IF(UPPER(RIGHT($E6))="M",MoneyMarketDayCounter,"--"))</f>
        <v>30/360 (Bond Basis)</v>
      </c>
      <c r="J6" s="233">
        <v>0</v>
      </c>
      <c r="K6" s="234" t="str">
        <f t="shared" ref="K6:K42" si="2">Currency&amp;$E6&amp;$F6&amp;$D6&amp;"_Quote"</f>
        <v>EURAB3E1Y_Quote</v>
      </c>
      <c r="L6" s="235" t="str">
        <f>_xll.qlSwapRateHelper2(,$K6,$B6,$D6,Calendar,$G6,$H6,$I6,$L$4,$J6,C6,Discounting,,,Permanent,,ObjectOverwrite)</f>
        <v>obj_006bc#0004</v>
      </c>
      <c r="M6" s="236" t="str">
        <f>_xll.ohRangeRetrieveError(L6)</f>
        <v/>
      </c>
      <c r="N6" s="223"/>
      <c r="P6" s="237" t="s">
        <v>97</v>
      </c>
      <c r="Q6" s="238" t="s">
        <v>94</v>
      </c>
      <c r="R6" s="239" t="s">
        <v>126</v>
      </c>
    </row>
    <row r="7" spans="1:18" x14ac:dyDescent="0.2">
      <c r="A7" s="220"/>
      <c r="B7" s="240">
        <v>2</v>
      </c>
      <c r="C7" s="240" t="s">
        <v>118</v>
      </c>
      <c r="D7" s="241" t="s">
        <v>46</v>
      </c>
      <c r="E7" s="240" t="str">
        <v>AB</v>
      </c>
      <c r="F7" s="240" t="str">
        <v>3E</v>
      </c>
      <c r="G7" s="240" t="str">
        <f t="shared" si="0"/>
        <v>Annual</v>
      </c>
      <c r="H7" s="160" t="s">
        <v>124</v>
      </c>
      <c r="I7" s="160" t="str">
        <f t="shared" si="1"/>
        <v>30/360 (Bond Basis)</v>
      </c>
      <c r="J7" s="242">
        <v>0</v>
      </c>
      <c r="K7" s="243" t="str">
        <f t="shared" si="2"/>
        <v>EURAB3E15M_Quote</v>
      </c>
      <c r="L7" s="244" t="str">
        <f>_xll.qlSwapRateHelper2(,$K7,$B7,$D7,Calendar,$G7,$H7,$I7,$L$4,$J7,C7,Discounting,,,Permanent,,ObjectOverwrite)</f>
        <v>obj_006d0#0004</v>
      </c>
      <c r="M7" s="245" t="str">
        <f>_xll.ohRangeRetrieveError(L7)</f>
        <v/>
      </c>
      <c r="N7" s="223"/>
      <c r="P7" s="130" t="s">
        <v>95</v>
      </c>
      <c r="Q7" s="246" t="s">
        <v>94</v>
      </c>
      <c r="R7" s="247" t="s">
        <v>128</v>
      </c>
    </row>
    <row r="8" spans="1:18" x14ac:dyDescent="0.2">
      <c r="A8" s="220"/>
      <c r="B8" s="240">
        <v>2</v>
      </c>
      <c r="C8" s="240" t="s">
        <v>118</v>
      </c>
      <c r="D8" s="241" t="s">
        <v>45</v>
      </c>
      <c r="E8" s="240" t="str">
        <v>AB</v>
      </c>
      <c r="F8" s="240" t="str">
        <v>3E</v>
      </c>
      <c r="G8" s="240" t="str">
        <f t="shared" si="0"/>
        <v>Annual</v>
      </c>
      <c r="H8" s="160" t="s">
        <v>124</v>
      </c>
      <c r="I8" s="160" t="str">
        <f t="shared" si="1"/>
        <v>30/360 (Bond Basis)</v>
      </c>
      <c r="J8" s="242">
        <v>0</v>
      </c>
      <c r="K8" s="243" t="str">
        <f t="shared" si="2"/>
        <v>EURAB3E18M_Quote</v>
      </c>
      <c r="L8" s="244" t="str">
        <f>_xll.qlSwapRateHelper2(,$K8,$B8,$D8,Calendar,$G8,$H8,$I8,$L$4,$J8,C8,Discounting,,,Permanent,,ObjectOverwrite)</f>
        <v>obj_006cb#0004</v>
      </c>
      <c r="M8" s="245" t="str">
        <f>_xll.ohRangeRetrieveError(L8)</f>
        <v/>
      </c>
      <c r="N8" s="223"/>
      <c r="P8" s="130" t="s">
        <v>92</v>
      </c>
      <c r="Q8" s="246" t="s">
        <v>87</v>
      </c>
      <c r="R8" s="247" t="s">
        <v>126</v>
      </c>
    </row>
    <row r="9" spans="1:18" x14ac:dyDescent="0.2">
      <c r="A9" s="220"/>
      <c r="B9" s="240">
        <v>2</v>
      </c>
      <c r="C9" s="240" t="s">
        <v>118</v>
      </c>
      <c r="D9" s="241" t="s">
        <v>44</v>
      </c>
      <c r="E9" s="240" t="str">
        <v>AB</v>
      </c>
      <c r="F9" s="240" t="str">
        <v>3E</v>
      </c>
      <c r="G9" s="240" t="str">
        <f t="shared" si="0"/>
        <v>Annual</v>
      </c>
      <c r="H9" s="160" t="s">
        <v>124</v>
      </c>
      <c r="I9" s="160" t="str">
        <f t="shared" si="1"/>
        <v>30/360 (Bond Basis)</v>
      </c>
      <c r="J9" s="242">
        <v>0</v>
      </c>
      <c r="K9" s="243" t="str">
        <f t="shared" si="2"/>
        <v>EURAB3E21M_Quote</v>
      </c>
      <c r="L9" s="244" t="str">
        <f>_xll.qlSwapRateHelper2(,$K9,$B9,$D9,Calendar,$G9,$H9,$I9,$L$4,$J9,C9,Discounting,,,Permanent,,ObjectOverwrite)</f>
        <v>obj_006c6#0004</v>
      </c>
      <c r="M9" s="245" t="str">
        <f>_xll.ohRangeRetrieveError(L9)</f>
        <v/>
      </c>
      <c r="N9" s="223"/>
      <c r="P9" s="130" t="s">
        <v>90</v>
      </c>
      <c r="Q9" s="246" t="s">
        <v>127</v>
      </c>
      <c r="R9" s="247" t="s">
        <v>126</v>
      </c>
    </row>
    <row r="10" spans="1:18" ht="12" thickBot="1" x14ac:dyDescent="0.25">
      <c r="A10" s="220"/>
      <c r="B10" s="240">
        <v>2</v>
      </c>
      <c r="C10" s="240" t="s">
        <v>118</v>
      </c>
      <c r="D10" s="241" t="s">
        <v>43</v>
      </c>
      <c r="E10" s="240" t="str">
        <v>AB</v>
      </c>
      <c r="F10" s="240" t="str">
        <v>3E</v>
      </c>
      <c r="G10" s="240" t="str">
        <f t="shared" si="0"/>
        <v>Annual</v>
      </c>
      <c r="H10" s="160" t="s">
        <v>124</v>
      </c>
      <c r="I10" s="160" t="str">
        <f t="shared" si="1"/>
        <v>30/360 (Bond Basis)</v>
      </c>
      <c r="J10" s="242">
        <v>0</v>
      </c>
      <c r="K10" s="243" t="str">
        <f t="shared" si="2"/>
        <v>EURAB3E2Y_Quote</v>
      </c>
      <c r="L10" s="244" t="str">
        <f>_xll.qlSwapRateHelper2(,$K10,$B10,$D10,Calendar,$G10,$H10,$I10,$L$4,$J10,C10,Discounting,,,Permanent,,ObjectOverwrite)</f>
        <v>obj_006c1#0004</v>
      </c>
      <c r="M10" s="245" t="str">
        <f>_xll.ohRangeRetrieveError(L10)</f>
        <v/>
      </c>
      <c r="N10" s="223"/>
      <c r="P10" s="147" t="s">
        <v>88</v>
      </c>
      <c r="Q10" s="248" t="s">
        <v>87</v>
      </c>
      <c r="R10" s="249" t="s">
        <v>126</v>
      </c>
    </row>
    <row r="11" spans="1:18" x14ac:dyDescent="0.2">
      <c r="A11" s="220"/>
      <c r="B11" s="240">
        <v>2</v>
      </c>
      <c r="C11" s="240" t="s">
        <v>118</v>
      </c>
      <c r="D11" s="241" t="s">
        <v>42</v>
      </c>
      <c r="E11" s="240" t="str">
        <v>AB</v>
      </c>
      <c r="F11" s="240" t="str">
        <v>3E</v>
      </c>
      <c r="G11" s="240" t="str">
        <f t="shared" si="0"/>
        <v>Annual</v>
      </c>
      <c r="H11" s="160" t="s">
        <v>124</v>
      </c>
      <c r="I11" s="160" t="str">
        <f t="shared" si="1"/>
        <v>30/360 (Bond Basis)</v>
      </c>
      <c r="J11" s="242">
        <v>0</v>
      </c>
      <c r="K11" s="243" t="str">
        <f t="shared" si="2"/>
        <v>EURAB3E3Y_Quote</v>
      </c>
      <c r="L11" s="244" t="str">
        <f>_xll.qlSwapRateHelper2(,$K11,$B11,$D11,Calendar,$G11,$H11,$I11,$L$4,$J11,C11,Discounting,,,Permanent,,ObjectOverwrite)</f>
        <v>obj_006df#0004</v>
      </c>
      <c r="M11" s="245" t="str">
        <f>_xll.ohRangeRetrieveError(L11)</f>
        <v/>
      </c>
      <c r="N11" s="223"/>
    </row>
    <row r="12" spans="1:18" x14ac:dyDescent="0.2">
      <c r="A12" s="220"/>
      <c r="B12" s="240">
        <v>2</v>
      </c>
      <c r="C12" s="240" t="s">
        <v>118</v>
      </c>
      <c r="D12" s="241" t="s">
        <v>41</v>
      </c>
      <c r="E12" s="240" t="str">
        <v>AB</v>
      </c>
      <c r="F12" s="240" t="str">
        <v>3E</v>
      </c>
      <c r="G12" s="240" t="str">
        <f t="shared" si="0"/>
        <v>Annual</v>
      </c>
      <c r="H12" s="160" t="s">
        <v>124</v>
      </c>
      <c r="I12" s="160" t="str">
        <f t="shared" si="1"/>
        <v>30/360 (Bond Basis)</v>
      </c>
      <c r="J12" s="242">
        <v>0</v>
      </c>
      <c r="K12" s="243" t="str">
        <f t="shared" si="2"/>
        <v>EURAB3E4Y_Quote</v>
      </c>
      <c r="L12" s="244" t="str">
        <f>_xll.qlSwapRateHelper2(,$K12,$B12,$D12,Calendar,$G12,$H12,$I12,$L$4,$J12,C12,Discounting,,,Permanent,,ObjectOverwrite)</f>
        <v>obj_006db#0004</v>
      </c>
      <c r="M12" s="245" t="str">
        <f>_xll.ohRangeRetrieveError(L12)</f>
        <v/>
      </c>
      <c r="N12" s="223"/>
    </row>
    <row r="13" spans="1:18" x14ac:dyDescent="0.2">
      <c r="A13" s="220"/>
      <c r="B13" s="240">
        <v>2</v>
      </c>
      <c r="C13" s="240" t="s">
        <v>118</v>
      </c>
      <c r="D13" s="241" t="s">
        <v>40</v>
      </c>
      <c r="E13" s="240" t="str">
        <v>AB</v>
      </c>
      <c r="F13" s="240" t="str">
        <v>3E</v>
      </c>
      <c r="G13" s="240" t="str">
        <f t="shared" si="0"/>
        <v>Annual</v>
      </c>
      <c r="H13" s="160" t="s">
        <v>124</v>
      </c>
      <c r="I13" s="160" t="str">
        <f t="shared" si="1"/>
        <v>30/360 (Bond Basis)</v>
      </c>
      <c r="J13" s="242">
        <v>0</v>
      </c>
      <c r="K13" s="243" t="str">
        <f t="shared" si="2"/>
        <v>EURAB3E5Y_Quote</v>
      </c>
      <c r="L13" s="244" t="str">
        <f>_xll.qlSwapRateHelper2(,$K13,$B13,$D13,Calendar,$G13,$H13,$I13,$L$4,$J13,C13,Discounting,,,Permanent,,ObjectOverwrite)</f>
        <v>obj_006d8#0004</v>
      </c>
      <c r="M13" s="245" t="str">
        <f>_xll.ohRangeRetrieveError(L13)</f>
        <v/>
      </c>
      <c r="N13" s="223"/>
    </row>
    <row r="14" spans="1:18" x14ac:dyDescent="0.2">
      <c r="A14" s="220"/>
      <c r="B14" s="240">
        <v>2</v>
      </c>
      <c r="C14" s="240" t="s">
        <v>118</v>
      </c>
      <c r="D14" s="241" t="s">
        <v>39</v>
      </c>
      <c r="E14" s="240" t="str">
        <v>AB</v>
      </c>
      <c r="F14" s="240" t="str">
        <v>3E</v>
      </c>
      <c r="G14" s="240" t="str">
        <f t="shared" si="0"/>
        <v>Annual</v>
      </c>
      <c r="H14" s="160" t="s">
        <v>124</v>
      </c>
      <c r="I14" s="160" t="str">
        <f t="shared" si="1"/>
        <v>30/360 (Bond Basis)</v>
      </c>
      <c r="J14" s="242">
        <v>0</v>
      </c>
      <c r="K14" s="243" t="str">
        <f t="shared" si="2"/>
        <v>EURAB3E6Y_Quote</v>
      </c>
      <c r="L14" s="244" t="str">
        <f>_xll.qlSwapRateHelper2(,$K14,$B14,$D14,Calendar,$G14,$H14,$I14,$L$4,$J14,C14,Discounting,,,Permanent,,ObjectOverwrite)</f>
        <v>obj_006d4#0004</v>
      </c>
      <c r="M14" s="245" t="str">
        <f>_xll.ohRangeRetrieveError(L14)</f>
        <v/>
      </c>
      <c r="N14" s="223"/>
    </row>
    <row r="15" spans="1:18" x14ac:dyDescent="0.2">
      <c r="A15" s="220"/>
      <c r="B15" s="240">
        <v>2</v>
      </c>
      <c r="C15" s="240" t="s">
        <v>118</v>
      </c>
      <c r="D15" s="241" t="s">
        <v>38</v>
      </c>
      <c r="E15" s="240" t="str">
        <v>AB</v>
      </c>
      <c r="F15" s="240" t="str">
        <v>3E</v>
      </c>
      <c r="G15" s="240" t="str">
        <f t="shared" si="0"/>
        <v>Annual</v>
      </c>
      <c r="H15" s="160" t="s">
        <v>124</v>
      </c>
      <c r="I15" s="160" t="str">
        <f t="shared" si="1"/>
        <v>30/360 (Bond Basis)</v>
      </c>
      <c r="J15" s="242">
        <v>0</v>
      </c>
      <c r="K15" s="243" t="str">
        <f t="shared" si="2"/>
        <v>EURAB3E7Y_Quote</v>
      </c>
      <c r="L15" s="244" t="str">
        <f>_xll.qlSwapRateHelper2(,$K15,$B15,$D15,Calendar,$G15,$H15,$I15,$L$4,$J15,C15,Discounting,,,Permanent,,ObjectOverwrite)</f>
        <v>obj_006cf#0004</v>
      </c>
      <c r="M15" s="245" t="str">
        <f>_xll.ohRangeRetrieveError(L15)</f>
        <v/>
      </c>
      <c r="N15" s="223"/>
    </row>
    <row r="16" spans="1:18" x14ac:dyDescent="0.2">
      <c r="A16" s="220"/>
      <c r="B16" s="240">
        <v>2</v>
      </c>
      <c r="C16" s="240" t="s">
        <v>118</v>
      </c>
      <c r="D16" s="241" t="s">
        <v>37</v>
      </c>
      <c r="E16" s="240" t="str">
        <v>AB</v>
      </c>
      <c r="F16" s="240" t="str">
        <v>3E</v>
      </c>
      <c r="G16" s="240" t="str">
        <f t="shared" si="0"/>
        <v>Annual</v>
      </c>
      <c r="H16" s="160" t="s">
        <v>124</v>
      </c>
      <c r="I16" s="160" t="str">
        <f t="shared" si="1"/>
        <v>30/360 (Bond Basis)</v>
      </c>
      <c r="J16" s="242">
        <v>0</v>
      </c>
      <c r="K16" s="243" t="str">
        <f t="shared" si="2"/>
        <v>EURAB3E8Y_Quote</v>
      </c>
      <c r="L16" s="244" t="str">
        <f>_xll.qlSwapRateHelper2(,$K16,$B16,$D16,Calendar,$G16,$H16,$I16,$L$4,$J16,C16,Discounting,,,Permanent,,ObjectOverwrite)</f>
        <v>obj_006ca#0004</v>
      </c>
      <c r="M16" s="245" t="str">
        <f>_xll.ohRangeRetrieveError(L16)</f>
        <v/>
      </c>
      <c r="N16" s="223"/>
    </row>
    <row r="17" spans="1:14" x14ac:dyDescent="0.2">
      <c r="A17" s="220"/>
      <c r="B17" s="240">
        <v>2</v>
      </c>
      <c r="C17" s="240" t="s">
        <v>118</v>
      </c>
      <c r="D17" s="241" t="s">
        <v>36</v>
      </c>
      <c r="E17" s="240" t="str">
        <v>AB</v>
      </c>
      <c r="F17" s="240" t="str">
        <v>3E</v>
      </c>
      <c r="G17" s="240" t="str">
        <f t="shared" si="0"/>
        <v>Annual</v>
      </c>
      <c r="H17" s="160" t="s">
        <v>124</v>
      </c>
      <c r="I17" s="160" t="str">
        <f t="shared" si="1"/>
        <v>30/360 (Bond Basis)</v>
      </c>
      <c r="J17" s="242">
        <v>0</v>
      </c>
      <c r="K17" s="243" t="str">
        <f t="shared" si="2"/>
        <v>EURAB3E9Y_Quote</v>
      </c>
      <c r="L17" s="244" t="str">
        <f>_xll.qlSwapRateHelper2(,$K17,$B17,$D17,Calendar,$G17,$H17,$I17,$L$4,$J17,C17,Discounting,,,Permanent,,ObjectOverwrite)</f>
        <v>obj_006c5#0004</v>
      </c>
      <c r="M17" s="245" t="str">
        <f>_xll.ohRangeRetrieveError(L17)</f>
        <v/>
      </c>
      <c r="N17" s="223"/>
    </row>
    <row r="18" spans="1:14" x14ac:dyDescent="0.2">
      <c r="A18" s="220"/>
      <c r="B18" s="240">
        <v>2</v>
      </c>
      <c r="C18" s="240" t="s">
        <v>118</v>
      </c>
      <c r="D18" s="241" t="s">
        <v>35</v>
      </c>
      <c r="E18" s="240" t="str">
        <v>AB</v>
      </c>
      <c r="F18" s="240" t="str">
        <v>3E</v>
      </c>
      <c r="G18" s="240" t="str">
        <f t="shared" si="0"/>
        <v>Annual</v>
      </c>
      <c r="H18" s="160" t="s">
        <v>124</v>
      </c>
      <c r="I18" s="160" t="str">
        <f t="shared" si="1"/>
        <v>30/360 (Bond Basis)</v>
      </c>
      <c r="J18" s="242">
        <v>0</v>
      </c>
      <c r="K18" s="243" t="str">
        <f t="shared" si="2"/>
        <v>EURAB3E10Y_Quote</v>
      </c>
      <c r="L18" s="244" t="str">
        <f>_xll.qlSwapRateHelper2(,$K18,$B18,$D18,Calendar,$G18,$H18,$I18,$L$4,$J18,C18,Discounting,,,Permanent,,ObjectOverwrite)</f>
        <v>obj_006c0#0004</v>
      </c>
      <c r="M18" s="245" t="str">
        <f>_xll.ohRangeRetrieveError(L18)</f>
        <v/>
      </c>
      <c r="N18" s="223"/>
    </row>
    <row r="19" spans="1:14" x14ac:dyDescent="0.2">
      <c r="A19" s="220"/>
      <c r="B19" s="240">
        <v>2</v>
      </c>
      <c r="C19" s="240" t="s">
        <v>118</v>
      </c>
      <c r="D19" s="241" t="s">
        <v>34</v>
      </c>
      <c r="E19" s="240" t="str">
        <v>AB</v>
      </c>
      <c r="F19" s="240" t="str">
        <v>3E</v>
      </c>
      <c r="G19" s="240" t="str">
        <f t="shared" si="0"/>
        <v>Annual</v>
      </c>
      <c r="H19" s="160" t="s">
        <v>124</v>
      </c>
      <c r="I19" s="160" t="str">
        <f t="shared" si="1"/>
        <v>30/360 (Bond Basis)</v>
      </c>
      <c r="J19" s="242">
        <v>0</v>
      </c>
      <c r="K19" s="243" t="str">
        <f t="shared" si="2"/>
        <v>EURAB3E11Y_Quote</v>
      </c>
      <c r="L19" s="244" t="str">
        <f>_xll.qlSwapRateHelper2(,$K19,$B19,$D19,Calendar,$G19,$H19,$I19,$L$4,$J19,C19,Discounting,,,Permanent,,ObjectOverwrite)</f>
        <v>obj_006de#0004</v>
      </c>
      <c r="M19" s="245" t="str">
        <f>_xll.ohRangeRetrieveError(L19)</f>
        <v/>
      </c>
      <c r="N19" s="223"/>
    </row>
    <row r="20" spans="1:14" x14ac:dyDescent="0.2">
      <c r="A20" s="220"/>
      <c r="B20" s="240">
        <v>2</v>
      </c>
      <c r="C20" s="240" t="s">
        <v>118</v>
      </c>
      <c r="D20" s="241" t="s">
        <v>33</v>
      </c>
      <c r="E20" s="240" t="str">
        <v>AB</v>
      </c>
      <c r="F20" s="240" t="str">
        <v>3E</v>
      </c>
      <c r="G20" s="240" t="str">
        <f t="shared" si="0"/>
        <v>Annual</v>
      </c>
      <c r="H20" s="160" t="s">
        <v>124</v>
      </c>
      <c r="I20" s="160" t="str">
        <f t="shared" si="1"/>
        <v>30/360 (Bond Basis)</v>
      </c>
      <c r="J20" s="242">
        <v>0</v>
      </c>
      <c r="K20" s="243" t="str">
        <f t="shared" si="2"/>
        <v>EURAB3E12Y_Quote</v>
      </c>
      <c r="L20" s="244" t="str">
        <f>_xll.qlSwapRateHelper2(,$K20,$B20,$D20,Calendar,$G20,$H20,$I20,$L$4,$J20,C20,Discounting,,,Permanent,,ObjectOverwrite)</f>
        <v>obj_006e0#0004</v>
      </c>
      <c r="M20" s="245" t="str">
        <f>_xll.ohRangeRetrieveError(L20)</f>
        <v/>
      </c>
      <c r="N20" s="223"/>
    </row>
    <row r="21" spans="1:14" x14ac:dyDescent="0.2">
      <c r="A21" s="220"/>
      <c r="B21" s="240">
        <v>2</v>
      </c>
      <c r="C21" s="240" t="s">
        <v>118</v>
      </c>
      <c r="D21" s="241" t="s">
        <v>32</v>
      </c>
      <c r="E21" s="240" t="str">
        <v>AB</v>
      </c>
      <c r="F21" s="240" t="str">
        <v>3E</v>
      </c>
      <c r="G21" s="240" t="str">
        <f t="shared" si="0"/>
        <v>Annual</v>
      </c>
      <c r="H21" s="160" t="s">
        <v>124</v>
      </c>
      <c r="I21" s="160" t="str">
        <f t="shared" si="1"/>
        <v>30/360 (Bond Basis)</v>
      </c>
      <c r="J21" s="242">
        <v>0</v>
      </c>
      <c r="K21" s="243" t="str">
        <f t="shared" si="2"/>
        <v>EURAB3E13Y_Quote</v>
      </c>
      <c r="L21" s="244" t="str">
        <f>_xll.qlSwapRateHelper2(,$K21,$B21,$D21,Calendar,$G21,$H21,$I21,$L$4,$J21,C21,Discounting,,,Permanent,,ObjectOverwrite)</f>
        <v>obj_006d7#0004</v>
      </c>
      <c r="M21" s="245" t="str">
        <f>_xll.ohRangeRetrieveError(L21)</f>
        <v/>
      </c>
      <c r="N21" s="223"/>
    </row>
    <row r="22" spans="1:14" x14ac:dyDescent="0.2">
      <c r="A22" s="220"/>
      <c r="B22" s="240">
        <v>2</v>
      </c>
      <c r="C22" s="240" t="s">
        <v>118</v>
      </c>
      <c r="D22" s="241" t="s">
        <v>31</v>
      </c>
      <c r="E22" s="240" t="str">
        <v>AB</v>
      </c>
      <c r="F22" s="240" t="str">
        <v>3E</v>
      </c>
      <c r="G22" s="240" t="str">
        <f t="shared" si="0"/>
        <v>Annual</v>
      </c>
      <c r="H22" s="160" t="s">
        <v>124</v>
      </c>
      <c r="I22" s="160" t="str">
        <f t="shared" si="1"/>
        <v>30/360 (Bond Basis)</v>
      </c>
      <c r="J22" s="242">
        <v>0</v>
      </c>
      <c r="K22" s="243" t="str">
        <f t="shared" si="2"/>
        <v>EURAB3E14Y_Quote</v>
      </c>
      <c r="L22" s="244" t="str">
        <f>_xll.qlSwapRateHelper2(,$K22,$B22,$D22,Calendar,$G22,$H22,$I22,$L$4,$J22,C22,Discounting,,,Permanent,,ObjectOverwrite)</f>
        <v>obj_006d3#0004</v>
      </c>
      <c r="M22" s="245" t="str">
        <f>_xll.ohRangeRetrieveError(L22)</f>
        <v/>
      </c>
      <c r="N22" s="223"/>
    </row>
    <row r="23" spans="1:14" x14ac:dyDescent="0.2">
      <c r="A23" s="220"/>
      <c r="B23" s="240">
        <v>2</v>
      </c>
      <c r="C23" s="240" t="s">
        <v>118</v>
      </c>
      <c r="D23" s="241" t="s">
        <v>30</v>
      </c>
      <c r="E23" s="240" t="str">
        <v>AB</v>
      </c>
      <c r="F23" s="240" t="str">
        <v>3E</v>
      </c>
      <c r="G23" s="240" t="str">
        <f t="shared" si="0"/>
        <v>Annual</v>
      </c>
      <c r="H23" s="160" t="s">
        <v>124</v>
      </c>
      <c r="I23" s="160" t="str">
        <f t="shared" si="1"/>
        <v>30/360 (Bond Basis)</v>
      </c>
      <c r="J23" s="242">
        <v>0</v>
      </c>
      <c r="K23" s="243" t="str">
        <f t="shared" si="2"/>
        <v>EURAB3E15Y_Quote</v>
      </c>
      <c r="L23" s="244" t="str">
        <f>_xll.qlSwapRateHelper2(,$K23,$B23,$D23,Calendar,$G23,$H23,$I23,$L$4,$J23,C23,Discounting,,,Permanent,,ObjectOverwrite)</f>
        <v>obj_006ce#0004</v>
      </c>
      <c r="M23" s="245" t="str">
        <f>_xll.ohRangeRetrieveError(L23)</f>
        <v/>
      </c>
      <c r="N23" s="223"/>
    </row>
    <row r="24" spans="1:14" x14ac:dyDescent="0.2">
      <c r="A24" s="220"/>
      <c r="B24" s="240">
        <v>2</v>
      </c>
      <c r="C24" s="240" t="s">
        <v>118</v>
      </c>
      <c r="D24" s="241" t="s">
        <v>29</v>
      </c>
      <c r="E24" s="240" t="str">
        <v>AB</v>
      </c>
      <c r="F24" s="240" t="str">
        <v>3E</v>
      </c>
      <c r="G24" s="240" t="str">
        <f t="shared" si="0"/>
        <v>Annual</v>
      </c>
      <c r="H24" s="160" t="s">
        <v>124</v>
      </c>
      <c r="I24" s="160" t="str">
        <f t="shared" si="1"/>
        <v>30/360 (Bond Basis)</v>
      </c>
      <c r="J24" s="242">
        <v>0</v>
      </c>
      <c r="K24" s="243" t="str">
        <f t="shared" si="2"/>
        <v>EURAB3E16Y_Quote</v>
      </c>
      <c r="L24" s="244" t="str">
        <f>_xll.qlSwapRateHelper2(,$K24,$B24,$D24,Calendar,$G24,$H24,$I24,$L$4,$J24,C24,Discounting,,,Permanent,,ObjectOverwrite)</f>
        <v>obj_006c9#0004</v>
      </c>
      <c r="M24" s="245" t="str">
        <f>_xll.ohRangeRetrieveError(L24)</f>
        <v/>
      </c>
      <c r="N24" s="223"/>
    </row>
    <row r="25" spans="1:14" x14ac:dyDescent="0.2">
      <c r="A25" s="220"/>
      <c r="B25" s="240">
        <v>2</v>
      </c>
      <c r="C25" s="240" t="s">
        <v>118</v>
      </c>
      <c r="D25" s="241" t="s">
        <v>28</v>
      </c>
      <c r="E25" s="240" t="str">
        <v>AB</v>
      </c>
      <c r="F25" s="240" t="str">
        <v>3E</v>
      </c>
      <c r="G25" s="240" t="str">
        <f t="shared" si="0"/>
        <v>Annual</v>
      </c>
      <c r="H25" s="160" t="s">
        <v>124</v>
      </c>
      <c r="I25" s="160" t="str">
        <f t="shared" si="1"/>
        <v>30/360 (Bond Basis)</v>
      </c>
      <c r="J25" s="242">
        <v>0</v>
      </c>
      <c r="K25" s="243" t="str">
        <f t="shared" si="2"/>
        <v>EURAB3E17Y_Quote</v>
      </c>
      <c r="L25" s="244" t="str">
        <f>_xll.qlSwapRateHelper2(,$K25,$B25,$D25,Calendar,$G25,$H25,$I25,$L$4,$J25,C25,Discounting,,,Permanent,,ObjectOverwrite)</f>
        <v>obj_006c4#0004</v>
      </c>
      <c r="M25" s="245" t="str">
        <f>_xll.ohRangeRetrieveError(L25)</f>
        <v/>
      </c>
      <c r="N25" s="223"/>
    </row>
    <row r="26" spans="1:14" x14ac:dyDescent="0.2">
      <c r="A26" s="220"/>
      <c r="B26" s="240">
        <v>2</v>
      </c>
      <c r="C26" s="240" t="s">
        <v>118</v>
      </c>
      <c r="D26" s="241" t="s">
        <v>27</v>
      </c>
      <c r="E26" s="240" t="str">
        <v>AB</v>
      </c>
      <c r="F26" s="240" t="str">
        <v>3E</v>
      </c>
      <c r="G26" s="240" t="str">
        <f t="shared" si="0"/>
        <v>Annual</v>
      </c>
      <c r="H26" s="160" t="s">
        <v>124</v>
      </c>
      <c r="I26" s="160" t="str">
        <f t="shared" si="1"/>
        <v>30/360 (Bond Basis)</v>
      </c>
      <c r="J26" s="242">
        <v>0</v>
      </c>
      <c r="K26" s="243" t="str">
        <f t="shared" si="2"/>
        <v>EURAB3E18Y_Quote</v>
      </c>
      <c r="L26" s="244" t="str">
        <f>_xll.qlSwapRateHelper2(,$K26,$B26,$D26,Calendar,$G26,$H26,$I26,$L$4,$J26,C26,Discounting,,,Permanent,,ObjectOverwrite)</f>
        <v>obj_006bf#0004</v>
      </c>
      <c r="M26" s="245" t="str">
        <f>_xll.ohRangeRetrieveError(L26)</f>
        <v/>
      </c>
      <c r="N26" s="223"/>
    </row>
    <row r="27" spans="1:14" x14ac:dyDescent="0.2">
      <c r="A27" s="220"/>
      <c r="B27" s="240">
        <v>2</v>
      </c>
      <c r="C27" s="240" t="s">
        <v>118</v>
      </c>
      <c r="D27" s="241" t="s">
        <v>26</v>
      </c>
      <c r="E27" s="240" t="str">
        <v>AB</v>
      </c>
      <c r="F27" s="240" t="str">
        <v>3E</v>
      </c>
      <c r="G27" s="240" t="str">
        <f t="shared" si="0"/>
        <v>Annual</v>
      </c>
      <c r="H27" s="160" t="s">
        <v>124</v>
      </c>
      <c r="I27" s="160" t="str">
        <f t="shared" si="1"/>
        <v>30/360 (Bond Basis)</v>
      </c>
      <c r="J27" s="242">
        <v>0</v>
      </c>
      <c r="K27" s="243" t="str">
        <f t="shared" si="2"/>
        <v>EURAB3E19Y_Quote</v>
      </c>
      <c r="L27" s="244" t="str">
        <f>_xll.qlSwapRateHelper2(,$K27,$B27,$D27,Calendar,$G27,$H27,$I27,$L$4,$J27,C27,Discounting,,,Permanent,,ObjectOverwrite)</f>
        <v>obj_006dd#0004</v>
      </c>
      <c r="M27" s="245" t="str">
        <f>_xll.ohRangeRetrieveError(L27)</f>
        <v/>
      </c>
      <c r="N27" s="223"/>
    </row>
    <row r="28" spans="1:14" x14ac:dyDescent="0.2">
      <c r="A28" s="220"/>
      <c r="B28" s="240">
        <v>2</v>
      </c>
      <c r="C28" s="240" t="s">
        <v>118</v>
      </c>
      <c r="D28" s="241" t="s">
        <v>25</v>
      </c>
      <c r="E28" s="240" t="str">
        <v>AB</v>
      </c>
      <c r="F28" s="240" t="str">
        <v>3E</v>
      </c>
      <c r="G28" s="240" t="str">
        <f t="shared" si="0"/>
        <v>Annual</v>
      </c>
      <c r="H28" s="160" t="s">
        <v>124</v>
      </c>
      <c r="I28" s="160" t="str">
        <f t="shared" si="1"/>
        <v>30/360 (Bond Basis)</v>
      </c>
      <c r="J28" s="242">
        <v>0</v>
      </c>
      <c r="K28" s="243" t="str">
        <f t="shared" si="2"/>
        <v>EURAB3E20Y_Quote</v>
      </c>
      <c r="L28" s="244" t="str">
        <f>_xll.qlSwapRateHelper2(,$K28,$B28,$D28,Calendar,$G28,$H28,$I28,$L$4,$J28,C28,Discounting,,,Permanent,,ObjectOverwrite)</f>
        <v>obj_006da#0004</v>
      </c>
      <c r="M28" s="245" t="str">
        <f>_xll.ohRangeRetrieveError(L28)</f>
        <v/>
      </c>
      <c r="N28" s="223"/>
    </row>
    <row r="29" spans="1:14" x14ac:dyDescent="0.2">
      <c r="A29" s="220"/>
      <c r="B29" s="240">
        <v>2</v>
      </c>
      <c r="C29" s="240" t="s">
        <v>118</v>
      </c>
      <c r="D29" s="241" t="s">
        <v>24</v>
      </c>
      <c r="E29" s="240" t="str">
        <v>AB</v>
      </c>
      <c r="F29" s="240" t="str">
        <v>3E</v>
      </c>
      <c r="G29" s="240" t="str">
        <f t="shared" si="0"/>
        <v>Annual</v>
      </c>
      <c r="H29" s="160" t="s">
        <v>124</v>
      </c>
      <c r="I29" s="160" t="str">
        <f t="shared" si="1"/>
        <v>30/360 (Bond Basis)</v>
      </c>
      <c r="J29" s="242">
        <v>0</v>
      </c>
      <c r="K29" s="243" t="str">
        <f t="shared" si="2"/>
        <v>EURAB3E21Y_Quote</v>
      </c>
      <c r="L29" s="244" t="str">
        <f>_xll.qlSwapRateHelper2(,$K29,$B29,$D29,Calendar,$G29,$H29,$I29,$L$4,$J29,C29,Discounting,,,Permanent,,ObjectOverwrite)</f>
        <v>obj_006d6#0004</v>
      </c>
      <c r="M29" s="245" t="str">
        <f>_xll.ohRangeRetrieveError(L29)</f>
        <v/>
      </c>
      <c r="N29" s="223"/>
    </row>
    <row r="30" spans="1:14" x14ac:dyDescent="0.2">
      <c r="A30" s="220"/>
      <c r="B30" s="240">
        <v>2</v>
      </c>
      <c r="C30" s="240" t="s">
        <v>118</v>
      </c>
      <c r="D30" s="241" t="s">
        <v>23</v>
      </c>
      <c r="E30" s="240" t="str">
        <v>AB</v>
      </c>
      <c r="F30" s="240" t="str">
        <v>3E</v>
      </c>
      <c r="G30" s="240" t="str">
        <f t="shared" si="0"/>
        <v>Annual</v>
      </c>
      <c r="H30" s="160" t="s">
        <v>124</v>
      </c>
      <c r="I30" s="160" t="str">
        <f t="shared" si="1"/>
        <v>30/360 (Bond Basis)</v>
      </c>
      <c r="J30" s="242">
        <v>0</v>
      </c>
      <c r="K30" s="243" t="str">
        <f t="shared" si="2"/>
        <v>EURAB3E22Y_Quote</v>
      </c>
      <c r="L30" s="244" t="str">
        <f>_xll.qlSwapRateHelper2(,$K30,$B30,$D30,Calendar,$G30,$H30,$I30,$L$4,$J30,C30,Discounting,,,Permanent,,ObjectOverwrite)</f>
        <v>obj_006d2#0004</v>
      </c>
      <c r="M30" s="245" t="str">
        <f>_xll.ohRangeRetrieveError(L30)</f>
        <v/>
      </c>
      <c r="N30" s="223"/>
    </row>
    <row r="31" spans="1:14" x14ac:dyDescent="0.2">
      <c r="A31" s="220"/>
      <c r="B31" s="240">
        <v>2</v>
      </c>
      <c r="C31" s="240" t="s">
        <v>118</v>
      </c>
      <c r="D31" s="241" t="s">
        <v>22</v>
      </c>
      <c r="E31" s="240" t="str">
        <v>AB</v>
      </c>
      <c r="F31" s="240" t="str">
        <v>3E</v>
      </c>
      <c r="G31" s="240" t="str">
        <f t="shared" si="0"/>
        <v>Annual</v>
      </c>
      <c r="H31" s="160" t="s">
        <v>124</v>
      </c>
      <c r="I31" s="160" t="str">
        <f t="shared" si="1"/>
        <v>30/360 (Bond Basis)</v>
      </c>
      <c r="J31" s="242">
        <v>0</v>
      </c>
      <c r="K31" s="243" t="str">
        <f t="shared" si="2"/>
        <v>EURAB3E23Y_Quote</v>
      </c>
      <c r="L31" s="244" t="str">
        <f>_xll.qlSwapRateHelper2(,$K31,$B31,$D31,Calendar,$G31,$H31,$I31,$L$4,$J31,C31,Discounting,,,Permanent,,ObjectOverwrite)</f>
        <v>obj_006cd#0004</v>
      </c>
      <c r="M31" s="245" t="str">
        <f>_xll.ohRangeRetrieveError(L31)</f>
        <v/>
      </c>
      <c r="N31" s="223"/>
    </row>
    <row r="32" spans="1:14" x14ac:dyDescent="0.2">
      <c r="A32" s="220"/>
      <c r="B32" s="240">
        <v>2</v>
      </c>
      <c r="C32" s="240" t="s">
        <v>118</v>
      </c>
      <c r="D32" s="241" t="s">
        <v>21</v>
      </c>
      <c r="E32" s="240" t="str">
        <v>AB</v>
      </c>
      <c r="F32" s="240" t="str">
        <v>3E</v>
      </c>
      <c r="G32" s="240" t="str">
        <f t="shared" si="0"/>
        <v>Annual</v>
      </c>
      <c r="H32" s="160" t="s">
        <v>124</v>
      </c>
      <c r="I32" s="160" t="str">
        <f t="shared" si="1"/>
        <v>30/360 (Bond Basis)</v>
      </c>
      <c r="J32" s="242">
        <v>0</v>
      </c>
      <c r="K32" s="243" t="str">
        <f t="shared" si="2"/>
        <v>EURAB3E24Y_Quote</v>
      </c>
      <c r="L32" s="244" t="str">
        <f>_xll.qlSwapRateHelper2(,$K32,$B32,$D32,Calendar,$G32,$H32,$I32,$L$4,$J32,C32,Discounting,,,Permanent,,ObjectOverwrite)</f>
        <v>obj_006c8#0004</v>
      </c>
      <c r="M32" s="245" t="str">
        <f>_xll.ohRangeRetrieveError(L32)</f>
        <v/>
      </c>
      <c r="N32" s="223"/>
    </row>
    <row r="33" spans="1:17" x14ac:dyDescent="0.2">
      <c r="A33" s="220"/>
      <c r="B33" s="240">
        <v>2</v>
      </c>
      <c r="C33" s="240" t="s">
        <v>118</v>
      </c>
      <c r="D33" s="241" t="s">
        <v>20</v>
      </c>
      <c r="E33" s="240" t="str">
        <v>AB</v>
      </c>
      <c r="F33" s="240" t="str">
        <v>3E</v>
      </c>
      <c r="G33" s="240" t="str">
        <f t="shared" si="0"/>
        <v>Annual</v>
      </c>
      <c r="H33" s="160" t="s">
        <v>124</v>
      </c>
      <c r="I33" s="160" t="str">
        <f t="shared" si="1"/>
        <v>30/360 (Bond Basis)</v>
      </c>
      <c r="J33" s="242">
        <v>0</v>
      </c>
      <c r="K33" s="243" t="str">
        <f t="shared" si="2"/>
        <v>EURAB3E25Y_Quote</v>
      </c>
      <c r="L33" s="244" t="str">
        <f>_xll.qlSwapRateHelper2(,$K33,$B33,$D33,Calendar,$G33,$H33,$I33,$L$4,$J33,C33,Discounting,,,Permanent,,ObjectOverwrite)</f>
        <v>obj_006c3#0004</v>
      </c>
      <c r="M33" s="245" t="str">
        <f>_xll.ohRangeRetrieveError(L33)</f>
        <v/>
      </c>
      <c r="N33" s="223"/>
    </row>
    <row r="34" spans="1:17" x14ac:dyDescent="0.2">
      <c r="A34" s="220"/>
      <c r="B34" s="240">
        <v>2</v>
      </c>
      <c r="C34" s="240" t="s">
        <v>118</v>
      </c>
      <c r="D34" s="241" t="s">
        <v>19</v>
      </c>
      <c r="E34" s="240" t="str">
        <v>AB</v>
      </c>
      <c r="F34" s="240" t="str">
        <v>3E</v>
      </c>
      <c r="G34" s="240" t="str">
        <f t="shared" si="0"/>
        <v>Annual</v>
      </c>
      <c r="H34" s="160" t="s">
        <v>124</v>
      </c>
      <c r="I34" s="160" t="str">
        <f t="shared" si="1"/>
        <v>30/360 (Bond Basis)</v>
      </c>
      <c r="J34" s="242">
        <v>0</v>
      </c>
      <c r="K34" s="243" t="str">
        <f t="shared" si="2"/>
        <v>EURAB3E26Y_Quote</v>
      </c>
      <c r="L34" s="244" t="str">
        <f>_xll.qlSwapRateHelper2(,$K34,$B34,$D34,Calendar,$G34,$H34,$I34,$L$4,$J34,C34,Discounting,,,Permanent,,ObjectOverwrite)</f>
        <v>obj_006be#0004</v>
      </c>
      <c r="M34" s="245" t="str">
        <f>_xll.ohRangeRetrieveError(L34)</f>
        <v/>
      </c>
      <c r="N34" s="223"/>
    </row>
    <row r="35" spans="1:17" x14ac:dyDescent="0.2">
      <c r="A35" s="220"/>
      <c r="B35" s="240">
        <v>2</v>
      </c>
      <c r="C35" s="240" t="s">
        <v>118</v>
      </c>
      <c r="D35" s="241" t="s">
        <v>18</v>
      </c>
      <c r="E35" s="240" t="str">
        <v>AB</v>
      </c>
      <c r="F35" s="240" t="str">
        <v>3E</v>
      </c>
      <c r="G35" s="240" t="str">
        <f t="shared" si="0"/>
        <v>Annual</v>
      </c>
      <c r="H35" s="160" t="s">
        <v>124</v>
      </c>
      <c r="I35" s="160" t="str">
        <f t="shared" si="1"/>
        <v>30/360 (Bond Basis)</v>
      </c>
      <c r="J35" s="242">
        <v>0</v>
      </c>
      <c r="K35" s="243" t="str">
        <f t="shared" si="2"/>
        <v>EURAB3E27Y_Quote</v>
      </c>
      <c r="L35" s="244" t="str">
        <f>_xll.qlSwapRateHelper2(,$K35,$B35,$D35,Calendar,$G35,$H35,$I35,$L$4,$J35,C35,Discounting,,,Permanent,,ObjectOverwrite)</f>
        <v>obj_006dc#0004</v>
      </c>
      <c r="M35" s="245" t="str">
        <f>_xll.ohRangeRetrieveError(L35)</f>
        <v/>
      </c>
      <c r="N35" s="223"/>
    </row>
    <row r="36" spans="1:17" x14ac:dyDescent="0.2">
      <c r="A36" s="220"/>
      <c r="B36" s="240">
        <v>2</v>
      </c>
      <c r="C36" s="240" t="s">
        <v>118</v>
      </c>
      <c r="D36" s="241" t="s">
        <v>17</v>
      </c>
      <c r="E36" s="240" t="str">
        <v>AB</v>
      </c>
      <c r="F36" s="240" t="str">
        <v>3E</v>
      </c>
      <c r="G36" s="240" t="str">
        <f t="shared" si="0"/>
        <v>Annual</v>
      </c>
      <c r="H36" s="160" t="s">
        <v>124</v>
      </c>
      <c r="I36" s="160" t="str">
        <f t="shared" si="1"/>
        <v>30/360 (Bond Basis)</v>
      </c>
      <c r="J36" s="242">
        <v>0</v>
      </c>
      <c r="K36" s="243" t="str">
        <f t="shared" si="2"/>
        <v>EURAB3E28Y_Quote</v>
      </c>
      <c r="L36" s="244" t="str">
        <f>_xll.qlSwapRateHelper2(,$K36,$B36,$D36,Calendar,$G36,$H36,$I36,$L$4,$J36,C36,Discounting,,,Permanent,,ObjectOverwrite)</f>
        <v>obj_006d9#0004</v>
      </c>
      <c r="M36" s="245" t="str">
        <f>_xll.ohRangeRetrieveError(L36)</f>
        <v/>
      </c>
      <c r="N36" s="223"/>
    </row>
    <row r="37" spans="1:17" x14ac:dyDescent="0.2">
      <c r="A37" s="220"/>
      <c r="B37" s="240">
        <v>2</v>
      </c>
      <c r="C37" s="240" t="s">
        <v>118</v>
      </c>
      <c r="D37" s="241" t="s">
        <v>16</v>
      </c>
      <c r="E37" s="240" t="str">
        <v>AB</v>
      </c>
      <c r="F37" s="240" t="str">
        <v>3E</v>
      </c>
      <c r="G37" s="240" t="str">
        <f t="shared" si="0"/>
        <v>Annual</v>
      </c>
      <c r="H37" s="160" t="s">
        <v>124</v>
      </c>
      <c r="I37" s="160" t="str">
        <f t="shared" si="1"/>
        <v>30/360 (Bond Basis)</v>
      </c>
      <c r="J37" s="242">
        <v>0</v>
      </c>
      <c r="K37" s="243" t="str">
        <f t="shared" si="2"/>
        <v>EURAB3E29Y_Quote</v>
      </c>
      <c r="L37" s="244" t="str">
        <f>_xll.qlSwapRateHelper2(,$K37,$B37,$D37,Calendar,$G37,$H37,$I37,$L$4,$J37,C37,Discounting,,,Permanent,,ObjectOverwrite)</f>
        <v>obj_006d5#0004</v>
      </c>
      <c r="M37" s="245" t="str">
        <f>_xll.ohRangeRetrieveError(L37)</f>
        <v/>
      </c>
      <c r="N37" s="223"/>
    </row>
    <row r="38" spans="1:17" x14ac:dyDescent="0.2">
      <c r="A38" s="220"/>
      <c r="B38" s="240">
        <v>2</v>
      </c>
      <c r="C38" s="240" t="s">
        <v>118</v>
      </c>
      <c r="D38" s="241" t="s">
        <v>15</v>
      </c>
      <c r="E38" s="240" t="str">
        <v>AB</v>
      </c>
      <c r="F38" s="240" t="str">
        <v>3E</v>
      </c>
      <c r="G38" s="240" t="str">
        <f t="shared" si="0"/>
        <v>Annual</v>
      </c>
      <c r="H38" s="160" t="s">
        <v>124</v>
      </c>
      <c r="I38" s="160" t="str">
        <f t="shared" si="1"/>
        <v>30/360 (Bond Basis)</v>
      </c>
      <c r="J38" s="242">
        <v>0</v>
      </c>
      <c r="K38" s="243" t="str">
        <f t="shared" si="2"/>
        <v>EURAB3E30Y_Quote</v>
      </c>
      <c r="L38" s="244" t="str">
        <f>_xll.qlSwapRateHelper2(,$K38,$B38,$D38,Calendar,$G38,$H38,$I38,$L$4,$J38,C38,Discounting,,,Permanent,,ObjectOverwrite)</f>
        <v>obj_006d1#0004</v>
      </c>
      <c r="M38" s="245" t="str">
        <f>_xll.ohRangeRetrieveError(L38)</f>
        <v/>
      </c>
      <c r="N38" s="223"/>
    </row>
    <row r="39" spans="1:17" x14ac:dyDescent="0.2">
      <c r="A39" s="220"/>
      <c r="B39" s="240">
        <v>2</v>
      </c>
      <c r="C39" s="240" t="s">
        <v>118</v>
      </c>
      <c r="D39" s="241" t="s">
        <v>14</v>
      </c>
      <c r="E39" s="240" t="str">
        <v>AB</v>
      </c>
      <c r="F39" s="240" t="str">
        <v>3E</v>
      </c>
      <c r="G39" s="240" t="str">
        <f t="shared" si="0"/>
        <v>Annual</v>
      </c>
      <c r="H39" s="160" t="s">
        <v>124</v>
      </c>
      <c r="I39" s="160" t="str">
        <f t="shared" si="1"/>
        <v>30/360 (Bond Basis)</v>
      </c>
      <c r="J39" s="242">
        <v>0</v>
      </c>
      <c r="K39" s="243" t="str">
        <f t="shared" si="2"/>
        <v>EURAB3E35Y_Quote</v>
      </c>
      <c r="L39" s="244" t="str">
        <f>_xll.qlSwapRateHelper2(,$K39,$B39,$D39,Calendar,$G39,$H39,$I39,$L$4,$J39,C39,Discounting,,,Permanent,,ObjectOverwrite)</f>
        <v>obj_006cc#0004</v>
      </c>
      <c r="M39" s="245" t="str">
        <f>_xll.ohRangeRetrieveError(L39)</f>
        <v/>
      </c>
      <c r="N39" s="223"/>
    </row>
    <row r="40" spans="1:17" x14ac:dyDescent="0.2">
      <c r="A40" s="220"/>
      <c r="B40" s="240">
        <v>2</v>
      </c>
      <c r="C40" s="240" t="s">
        <v>118</v>
      </c>
      <c r="D40" s="241" t="s">
        <v>13</v>
      </c>
      <c r="E40" s="240" t="str">
        <v>AB</v>
      </c>
      <c r="F40" s="240" t="str">
        <v>3E</v>
      </c>
      <c r="G40" s="240" t="str">
        <f t="shared" si="0"/>
        <v>Annual</v>
      </c>
      <c r="H40" s="160" t="s">
        <v>124</v>
      </c>
      <c r="I40" s="160" t="str">
        <f t="shared" si="1"/>
        <v>30/360 (Bond Basis)</v>
      </c>
      <c r="J40" s="242">
        <v>0</v>
      </c>
      <c r="K40" s="243" t="str">
        <f t="shared" si="2"/>
        <v>EURAB3E40Y_Quote</v>
      </c>
      <c r="L40" s="244" t="str">
        <f>_xll.qlSwapRateHelper2(,$K40,$B40,$D40,Calendar,$G40,$H40,$I40,$L$4,$J40,C40,Discounting,,,Permanent,,ObjectOverwrite)</f>
        <v>obj_006c7#0004</v>
      </c>
      <c r="M40" s="245" t="str">
        <f>_xll.ohRangeRetrieveError(L40)</f>
        <v/>
      </c>
      <c r="N40" s="223"/>
    </row>
    <row r="41" spans="1:17" x14ac:dyDescent="0.2">
      <c r="A41" s="220"/>
      <c r="B41" s="240">
        <v>2</v>
      </c>
      <c r="C41" s="240" t="s">
        <v>118</v>
      </c>
      <c r="D41" s="241" t="s">
        <v>12</v>
      </c>
      <c r="E41" s="240" t="str">
        <v>AB</v>
      </c>
      <c r="F41" s="240" t="str">
        <v>3E</v>
      </c>
      <c r="G41" s="240" t="str">
        <f t="shared" si="0"/>
        <v>Annual</v>
      </c>
      <c r="H41" s="160" t="s">
        <v>124</v>
      </c>
      <c r="I41" s="160" t="str">
        <f t="shared" si="1"/>
        <v>30/360 (Bond Basis)</v>
      </c>
      <c r="J41" s="242">
        <v>0</v>
      </c>
      <c r="K41" s="243" t="str">
        <f t="shared" si="2"/>
        <v>EURAB3E50Y_Quote</v>
      </c>
      <c r="L41" s="244" t="str">
        <f>_xll.qlSwapRateHelper2(,$K41,$B41,$D41,Calendar,$G41,$H41,$I41,$L$4,$J41,C41,Discounting,,,Permanent,,ObjectOverwrite)</f>
        <v>obj_006c2#0004</v>
      </c>
      <c r="M41" s="245" t="str">
        <f>_xll.ohRangeRetrieveError(L41)</f>
        <v/>
      </c>
      <c r="N41" s="223"/>
    </row>
    <row r="42" spans="1:17" x14ac:dyDescent="0.2">
      <c r="A42" s="220"/>
      <c r="B42" s="250">
        <v>2</v>
      </c>
      <c r="C42" s="250" t="s">
        <v>118</v>
      </c>
      <c r="D42" s="251" t="s">
        <v>11</v>
      </c>
      <c r="E42" s="250" t="str">
        <v>AB</v>
      </c>
      <c r="F42" s="250" t="str">
        <v>3E</v>
      </c>
      <c r="G42" s="250" t="str">
        <f t="shared" si="0"/>
        <v>Annual</v>
      </c>
      <c r="H42" s="252" t="s">
        <v>124</v>
      </c>
      <c r="I42" s="252" t="str">
        <f t="shared" si="1"/>
        <v>30/360 (Bond Basis)</v>
      </c>
      <c r="J42" s="253">
        <v>0</v>
      </c>
      <c r="K42" s="254" t="str">
        <f t="shared" si="2"/>
        <v>EURAB3E60Y_Quote</v>
      </c>
      <c r="L42" s="255" t="str">
        <f>_xll.qlSwapRateHelper2(,$K42,$B42,$D42,Calendar,$G42,$H42,$I42,$L$4,$J42,C42,Discounting,,,Permanent,,ObjectOverwrite)</f>
        <v>obj_006bd#0004</v>
      </c>
      <c r="M42" s="256" t="str">
        <f>_xll.ohRangeRetrieveError(L42)</f>
        <v/>
      </c>
      <c r="N42" s="223"/>
    </row>
    <row r="43" spans="1:17" x14ac:dyDescent="0.2">
      <c r="A43" s="227"/>
      <c r="B43" s="221"/>
      <c r="C43" s="221"/>
      <c r="D43" s="221"/>
      <c r="E43" s="221"/>
      <c r="F43" s="221"/>
      <c r="G43" s="221"/>
      <c r="H43" s="221"/>
      <c r="I43" s="221"/>
      <c r="J43" s="221"/>
      <c r="K43" s="221"/>
      <c r="L43" s="221"/>
      <c r="M43" s="221"/>
      <c r="N43" s="223"/>
    </row>
    <row r="44" spans="1:17" x14ac:dyDescent="0.2">
      <c r="A44" s="220"/>
      <c r="B44" s="230">
        <v>2</v>
      </c>
      <c r="C44" s="230" t="s">
        <v>118</v>
      </c>
      <c r="D44" s="231"/>
      <c r="E44" s="230" t="s">
        <v>48</v>
      </c>
      <c r="F44" s="230">
        <v>12</v>
      </c>
      <c r="G44" s="230" t="s">
        <v>125</v>
      </c>
      <c r="H44" s="232" t="s">
        <v>124</v>
      </c>
      <c r="I44" s="232" t="s">
        <v>123</v>
      </c>
      <c r="J44" s="233">
        <v>0</v>
      </c>
      <c r="K44" s="234" t="str">
        <f t="shared" ref="K44:K50" si="3">Currency&amp;$E44&amp;$F44&amp;QuoteSuffix</f>
        <v>EUR1S12_Quote</v>
      </c>
      <c r="L44" s="235" t="str">
        <f>_xll.qlSwapRateHelper2(,$K44,$B44,$F44&amp;"M",Calendar,$G44,$H44,$I44,$L$4,$J44,C44,Discounting,,,Permanent,,ObjectOverwrite)</f>
        <v>obj_006fa#0008</v>
      </c>
      <c r="M44" s="236" t="str">
        <f>_xll.ohRangeRetrieveError(L44)</f>
        <v/>
      </c>
      <c r="N44" s="223"/>
      <c r="O44" s="140"/>
      <c r="P44" s="140"/>
      <c r="Q44" s="140"/>
    </row>
    <row r="45" spans="1:17" x14ac:dyDescent="0.2">
      <c r="A45" s="220"/>
      <c r="B45" s="240">
        <v>2</v>
      </c>
      <c r="C45" s="240" t="s">
        <v>118</v>
      </c>
      <c r="D45" s="241"/>
      <c r="E45" s="240" t="s">
        <v>49</v>
      </c>
      <c r="F45" s="240">
        <v>12</v>
      </c>
      <c r="G45" s="240" t="s">
        <v>125</v>
      </c>
      <c r="H45" s="160" t="s">
        <v>124</v>
      </c>
      <c r="I45" s="160" t="s">
        <v>123</v>
      </c>
      <c r="J45" s="242">
        <v>0</v>
      </c>
      <c r="K45" s="243" t="str">
        <f t="shared" si="3"/>
        <v>EUR2S12_Quote</v>
      </c>
      <c r="L45" s="244" t="str">
        <f>_xll.qlSwapRateHelper2(,$K45,$B45,$F45&amp;"M",Calendar,$G45,$H45,$I45,$L$4,$J45,C45,Discounting,,,Permanent,,ObjectOverwrite)</f>
        <v>obj_006fc#0004</v>
      </c>
      <c r="M45" s="245" t="str">
        <f>_xll.ohRangeRetrieveError(L45)</f>
        <v/>
      </c>
      <c r="N45" s="223"/>
      <c r="O45" s="140"/>
      <c r="P45" s="140"/>
      <c r="Q45" s="140"/>
    </row>
    <row r="46" spans="1:17" x14ac:dyDescent="0.2">
      <c r="A46" s="220"/>
      <c r="B46" s="240">
        <v>2</v>
      </c>
      <c r="C46" s="240" t="s">
        <v>118</v>
      </c>
      <c r="D46" s="241"/>
      <c r="E46" s="240" t="s">
        <v>51</v>
      </c>
      <c r="F46" s="240">
        <v>12</v>
      </c>
      <c r="G46" s="240" t="s">
        <v>125</v>
      </c>
      <c r="H46" s="160" t="s">
        <v>124</v>
      </c>
      <c r="I46" s="160" t="s">
        <v>123</v>
      </c>
      <c r="J46" s="242">
        <v>0</v>
      </c>
      <c r="K46" s="243" t="str">
        <f t="shared" si="3"/>
        <v>EUR3S12_Quote</v>
      </c>
      <c r="L46" s="244" t="str">
        <f>_xll.qlSwapRateHelper2(,$K46,$B46,$F46&amp;"M",Calendar,$G46,$H46,$I46,$L$4,$J46,C46,Discounting,,,Permanent,,ObjectOverwrite)</f>
        <v>obj_006fe#0014</v>
      </c>
      <c r="M46" s="245" t="str">
        <f>_xll.ohRangeRetrieveError(L46)</f>
        <v/>
      </c>
      <c r="N46" s="223"/>
      <c r="O46" s="140"/>
      <c r="P46" s="140"/>
      <c r="Q46" s="140"/>
    </row>
    <row r="47" spans="1:17" x14ac:dyDescent="0.2">
      <c r="A47" s="220"/>
      <c r="B47" s="240">
        <v>2</v>
      </c>
      <c r="C47" s="240" t="s">
        <v>118</v>
      </c>
      <c r="D47" s="241"/>
      <c r="E47" s="240" t="s">
        <v>50</v>
      </c>
      <c r="F47" s="240">
        <v>12</v>
      </c>
      <c r="G47" s="240" t="s">
        <v>125</v>
      </c>
      <c r="H47" s="160" t="s">
        <v>124</v>
      </c>
      <c r="I47" s="160" t="s">
        <v>123</v>
      </c>
      <c r="J47" s="242">
        <v>0</v>
      </c>
      <c r="K47" s="243" t="str">
        <f t="shared" si="3"/>
        <v>EUR4S12_Quote</v>
      </c>
      <c r="L47" s="244" t="str">
        <f>_xll.qlSwapRateHelper2(,$K47,$B47,$F47&amp;"M",Calendar,$G47,$H47,$I47,$L$4,$J47,C47,Discounting,,,Permanent,,ObjectOverwrite)</f>
        <v>obj_00700#0004</v>
      </c>
      <c r="M47" s="245" t="str">
        <f>_xll.ohRangeRetrieveError(L47)</f>
        <v/>
      </c>
      <c r="N47" s="223"/>
      <c r="O47" s="140"/>
      <c r="P47" s="140"/>
      <c r="Q47" s="140"/>
    </row>
    <row r="48" spans="1:17" x14ac:dyDescent="0.2">
      <c r="A48" s="220"/>
      <c r="B48" s="240">
        <v>2</v>
      </c>
      <c r="C48" s="240" t="s">
        <v>118</v>
      </c>
      <c r="D48" s="241"/>
      <c r="E48" s="240" t="s">
        <v>48</v>
      </c>
      <c r="F48" s="240">
        <v>24</v>
      </c>
      <c r="G48" s="240" t="s">
        <v>125</v>
      </c>
      <c r="H48" s="160" t="s">
        <v>124</v>
      </c>
      <c r="I48" s="160" t="s">
        <v>123</v>
      </c>
      <c r="J48" s="242">
        <v>0</v>
      </c>
      <c r="K48" s="243" t="str">
        <f t="shared" si="3"/>
        <v>EUR1S24_Quote</v>
      </c>
      <c r="L48" s="244" t="str">
        <f>_xll.qlSwapRateHelper2(,$K48,$B48,$F48&amp;"M",Calendar,$G48,$H48,$I48,$L$4,$J48,C48,Discounting,,,Permanent,,ObjectOverwrite)</f>
        <v>obj_006ff#0004</v>
      </c>
      <c r="M48" s="245" t="str">
        <f>_xll.ohRangeRetrieveError(L48)</f>
        <v/>
      </c>
      <c r="N48" s="223"/>
      <c r="O48" s="140"/>
      <c r="P48" s="140"/>
      <c r="Q48" s="140"/>
    </row>
    <row r="49" spans="1:17" x14ac:dyDescent="0.2">
      <c r="A49" s="220"/>
      <c r="B49" s="240">
        <v>2</v>
      </c>
      <c r="C49" s="240" t="s">
        <v>118</v>
      </c>
      <c r="D49" s="241"/>
      <c r="E49" s="240" t="s">
        <v>49</v>
      </c>
      <c r="F49" s="240">
        <v>24</v>
      </c>
      <c r="G49" s="240" t="s">
        <v>125</v>
      </c>
      <c r="H49" s="160" t="s">
        <v>124</v>
      </c>
      <c r="I49" s="160" t="s">
        <v>123</v>
      </c>
      <c r="J49" s="242">
        <v>0</v>
      </c>
      <c r="K49" s="243" t="str">
        <f t="shared" si="3"/>
        <v>EUR2S24_Quote</v>
      </c>
      <c r="L49" s="244" t="str">
        <f>_xll.qlSwapRateHelper2(,$K49,$B49,$F49&amp;"M",Calendar,$G49,$H49,$I49,$L$4,$J49,C49,Discounting,,,Permanent,,ObjectOverwrite)</f>
        <v>obj_006fd#0004</v>
      </c>
      <c r="M49" s="245" t="str">
        <f>_xll.ohRangeRetrieveError(L49)</f>
        <v/>
      </c>
      <c r="N49" s="223"/>
      <c r="O49" s="140"/>
      <c r="P49" s="140"/>
      <c r="Q49" s="140"/>
    </row>
    <row r="50" spans="1:17" x14ac:dyDescent="0.2">
      <c r="A50" s="220"/>
      <c r="B50" s="250">
        <v>2</v>
      </c>
      <c r="C50" s="250" t="s">
        <v>118</v>
      </c>
      <c r="D50" s="251"/>
      <c r="E50" s="250" t="s">
        <v>48</v>
      </c>
      <c r="F50" s="250">
        <v>36</v>
      </c>
      <c r="G50" s="250" t="s">
        <v>125</v>
      </c>
      <c r="H50" s="252" t="s">
        <v>124</v>
      </c>
      <c r="I50" s="252" t="s">
        <v>123</v>
      </c>
      <c r="J50" s="253">
        <v>0</v>
      </c>
      <c r="K50" s="254" t="str">
        <f t="shared" si="3"/>
        <v>EUR1S36_Quote</v>
      </c>
      <c r="L50" s="255" t="str">
        <f>_xll.qlSwapRateHelper2(,$K50,$B50,$F50&amp;"M",Calendar,$G50,$H50,$I50,$L$4,$J50,C50,Discounting,,,Permanent,,ObjectOverwrite)</f>
        <v>obj_006fb#0004</v>
      </c>
      <c r="M50" s="256" t="str">
        <f>_xll.ohRangeRetrieveError(L50)</f>
        <v/>
      </c>
      <c r="N50" s="223"/>
      <c r="O50" s="140"/>
      <c r="P50" s="140"/>
      <c r="Q50" s="140"/>
    </row>
    <row r="51" spans="1:17" ht="12" thickBot="1" x14ac:dyDescent="0.25">
      <c r="A51" s="257"/>
      <c r="B51" s="258"/>
      <c r="C51" s="258"/>
      <c r="D51" s="258"/>
      <c r="E51" s="258"/>
      <c r="F51" s="258"/>
      <c r="G51" s="258"/>
      <c r="H51" s="258"/>
      <c r="I51" s="258"/>
      <c r="J51" s="258"/>
      <c r="K51" s="258"/>
      <c r="L51" s="258"/>
      <c r="M51" s="258"/>
      <c r="N51" s="259"/>
      <c r="O51" s="221"/>
      <c r="P51" s="221"/>
      <c r="Q51" s="221"/>
    </row>
  </sheetData>
  <dataValidations count="3">
    <dataValidation type="list" allowBlank="1" showInputMessage="1" showErrorMessage="1" sqref="I44:I50">
      <formula1>"Actual/Actual (ISDA),Actual/360,30/360 (Bond Basis),30E/360 (Eurobond Basis),Actual/365 (Fixed),Actual/Actual (ISMA),Actual/Actual (AFB),'1/1,30/360 (Italian),Simple"</formula1>
    </dataValidation>
    <dataValidation type="list" allowBlank="1" showInputMessage="1" showErrorMessage="1" sqref="G44:G50">
      <formula1>"Once,Annual,Semiannual,EveryFourthMonth,Quarterly,Bimonthly,Monthly"</formula1>
    </dataValidation>
    <dataValidation type="list" allowBlank="1" showInputMessage="1" showErrorMessage="1" sqref="H6:H42 H44:H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43"/>
  <sheetViews>
    <sheetView workbookViewId="0">
      <selection activeCell="L7" sqref="L7"/>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6.85546875" style="2"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99</v>
      </c>
      <c r="K2" s="29" t="str">
        <f>Currency&amp;"_YC"&amp;$J$2&amp;"RH"</f>
        <v>EUR_YC3MRH</v>
      </c>
      <c r="L2" s="222" t="str">
        <f>K2&amp;"_SwapsFromBasis.xml"</f>
        <v>EUR_YC3MRH_SwapsFromBasis.xml</v>
      </c>
      <c r="M2" s="221"/>
      <c r="N2" s="223"/>
    </row>
    <row r="3" spans="1:18" ht="25.5" customHeight="1" x14ac:dyDescent="0.2">
      <c r="A3" s="220"/>
      <c r="B3" s="224" t="s">
        <v>189</v>
      </c>
      <c r="C3" s="224" t="s">
        <v>133</v>
      </c>
      <c r="D3" s="224"/>
      <c r="E3" s="224"/>
      <c r="F3" s="224"/>
      <c r="G3" s="224" t="s">
        <v>132</v>
      </c>
      <c r="H3" s="224" t="s">
        <v>131</v>
      </c>
      <c r="I3" s="224" t="s">
        <v>130</v>
      </c>
      <c r="J3" s="224" t="s">
        <v>129</v>
      </c>
      <c r="K3" s="224" t="s">
        <v>106</v>
      </c>
      <c r="L3" s="225" t="str">
        <f>IF(Serialize,_xll.ohObjectSave(L4:L42,SerializationPath&amp;L2,FileOverwrite,Serialize),"---")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obj_00592#0004</v>
      </c>
      <c r="M4" s="229" t="str">
        <f>_xll.ohRangeRetrieveError(L4)</f>
        <v/>
      </c>
      <c r="N4" s="223"/>
    </row>
    <row r="5" spans="1:18" x14ac:dyDescent="0.2">
      <c r="A5" s="227"/>
      <c r="B5" s="221"/>
      <c r="C5" s="221"/>
      <c r="D5" s="221"/>
      <c r="E5" s="221"/>
      <c r="F5" s="221"/>
      <c r="G5" s="221"/>
      <c r="H5" s="221"/>
      <c r="I5" s="221"/>
      <c r="J5" s="221"/>
      <c r="K5" s="221"/>
      <c r="L5" s="221"/>
      <c r="M5" s="221"/>
      <c r="N5" s="223"/>
    </row>
    <row r="6" spans="1:18" x14ac:dyDescent="0.2">
      <c r="A6" s="220"/>
      <c r="B6" s="260">
        <v>2</v>
      </c>
      <c r="C6" s="260" t="s">
        <v>118</v>
      </c>
      <c r="D6" s="230" t="s">
        <v>47</v>
      </c>
      <c r="E6" s="260" t="str">
        <f>VLOOKUP(Currency,Swap3MConventions,2)</f>
        <v>AB</v>
      </c>
      <c r="F6" s="260" t="str">
        <f>VLOOKUP(Currency,Swap3MConventions,3)</f>
        <v>3E</v>
      </c>
      <c r="G6" s="232" t="str">
        <f t="shared" ref="G6:G42" si="0">IF(UPPER(LEFT($E6))="A","Annual",IF(UPPER(LEFT($E6))="S","Semiannual","--"))</f>
        <v>Annual</v>
      </c>
      <c r="H6" s="232" t="s">
        <v>124</v>
      </c>
      <c r="I6" s="232" t="str">
        <f t="shared" ref="I6:I42" si="1">IF(UPPER(RIGHT($E6))="B",BondBasisDayCounter,IF(UPPER(RIGHT($E6))="M",MoneyMarketDayCounter,"--"))</f>
        <v>30/360 (Bond Basis)</v>
      </c>
      <c r="J6" s="233">
        <v>0</v>
      </c>
      <c r="K6" s="261" t="str">
        <f t="shared" ref="K6:K42" si="2">Currency&amp;$E6&amp;$F6&amp;"BASIS"&amp;$D6&amp;"_Quote"</f>
        <v>EURAB3EBASIS1Y_Quote</v>
      </c>
      <c r="L6" s="235" t="str">
        <f>_xll.qlSwapRateHelper2(,$K6,$B6,$D6,Calendar,$G6,$H6,$I6,$L$4,$J6,C6,Discounting,,,Permanent,,ObjectOverwrite)</f>
        <v>obj_00701#0004</v>
      </c>
      <c r="M6" s="236" t="str">
        <f>_xll.ohRangeRetrieveError(L6)</f>
        <v/>
      </c>
      <c r="N6" s="223"/>
    </row>
    <row r="7" spans="1:18" x14ac:dyDescent="0.2">
      <c r="A7" s="220"/>
      <c r="B7" s="240">
        <v>2</v>
      </c>
      <c r="C7" s="240" t="str">
        <f t="shared" ref="C7:C42" si="3">C6</f>
        <v>0D</v>
      </c>
      <c r="D7" s="240" t="s">
        <v>46</v>
      </c>
      <c r="E7" s="240" t="str">
        <f t="shared" ref="E7:E42" si="4">E6</f>
        <v>AB</v>
      </c>
      <c r="F7" s="240" t="str">
        <f t="shared" ref="F7:F42" si="5">F6</f>
        <v>3E</v>
      </c>
      <c r="G7" s="160" t="str">
        <f t="shared" si="0"/>
        <v>Annual</v>
      </c>
      <c r="H7" s="160" t="s">
        <v>124</v>
      </c>
      <c r="I7" s="160" t="str">
        <f t="shared" si="1"/>
        <v>30/360 (Bond Basis)</v>
      </c>
      <c r="J7" s="242">
        <v>0</v>
      </c>
      <c r="K7" s="262" t="str">
        <f t="shared" si="2"/>
        <v>EURAB3EBASIS15M_Quote</v>
      </c>
      <c r="L7" s="244" t="str">
        <f>_xll.qlSwapRateHelper2(,$K7,$B7,$D7,Calendar,$G7,$H7,$I7,$L$4,$J7,C7,Discounting,,,Permanent,,ObjectOverwrite)</f>
        <v>obj_00708#0004</v>
      </c>
      <c r="M7" s="245" t="str">
        <f>_xll.ohRangeRetrieveError(L7)</f>
        <v/>
      </c>
      <c r="N7" s="223"/>
    </row>
    <row r="8" spans="1:18" x14ac:dyDescent="0.2">
      <c r="A8" s="220"/>
      <c r="B8" s="240">
        <v>2</v>
      </c>
      <c r="C8" s="240" t="str">
        <f t="shared" si="3"/>
        <v>0D</v>
      </c>
      <c r="D8" s="240" t="s">
        <v>45</v>
      </c>
      <c r="E8" s="240" t="str">
        <f t="shared" si="4"/>
        <v>AB</v>
      </c>
      <c r="F8" s="240" t="str">
        <f t="shared" si="5"/>
        <v>3E</v>
      </c>
      <c r="G8" s="160" t="str">
        <f t="shared" si="0"/>
        <v>Annual</v>
      </c>
      <c r="H8" s="160" t="s">
        <v>124</v>
      </c>
      <c r="I8" s="160" t="str">
        <f t="shared" si="1"/>
        <v>30/360 (Bond Basis)</v>
      </c>
      <c r="J8" s="242">
        <v>0</v>
      </c>
      <c r="K8" s="262" t="str">
        <f t="shared" si="2"/>
        <v>EURAB3EBASIS18M_Quote</v>
      </c>
      <c r="L8" s="244" t="str">
        <f>_xll.qlSwapRateHelper2(,$K8,$B8,$D8,Calendar,$G8,$H8,$I8,$L$4,$J8,C8,Discounting,,,Permanent,,ObjectOverwrite)</f>
        <v>obj_0070f#0004</v>
      </c>
      <c r="M8" s="245" t="str">
        <f>_xll.ohRangeRetrieveError(L8)</f>
        <v/>
      </c>
      <c r="N8" s="223"/>
    </row>
    <row r="9" spans="1:18" ht="12" thickBot="1" x14ac:dyDescent="0.25">
      <c r="A9" s="220"/>
      <c r="B9" s="240">
        <v>2</v>
      </c>
      <c r="C9" s="240" t="str">
        <f t="shared" si="3"/>
        <v>0D</v>
      </c>
      <c r="D9" s="240" t="s">
        <v>44</v>
      </c>
      <c r="E9" s="240" t="str">
        <f t="shared" si="4"/>
        <v>AB</v>
      </c>
      <c r="F9" s="240" t="str">
        <f t="shared" si="5"/>
        <v>3E</v>
      </c>
      <c r="G9" s="160" t="str">
        <f t="shared" si="0"/>
        <v>Annual</v>
      </c>
      <c r="H9" s="160" t="s">
        <v>124</v>
      </c>
      <c r="I9" s="160" t="str">
        <f t="shared" si="1"/>
        <v>30/360 (Bond Basis)</v>
      </c>
      <c r="J9" s="242">
        <v>0</v>
      </c>
      <c r="K9" s="262" t="str">
        <f t="shared" si="2"/>
        <v>EURAB3EBASIS21M_Quote</v>
      </c>
      <c r="L9" s="244" t="str">
        <f>_xll.qlSwapRateHelper2(,$K9,$B9,$D9,Calendar,$G9,$H9,$I9,$L$4,$J9,C9,Discounting,,,Permanent,,ObjectOverwrite)</f>
        <v>obj_0070e#0004</v>
      </c>
      <c r="M9" s="245" t="str">
        <f>_xll.ohRangeRetrieveError(L9)</f>
        <v/>
      </c>
      <c r="N9" s="223"/>
    </row>
    <row r="10" spans="1:18" x14ac:dyDescent="0.2">
      <c r="A10" s="220"/>
      <c r="B10" s="240">
        <v>2</v>
      </c>
      <c r="C10" s="240" t="str">
        <f t="shared" si="3"/>
        <v>0D</v>
      </c>
      <c r="D10" s="240" t="s">
        <v>43</v>
      </c>
      <c r="E10" s="240" t="str">
        <f t="shared" si="4"/>
        <v>AB</v>
      </c>
      <c r="F10" s="240" t="str">
        <f t="shared" si="5"/>
        <v>3E</v>
      </c>
      <c r="G10" s="160" t="str">
        <f t="shared" si="0"/>
        <v>Annual</v>
      </c>
      <c r="H10" s="160" t="s">
        <v>124</v>
      </c>
      <c r="I10" s="160" t="str">
        <f t="shared" si="1"/>
        <v>30/360 (Bond Basis)</v>
      </c>
      <c r="J10" s="242">
        <v>0</v>
      </c>
      <c r="K10" s="262" t="str">
        <f t="shared" si="2"/>
        <v>EURAB3EBASIS2Y_Quote</v>
      </c>
      <c r="L10" s="244" t="str">
        <f>_xll.qlSwapRateHelper2(,$K10,$B10,$D10,Calendar,$G10,$H10,$I10,$L$4,$J10,C10,Discounting,,,Permanent,,ObjectOverwrite)</f>
        <v>obj_00706#0004</v>
      </c>
      <c r="M10" s="245" t="str">
        <f>_xll.ohRangeRetrieveError(L10)</f>
        <v/>
      </c>
      <c r="N10" s="223"/>
      <c r="P10" s="237" t="s">
        <v>97</v>
      </c>
      <c r="Q10" s="185" t="s">
        <v>94</v>
      </c>
      <c r="R10" s="263" t="s">
        <v>126</v>
      </c>
    </row>
    <row r="11" spans="1:18" x14ac:dyDescent="0.2">
      <c r="A11" s="220"/>
      <c r="B11" s="240">
        <v>2</v>
      </c>
      <c r="C11" s="240" t="str">
        <f t="shared" si="3"/>
        <v>0D</v>
      </c>
      <c r="D11" s="240" t="s">
        <v>42</v>
      </c>
      <c r="E11" s="240" t="str">
        <f t="shared" si="4"/>
        <v>AB</v>
      </c>
      <c r="F11" s="240" t="str">
        <f t="shared" si="5"/>
        <v>3E</v>
      </c>
      <c r="G11" s="160" t="str">
        <f t="shared" si="0"/>
        <v>Annual</v>
      </c>
      <c r="H11" s="160" t="s">
        <v>124</v>
      </c>
      <c r="I11" s="160" t="str">
        <f t="shared" si="1"/>
        <v>30/360 (Bond Basis)</v>
      </c>
      <c r="J11" s="242">
        <v>0</v>
      </c>
      <c r="K11" s="262" t="str">
        <f t="shared" si="2"/>
        <v>EURAB3EBASIS3Y_Quote</v>
      </c>
      <c r="L11" s="244" t="str">
        <f>_xll.qlSwapRateHelper2(,$K11,$B11,$D11,Calendar,$G11,$H11,$I11,$L$4,$J11,C11,Discounting,,,Permanent,,ObjectOverwrite)</f>
        <v>obj_00724#0004</v>
      </c>
      <c r="M11" s="245" t="str">
        <f>_xll.ohRangeRetrieveError(L11)</f>
        <v/>
      </c>
      <c r="N11" s="223"/>
      <c r="P11" s="130" t="s">
        <v>95</v>
      </c>
      <c r="Q11" s="140" t="s">
        <v>94</v>
      </c>
      <c r="R11" s="264" t="s">
        <v>128</v>
      </c>
    </row>
    <row r="12" spans="1:18" x14ac:dyDescent="0.2">
      <c r="A12" s="220"/>
      <c r="B12" s="240">
        <v>2</v>
      </c>
      <c r="C12" s="240" t="str">
        <f t="shared" si="3"/>
        <v>0D</v>
      </c>
      <c r="D12" s="240" t="s">
        <v>41</v>
      </c>
      <c r="E12" s="240" t="str">
        <f t="shared" si="4"/>
        <v>AB</v>
      </c>
      <c r="F12" s="240" t="str">
        <f t="shared" si="5"/>
        <v>3E</v>
      </c>
      <c r="G12" s="160" t="str">
        <f t="shared" si="0"/>
        <v>Annual</v>
      </c>
      <c r="H12" s="160" t="s">
        <v>124</v>
      </c>
      <c r="I12" s="160" t="str">
        <f t="shared" si="1"/>
        <v>30/360 (Bond Basis)</v>
      </c>
      <c r="J12" s="242">
        <v>0</v>
      </c>
      <c r="K12" s="262" t="str">
        <f t="shared" si="2"/>
        <v>EURAB3EBASIS4Y_Quote</v>
      </c>
      <c r="L12" s="244" t="str">
        <f>_xll.qlSwapRateHelper2(,$K12,$B12,$D12,Calendar,$G12,$H12,$I12,$L$4,$J12,C12,Discounting,,,Permanent,,ObjectOverwrite)</f>
        <v>obj_00719#0004</v>
      </c>
      <c r="M12" s="245" t="str">
        <f>_xll.ohRangeRetrieveError(L12)</f>
        <v/>
      </c>
      <c r="N12" s="223"/>
      <c r="P12" s="130" t="s">
        <v>92</v>
      </c>
      <c r="Q12" s="140" t="s">
        <v>87</v>
      </c>
      <c r="R12" s="264" t="s">
        <v>126</v>
      </c>
    </row>
    <row r="13" spans="1:18" x14ac:dyDescent="0.2">
      <c r="A13" s="220"/>
      <c r="B13" s="240">
        <v>2</v>
      </c>
      <c r="C13" s="240" t="str">
        <f t="shared" si="3"/>
        <v>0D</v>
      </c>
      <c r="D13" s="240" t="s">
        <v>40</v>
      </c>
      <c r="E13" s="240" t="str">
        <f t="shared" si="4"/>
        <v>AB</v>
      </c>
      <c r="F13" s="240" t="str">
        <f t="shared" si="5"/>
        <v>3E</v>
      </c>
      <c r="G13" s="160" t="str">
        <f t="shared" si="0"/>
        <v>Annual</v>
      </c>
      <c r="H13" s="160" t="s">
        <v>124</v>
      </c>
      <c r="I13" s="160" t="str">
        <f t="shared" si="1"/>
        <v>30/360 (Bond Basis)</v>
      </c>
      <c r="J13" s="242">
        <v>0</v>
      </c>
      <c r="K13" s="262" t="str">
        <f t="shared" si="2"/>
        <v>EURAB3EBASIS5Y_Quote</v>
      </c>
      <c r="L13" s="244" t="str">
        <f>_xll.qlSwapRateHelper2(,$K13,$B13,$D13,Calendar,$G13,$H13,$I13,$L$4,$J13,C13,Discounting,,,Permanent,,ObjectOverwrite)</f>
        <v>obj_0071c#0004</v>
      </c>
      <c r="M13" s="245" t="str">
        <f>_xll.ohRangeRetrieveError(L13)</f>
        <v/>
      </c>
      <c r="N13" s="223"/>
      <c r="P13" s="130" t="s">
        <v>90</v>
      </c>
      <c r="Q13" s="140" t="s">
        <v>127</v>
      </c>
      <c r="R13" s="264" t="s">
        <v>126</v>
      </c>
    </row>
    <row r="14" spans="1:18" ht="12" thickBot="1" x14ac:dyDescent="0.25">
      <c r="A14" s="220"/>
      <c r="B14" s="240">
        <v>2</v>
      </c>
      <c r="C14" s="240" t="str">
        <f t="shared" si="3"/>
        <v>0D</v>
      </c>
      <c r="D14" s="240" t="s">
        <v>39</v>
      </c>
      <c r="E14" s="240" t="str">
        <f t="shared" si="4"/>
        <v>AB</v>
      </c>
      <c r="F14" s="240" t="str">
        <f t="shared" si="5"/>
        <v>3E</v>
      </c>
      <c r="G14" s="160" t="str">
        <f t="shared" si="0"/>
        <v>Annual</v>
      </c>
      <c r="H14" s="160" t="s">
        <v>124</v>
      </c>
      <c r="I14" s="160" t="str">
        <f t="shared" si="1"/>
        <v>30/360 (Bond Basis)</v>
      </c>
      <c r="J14" s="242">
        <v>0</v>
      </c>
      <c r="K14" s="262" t="str">
        <f t="shared" si="2"/>
        <v>EURAB3EBASIS6Y_Quote</v>
      </c>
      <c r="L14" s="244" t="str">
        <f>_xll.qlSwapRateHelper2(,$K14,$B14,$D14,Calendar,$G14,$H14,$I14,$L$4,$J14,C14,Discounting,,,Permanent,,ObjectOverwrite)</f>
        <v>obj_00725#0004</v>
      </c>
      <c r="M14" s="245" t="str">
        <f>_xll.ohRangeRetrieveError(L14)</f>
        <v/>
      </c>
      <c r="N14" s="223"/>
      <c r="P14" s="147" t="s">
        <v>88</v>
      </c>
      <c r="Q14" s="150" t="s">
        <v>87</v>
      </c>
      <c r="R14" s="265" t="s">
        <v>126</v>
      </c>
    </row>
    <row r="15" spans="1:18" x14ac:dyDescent="0.2">
      <c r="A15" s="220"/>
      <c r="B15" s="240">
        <v>2</v>
      </c>
      <c r="C15" s="240" t="str">
        <f t="shared" si="3"/>
        <v>0D</v>
      </c>
      <c r="D15" s="240" t="s">
        <v>38</v>
      </c>
      <c r="E15" s="240" t="str">
        <f t="shared" si="4"/>
        <v>AB</v>
      </c>
      <c r="F15" s="240" t="str">
        <f t="shared" si="5"/>
        <v>3E</v>
      </c>
      <c r="G15" s="160" t="str">
        <f t="shared" si="0"/>
        <v>Annual</v>
      </c>
      <c r="H15" s="160" t="s">
        <v>124</v>
      </c>
      <c r="I15" s="160" t="str">
        <f t="shared" si="1"/>
        <v>30/360 (Bond Basis)</v>
      </c>
      <c r="J15" s="242">
        <v>0</v>
      </c>
      <c r="K15" s="262" t="str">
        <f t="shared" si="2"/>
        <v>EURAB3EBASIS7Y_Quote</v>
      </c>
      <c r="L15" s="244" t="str">
        <f>_xll.qlSwapRateHelper2(,$K15,$B15,$D15,Calendar,$G15,$H15,$I15,$L$4,$J15,C15,Discounting,,,Permanent,,ObjectOverwrite)</f>
        <v>obj_00717#0004</v>
      </c>
      <c r="M15" s="245" t="str">
        <f>_xll.ohRangeRetrieveError(L15)</f>
        <v/>
      </c>
      <c r="N15" s="223"/>
      <c r="P15" s="140"/>
      <c r="Q15" s="140"/>
      <c r="R15" s="140"/>
    </row>
    <row r="16" spans="1:18" x14ac:dyDescent="0.2">
      <c r="A16" s="220"/>
      <c r="B16" s="240">
        <v>2</v>
      </c>
      <c r="C16" s="240" t="str">
        <f t="shared" si="3"/>
        <v>0D</v>
      </c>
      <c r="D16" s="240" t="s">
        <v>37</v>
      </c>
      <c r="E16" s="240" t="str">
        <f t="shared" si="4"/>
        <v>AB</v>
      </c>
      <c r="F16" s="240" t="str">
        <f t="shared" si="5"/>
        <v>3E</v>
      </c>
      <c r="G16" s="160" t="str">
        <f t="shared" si="0"/>
        <v>Annual</v>
      </c>
      <c r="H16" s="160" t="s">
        <v>124</v>
      </c>
      <c r="I16" s="160" t="str">
        <f t="shared" si="1"/>
        <v>30/360 (Bond Basis)</v>
      </c>
      <c r="J16" s="242">
        <v>0</v>
      </c>
      <c r="K16" s="262" t="str">
        <f t="shared" si="2"/>
        <v>EURAB3EBASIS8Y_Quote</v>
      </c>
      <c r="L16" s="244" t="str">
        <f>_xll.qlSwapRateHelper2(,$K16,$B16,$D16,Calendar,$G16,$H16,$I16,$L$4,$J16,C16,Discounting,,,Permanent,,ObjectOverwrite)</f>
        <v>obj_00716#0004</v>
      </c>
      <c r="M16" s="245" t="str">
        <f>_xll.ohRangeRetrieveError(L16)</f>
        <v/>
      </c>
      <c r="N16" s="223"/>
    </row>
    <row r="17" spans="1:14" x14ac:dyDescent="0.2">
      <c r="A17" s="220"/>
      <c r="B17" s="240">
        <v>2</v>
      </c>
      <c r="C17" s="240" t="str">
        <f t="shared" si="3"/>
        <v>0D</v>
      </c>
      <c r="D17" s="240" t="s">
        <v>36</v>
      </c>
      <c r="E17" s="240" t="str">
        <f t="shared" si="4"/>
        <v>AB</v>
      </c>
      <c r="F17" s="240" t="str">
        <f t="shared" si="5"/>
        <v>3E</v>
      </c>
      <c r="G17" s="160" t="str">
        <f t="shared" si="0"/>
        <v>Annual</v>
      </c>
      <c r="H17" s="160" t="s">
        <v>124</v>
      </c>
      <c r="I17" s="160" t="str">
        <f t="shared" si="1"/>
        <v>30/360 (Bond Basis)</v>
      </c>
      <c r="J17" s="242">
        <v>0</v>
      </c>
      <c r="K17" s="262" t="str">
        <f t="shared" si="2"/>
        <v>EURAB3EBASIS9Y_Quote</v>
      </c>
      <c r="L17" s="244" t="str">
        <f>_xll.qlSwapRateHelper2(,$K17,$B17,$D17,Calendar,$G17,$H17,$I17,$L$4,$J17,C17,Discounting,,,Permanent,,ObjectOverwrite)</f>
        <v>obj_0070d#0004</v>
      </c>
      <c r="M17" s="245" t="str">
        <f>_xll.ohRangeRetrieveError(L17)</f>
        <v/>
      </c>
      <c r="N17" s="223"/>
    </row>
    <row r="18" spans="1:14" x14ac:dyDescent="0.2">
      <c r="A18" s="220"/>
      <c r="B18" s="240">
        <v>2</v>
      </c>
      <c r="C18" s="240" t="str">
        <f t="shared" si="3"/>
        <v>0D</v>
      </c>
      <c r="D18" s="240" t="s">
        <v>35</v>
      </c>
      <c r="E18" s="240" t="str">
        <f t="shared" si="4"/>
        <v>AB</v>
      </c>
      <c r="F18" s="240" t="str">
        <f t="shared" si="5"/>
        <v>3E</v>
      </c>
      <c r="G18" s="160" t="str">
        <f t="shared" si="0"/>
        <v>Annual</v>
      </c>
      <c r="H18" s="160" t="s">
        <v>124</v>
      </c>
      <c r="I18" s="160" t="str">
        <f t="shared" si="1"/>
        <v>30/360 (Bond Basis)</v>
      </c>
      <c r="J18" s="242">
        <v>0</v>
      </c>
      <c r="K18" s="262" t="str">
        <f t="shared" si="2"/>
        <v>EURAB3EBASIS10Y_Quote</v>
      </c>
      <c r="L18" s="244" t="str">
        <f>_xll.qlSwapRateHelper2(,$K18,$B18,$D18,Calendar,$G18,$H18,$I18,$L$4,$J18,C18,Discounting,,,Permanent,,ObjectOverwrite)</f>
        <v>obj_00705#0004</v>
      </c>
      <c r="M18" s="245" t="str">
        <f>_xll.ohRangeRetrieveError(L18)</f>
        <v/>
      </c>
      <c r="N18" s="223"/>
    </row>
    <row r="19" spans="1:14" x14ac:dyDescent="0.2">
      <c r="A19" s="220"/>
      <c r="B19" s="240">
        <v>2</v>
      </c>
      <c r="C19" s="240" t="str">
        <f t="shared" si="3"/>
        <v>0D</v>
      </c>
      <c r="D19" s="240" t="s">
        <v>34</v>
      </c>
      <c r="E19" s="240" t="str">
        <f t="shared" si="4"/>
        <v>AB</v>
      </c>
      <c r="F19" s="240" t="str">
        <f t="shared" si="5"/>
        <v>3E</v>
      </c>
      <c r="G19" s="160" t="str">
        <f t="shared" si="0"/>
        <v>Annual</v>
      </c>
      <c r="H19" s="160" t="s">
        <v>124</v>
      </c>
      <c r="I19" s="160" t="str">
        <f t="shared" si="1"/>
        <v>30/360 (Bond Basis)</v>
      </c>
      <c r="J19" s="242">
        <v>0</v>
      </c>
      <c r="K19" s="262" t="str">
        <f t="shared" si="2"/>
        <v>EURAB3EBASIS11Y_Quote</v>
      </c>
      <c r="L19" s="244" t="str">
        <f>_xll.qlSwapRateHelper2(,$K19,$B19,$D19,Calendar,$G19,$H19,$I19,$L$4,$J19,C19,Discounting,,,Permanent,,ObjectOverwrite)</f>
        <v>obj_00723#0004</v>
      </c>
      <c r="M19" s="245" t="str">
        <f>_xll.ohRangeRetrieveError(L19)</f>
        <v/>
      </c>
      <c r="N19" s="223"/>
    </row>
    <row r="20" spans="1:14" x14ac:dyDescent="0.2">
      <c r="A20" s="220"/>
      <c r="B20" s="240">
        <v>2</v>
      </c>
      <c r="C20" s="240" t="str">
        <f t="shared" si="3"/>
        <v>0D</v>
      </c>
      <c r="D20" s="240" t="s">
        <v>33</v>
      </c>
      <c r="E20" s="240" t="str">
        <f t="shared" si="4"/>
        <v>AB</v>
      </c>
      <c r="F20" s="240" t="str">
        <f t="shared" si="5"/>
        <v>3E</v>
      </c>
      <c r="G20" s="160" t="str">
        <f t="shared" si="0"/>
        <v>Annual</v>
      </c>
      <c r="H20" s="160" t="s">
        <v>124</v>
      </c>
      <c r="I20" s="160" t="str">
        <f t="shared" si="1"/>
        <v>30/360 (Bond Basis)</v>
      </c>
      <c r="J20" s="242">
        <v>0</v>
      </c>
      <c r="K20" s="262" t="str">
        <f t="shared" si="2"/>
        <v>EURAB3EBASIS12Y_Quote</v>
      </c>
      <c r="L20" s="244" t="str">
        <f>_xll.qlSwapRateHelper2(,$K20,$B20,$D20,Calendar,$G20,$H20,$I20,$L$4,$J20,C20,Discounting,,,Permanent,,ObjectOverwrite)</f>
        <v>obj_00712#0004</v>
      </c>
      <c r="M20" s="245" t="str">
        <f>_xll.ohRangeRetrieveError(L20)</f>
        <v/>
      </c>
      <c r="N20" s="223"/>
    </row>
    <row r="21" spans="1:14" x14ac:dyDescent="0.2">
      <c r="A21" s="220"/>
      <c r="B21" s="240">
        <v>2</v>
      </c>
      <c r="C21" s="240" t="str">
        <f t="shared" si="3"/>
        <v>0D</v>
      </c>
      <c r="D21" s="240" t="s">
        <v>32</v>
      </c>
      <c r="E21" s="240" t="str">
        <f t="shared" si="4"/>
        <v>AB</v>
      </c>
      <c r="F21" s="240" t="str">
        <f t="shared" si="5"/>
        <v>3E</v>
      </c>
      <c r="G21" s="160" t="str">
        <f t="shared" si="0"/>
        <v>Annual</v>
      </c>
      <c r="H21" s="160" t="s">
        <v>124</v>
      </c>
      <c r="I21" s="160" t="str">
        <f t="shared" si="1"/>
        <v>30/360 (Bond Basis)</v>
      </c>
      <c r="J21" s="242">
        <v>0</v>
      </c>
      <c r="K21" s="262" t="str">
        <f t="shared" si="2"/>
        <v>EURAB3EBASIS13Y_Quote</v>
      </c>
      <c r="L21" s="244" t="str">
        <f>_xll.qlSwapRateHelper2(,$K21,$B21,$D21,Calendar,$G21,$H21,$I21,$L$4,$J21,C21,Discounting,,,Permanent,,ObjectOverwrite)</f>
        <v>obj_00709#0004</v>
      </c>
      <c r="M21" s="245" t="str">
        <f>_xll.ohRangeRetrieveError(L21)</f>
        <v/>
      </c>
      <c r="N21" s="223"/>
    </row>
    <row r="22" spans="1:14" x14ac:dyDescent="0.2">
      <c r="A22" s="220"/>
      <c r="B22" s="240">
        <v>2</v>
      </c>
      <c r="C22" s="240" t="str">
        <f t="shared" si="3"/>
        <v>0D</v>
      </c>
      <c r="D22" s="240" t="s">
        <v>31</v>
      </c>
      <c r="E22" s="240" t="str">
        <f t="shared" si="4"/>
        <v>AB</v>
      </c>
      <c r="F22" s="240" t="str">
        <f t="shared" si="5"/>
        <v>3E</v>
      </c>
      <c r="G22" s="160" t="str">
        <f t="shared" si="0"/>
        <v>Annual</v>
      </c>
      <c r="H22" s="160" t="s">
        <v>124</v>
      </c>
      <c r="I22" s="160" t="str">
        <f t="shared" si="1"/>
        <v>30/360 (Bond Basis)</v>
      </c>
      <c r="J22" s="242">
        <v>0</v>
      </c>
      <c r="K22" s="262" t="str">
        <f t="shared" si="2"/>
        <v>EURAB3EBASIS14Y_Quote</v>
      </c>
      <c r="L22" s="244" t="str">
        <f>_xll.qlSwapRateHelper2(,$K22,$B22,$D22,Calendar,$G22,$H22,$I22,$L$4,$J22,C22,Discounting,,,Permanent,,ObjectOverwrite)</f>
        <v>obj_00718#0004</v>
      </c>
      <c r="M22" s="245" t="str">
        <f>_xll.ohRangeRetrieveError(L22)</f>
        <v/>
      </c>
      <c r="N22" s="223"/>
    </row>
    <row r="23" spans="1:14" x14ac:dyDescent="0.2">
      <c r="A23" s="220"/>
      <c r="B23" s="240">
        <v>2</v>
      </c>
      <c r="C23" s="240" t="str">
        <f t="shared" si="3"/>
        <v>0D</v>
      </c>
      <c r="D23" s="240" t="s">
        <v>30</v>
      </c>
      <c r="E23" s="240" t="str">
        <f t="shared" si="4"/>
        <v>AB</v>
      </c>
      <c r="F23" s="240" t="str">
        <f t="shared" si="5"/>
        <v>3E</v>
      </c>
      <c r="G23" s="160" t="str">
        <f t="shared" si="0"/>
        <v>Annual</v>
      </c>
      <c r="H23" s="160" t="s">
        <v>124</v>
      </c>
      <c r="I23" s="160" t="str">
        <f t="shared" si="1"/>
        <v>30/360 (Bond Basis)</v>
      </c>
      <c r="J23" s="242">
        <v>0</v>
      </c>
      <c r="K23" s="262" t="str">
        <f t="shared" si="2"/>
        <v>EURAB3EBASIS15Y_Quote</v>
      </c>
      <c r="L23" s="244" t="str">
        <f>_xll.qlSwapRateHelper2(,$K23,$B23,$D23,Calendar,$G23,$H23,$I23,$L$4,$J23,C23,Discounting,,,Permanent,,ObjectOverwrite)</f>
        <v>obj_00710#0004</v>
      </c>
      <c r="M23" s="245" t="str">
        <f>_xll.ohRangeRetrieveError(L23)</f>
        <v/>
      </c>
      <c r="N23" s="223"/>
    </row>
    <row r="24" spans="1:14" x14ac:dyDescent="0.2">
      <c r="A24" s="220"/>
      <c r="B24" s="240">
        <v>2</v>
      </c>
      <c r="C24" s="240" t="str">
        <f t="shared" si="3"/>
        <v>0D</v>
      </c>
      <c r="D24" s="240" t="s">
        <v>29</v>
      </c>
      <c r="E24" s="240" t="str">
        <f t="shared" si="4"/>
        <v>AB</v>
      </c>
      <c r="F24" s="240" t="str">
        <f t="shared" si="5"/>
        <v>3E</v>
      </c>
      <c r="G24" s="160" t="str">
        <f t="shared" si="0"/>
        <v>Annual</v>
      </c>
      <c r="H24" s="160" t="s">
        <v>124</v>
      </c>
      <c r="I24" s="160" t="str">
        <f t="shared" si="1"/>
        <v>30/360 (Bond Basis)</v>
      </c>
      <c r="J24" s="242">
        <v>0</v>
      </c>
      <c r="K24" s="262" t="str">
        <f t="shared" si="2"/>
        <v>EURAB3EBASIS16Y_Quote</v>
      </c>
      <c r="L24" s="244" t="str">
        <f>_xll.qlSwapRateHelper2(,$K24,$B24,$D24,Calendar,$G24,$H24,$I24,$L$4,$J24,C24,Discounting,,,Permanent,,ObjectOverwrite)</f>
        <v>obj_00715#0004</v>
      </c>
      <c r="M24" s="245" t="str">
        <f>_xll.ohRangeRetrieveError(L24)</f>
        <v/>
      </c>
      <c r="N24" s="223"/>
    </row>
    <row r="25" spans="1:14" x14ac:dyDescent="0.2">
      <c r="A25" s="220"/>
      <c r="B25" s="240">
        <v>2</v>
      </c>
      <c r="C25" s="240" t="str">
        <f t="shared" si="3"/>
        <v>0D</v>
      </c>
      <c r="D25" s="240" t="s">
        <v>28</v>
      </c>
      <c r="E25" s="240" t="str">
        <f t="shared" si="4"/>
        <v>AB</v>
      </c>
      <c r="F25" s="240" t="str">
        <f t="shared" si="5"/>
        <v>3E</v>
      </c>
      <c r="G25" s="160" t="str">
        <f t="shared" si="0"/>
        <v>Annual</v>
      </c>
      <c r="H25" s="160" t="s">
        <v>124</v>
      </c>
      <c r="I25" s="160" t="str">
        <f t="shared" si="1"/>
        <v>30/360 (Bond Basis)</v>
      </c>
      <c r="J25" s="242">
        <v>0</v>
      </c>
      <c r="K25" s="262" t="str">
        <f t="shared" si="2"/>
        <v>EURAB3EBASIS17Y_Quote</v>
      </c>
      <c r="L25" s="244" t="str">
        <f>_xll.qlSwapRateHelper2(,$K25,$B25,$D25,Calendar,$G25,$H25,$I25,$L$4,$J25,C25,Discounting,,,Permanent,,ObjectOverwrite)</f>
        <v>obj_0070c#0004</v>
      </c>
      <c r="M25" s="245" t="str">
        <f>_xll.ohRangeRetrieveError(L25)</f>
        <v/>
      </c>
      <c r="N25" s="223"/>
    </row>
    <row r="26" spans="1:14" x14ac:dyDescent="0.2">
      <c r="A26" s="220"/>
      <c r="B26" s="240">
        <v>2</v>
      </c>
      <c r="C26" s="240" t="str">
        <f t="shared" si="3"/>
        <v>0D</v>
      </c>
      <c r="D26" s="240" t="s">
        <v>27</v>
      </c>
      <c r="E26" s="240" t="str">
        <f t="shared" si="4"/>
        <v>AB</v>
      </c>
      <c r="F26" s="240" t="str">
        <f t="shared" si="5"/>
        <v>3E</v>
      </c>
      <c r="G26" s="160" t="str">
        <f t="shared" si="0"/>
        <v>Annual</v>
      </c>
      <c r="H26" s="160" t="s">
        <v>124</v>
      </c>
      <c r="I26" s="160" t="str">
        <f t="shared" si="1"/>
        <v>30/360 (Bond Basis)</v>
      </c>
      <c r="J26" s="242">
        <v>0</v>
      </c>
      <c r="K26" s="262" t="str">
        <f t="shared" si="2"/>
        <v>EURAB3EBASIS18Y_Quote</v>
      </c>
      <c r="L26" s="244" t="str">
        <f>_xll.qlSwapRateHelper2(,$K26,$B26,$D26,Calendar,$G26,$H26,$I26,$L$4,$J26,C26,Discounting,,,Permanent,,ObjectOverwrite)</f>
        <v>obj_00704#0004</v>
      </c>
      <c r="M26" s="245" t="str">
        <f>_xll.ohRangeRetrieveError(L26)</f>
        <v/>
      </c>
      <c r="N26" s="223"/>
    </row>
    <row r="27" spans="1:14" x14ac:dyDescent="0.2">
      <c r="A27" s="220"/>
      <c r="B27" s="240">
        <v>2</v>
      </c>
      <c r="C27" s="240" t="str">
        <f t="shared" si="3"/>
        <v>0D</v>
      </c>
      <c r="D27" s="240" t="s">
        <v>26</v>
      </c>
      <c r="E27" s="240" t="str">
        <f t="shared" si="4"/>
        <v>AB</v>
      </c>
      <c r="F27" s="240" t="str">
        <f t="shared" si="5"/>
        <v>3E</v>
      </c>
      <c r="G27" s="160" t="str">
        <f t="shared" si="0"/>
        <v>Annual</v>
      </c>
      <c r="H27" s="160" t="s">
        <v>124</v>
      </c>
      <c r="I27" s="160" t="str">
        <f t="shared" si="1"/>
        <v>30/360 (Bond Basis)</v>
      </c>
      <c r="J27" s="242">
        <v>0</v>
      </c>
      <c r="K27" s="262" t="str">
        <f t="shared" si="2"/>
        <v>EURAB3EBASIS19Y_Quote</v>
      </c>
      <c r="L27" s="244" t="str">
        <f>_xll.qlSwapRateHelper2(,$K27,$B27,$D27,Calendar,$G27,$H27,$I27,$L$4,$J27,C27,Discounting,,,Permanent,,ObjectOverwrite)</f>
        <v>obj_00722#0004</v>
      </c>
      <c r="M27" s="245" t="str">
        <f>_xll.ohRangeRetrieveError(L27)</f>
        <v/>
      </c>
      <c r="N27" s="223"/>
    </row>
    <row r="28" spans="1:14" x14ac:dyDescent="0.2">
      <c r="A28" s="220"/>
      <c r="B28" s="240">
        <v>2</v>
      </c>
      <c r="C28" s="240" t="str">
        <f t="shared" si="3"/>
        <v>0D</v>
      </c>
      <c r="D28" s="240" t="s">
        <v>25</v>
      </c>
      <c r="E28" s="240" t="str">
        <f t="shared" si="4"/>
        <v>AB</v>
      </c>
      <c r="F28" s="240" t="str">
        <f t="shared" si="5"/>
        <v>3E</v>
      </c>
      <c r="G28" s="160" t="str">
        <f t="shared" si="0"/>
        <v>Annual</v>
      </c>
      <c r="H28" s="160" t="s">
        <v>124</v>
      </c>
      <c r="I28" s="160" t="str">
        <f t="shared" si="1"/>
        <v>30/360 (Bond Basis)</v>
      </c>
      <c r="J28" s="242">
        <v>0</v>
      </c>
      <c r="K28" s="262" t="str">
        <f t="shared" si="2"/>
        <v>EURAB3EBASIS20Y_Quote</v>
      </c>
      <c r="L28" s="244" t="str">
        <f>_xll.qlSwapRateHelper2(,$K28,$B28,$D28,Calendar,$G28,$H28,$I28,$L$4,$J28,C28,Discounting,,,Permanent,,ObjectOverwrite)</f>
        <v>obj_00720#0004</v>
      </c>
      <c r="M28" s="245" t="str">
        <f>_xll.ohRangeRetrieveError(L28)</f>
        <v/>
      </c>
      <c r="N28" s="223"/>
    </row>
    <row r="29" spans="1:14" x14ac:dyDescent="0.2">
      <c r="A29" s="220"/>
      <c r="B29" s="240">
        <v>2</v>
      </c>
      <c r="C29" s="240" t="str">
        <f t="shared" si="3"/>
        <v>0D</v>
      </c>
      <c r="D29" s="240" t="s">
        <v>24</v>
      </c>
      <c r="E29" s="240" t="str">
        <f t="shared" si="4"/>
        <v>AB</v>
      </c>
      <c r="F29" s="240" t="str">
        <f t="shared" si="5"/>
        <v>3E</v>
      </c>
      <c r="G29" s="160" t="str">
        <f t="shared" si="0"/>
        <v>Annual</v>
      </c>
      <c r="H29" s="160" t="s">
        <v>124</v>
      </c>
      <c r="I29" s="160" t="str">
        <f t="shared" si="1"/>
        <v>30/360 (Bond Basis)</v>
      </c>
      <c r="J29" s="242">
        <v>0</v>
      </c>
      <c r="K29" s="262" t="str">
        <f t="shared" si="2"/>
        <v>EURAB3EBASIS21Y_Quote</v>
      </c>
      <c r="L29" s="244" t="str">
        <f>_xll.qlSwapRateHelper2(,$K29,$B29,$D29,Calendar,$G29,$H29,$I29,$L$4,$J29,C29,Discounting,,,Permanent,,ObjectOverwrite)</f>
        <v>obj_0071e#0004</v>
      </c>
      <c r="M29" s="245" t="str">
        <f>_xll.ohRangeRetrieveError(L29)</f>
        <v/>
      </c>
      <c r="N29" s="223"/>
    </row>
    <row r="30" spans="1:14" x14ac:dyDescent="0.2">
      <c r="A30" s="220"/>
      <c r="B30" s="240">
        <v>2</v>
      </c>
      <c r="C30" s="240" t="str">
        <f t="shared" si="3"/>
        <v>0D</v>
      </c>
      <c r="D30" s="240" t="s">
        <v>23</v>
      </c>
      <c r="E30" s="240" t="str">
        <f t="shared" si="4"/>
        <v>AB</v>
      </c>
      <c r="F30" s="240" t="str">
        <f t="shared" si="5"/>
        <v>3E</v>
      </c>
      <c r="G30" s="160" t="str">
        <f t="shared" si="0"/>
        <v>Annual</v>
      </c>
      <c r="H30" s="160" t="s">
        <v>124</v>
      </c>
      <c r="I30" s="160" t="str">
        <f t="shared" si="1"/>
        <v>30/360 (Bond Basis)</v>
      </c>
      <c r="J30" s="242">
        <v>0</v>
      </c>
      <c r="K30" s="262" t="str">
        <f t="shared" si="2"/>
        <v>EURAB3EBASIS22Y_Quote</v>
      </c>
      <c r="L30" s="244" t="str">
        <f>_xll.qlSwapRateHelper2(,$K30,$B30,$D30,Calendar,$G30,$H30,$I30,$L$4,$J30,C30,Discounting,,,Permanent,,ObjectOverwrite)</f>
        <v>obj_00711#0004</v>
      </c>
      <c r="M30" s="245" t="str">
        <f>_xll.ohRangeRetrieveError(L30)</f>
        <v/>
      </c>
      <c r="N30" s="223"/>
    </row>
    <row r="31" spans="1:14" x14ac:dyDescent="0.2">
      <c r="A31" s="220"/>
      <c r="B31" s="240">
        <v>2</v>
      </c>
      <c r="C31" s="240" t="str">
        <f t="shared" si="3"/>
        <v>0D</v>
      </c>
      <c r="D31" s="240" t="s">
        <v>22</v>
      </c>
      <c r="E31" s="240" t="str">
        <f t="shared" si="4"/>
        <v>AB</v>
      </c>
      <c r="F31" s="240" t="str">
        <f t="shared" si="5"/>
        <v>3E</v>
      </c>
      <c r="G31" s="160" t="str">
        <f t="shared" si="0"/>
        <v>Annual</v>
      </c>
      <c r="H31" s="160" t="s">
        <v>124</v>
      </c>
      <c r="I31" s="160" t="str">
        <f t="shared" si="1"/>
        <v>30/360 (Bond Basis)</v>
      </c>
      <c r="J31" s="242">
        <v>0</v>
      </c>
      <c r="K31" s="262" t="str">
        <f t="shared" si="2"/>
        <v>EURAB3EBASIS23Y_Quote</v>
      </c>
      <c r="L31" s="244" t="str">
        <f>_xll.qlSwapRateHelper2(,$K31,$B31,$D31,Calendar,$G31,$H31,$I31,$L$4,$J31,C31,Discounting,,,Permanent,,ObjectOverwrite)</f>
        <v>obj_00707#0004</v>
      </c>
      <c r="M31" s="245" t="str">
        <f>_xll.ohRangeRetrieveError(L31)</f>
        <v/>
      </c>
      <c r="N31" s="223"/>
    </row>
    <row r="32" spans="1:14" x14ac:dyDescent="0.2">
      <c r="A32" s="220"/>
      <c r="B32" s="240">
        <v>2</v>
      </c>
      <c r="C32" s="240" t="str">
        <f t="shared" si="3"/>
        <v>0D</v>
      </c>
      <c r="D32" s="240" t="s">
        <v>21</v>
      </c>
      <c r="E32" s="240" t="str">
        <f t="shared" si="4"/>
        <v>AB</v>
      </c>
      <c r="F32" s="240" t="str">
        <f t="shared" si="5"/>
        <v>3E</v>
      </c>
      <c r="G32" s="160" t="str">
        <f t="shared" si="0"/>
        <v>Annual</v>
      </c>
      <c r="H32" s="160" t="s">
        <v>124</v>
      </c>
      <c r="I32" s="160" t="str">
        <f t="shared" si="1"/>
        <v>30/360 (Bond Basis)</v>
      </c>
      <c r="J32" s="242">
        <v>0</v>
      </c>
      <c r="K32" s="262" t="str">
        <f t="shared" si="2"/>
        <v>EURAB3EBASIS24Y_Quote</v>
      </c>
      <c r="L32" s="244" t="str">
        <f>_xll.qlSwapRateHelper2(,$K32,$B32,$D32,Calendar,$G32,$H32,$I32,$L$4,$J32,C32,Discounting,,,Permanent,,ObjectOverwrite)</f>
        <v>obj_00714#0004</v>
      </c>
      <c r="M32" s="245" t="str">
        <f>_xll.ohRangeRetrieveError(L32)</f>
        <v/>
      </c>
      <c r="N32" s="223"/>
    </row>
    <row r="33" spans="1:14" x14ac:dyDescent="0.2">
      <c r="A33" s="220"/>
      <c r="B33" s="240">
        <v>2</v>
      </c>
      <c r="C33" s="240" t="str">
        <f t="shared" si="3"/>
        <v>0D</v>
      </c>
      <c r="D33" s="240" t="s">
        <v>20</v>
      </c>
      <c r="E33" s="240" t="str">
        <f t="shared" si="4"/>
        <v>AB</v>
      </c>
      <c r="F33" s="240" t="str">
        <f t="shared" si="5"/>
        <v>3E</v>
      </c>
      <c r="G33" s="160" t="str">
        <f t="shared" si="0"/>
        <v>Annual</v>
      </c>
      <c r="H33" s="160" t="s">
        <v>124</v>
      </c>
      <c r="I33" s="160" t="str">
        <f t="shared" si="1"/>
        <v>30/360 (Bond Basis)</v>
      </c>
      <c r="J33" s="242">
        <v>0</v>
      </c>
      <c r="K33" s="262" t="str">
        <f t="shared" si="2"/>
        <v>EURAB3EBASIS25Y_Quote</v>
      </c>
      <c r="L33" s="244" t="str">
        <f>_xll.qlSwapRateHelper2(,$K33,$B33,$D33,Calendar,$G33,$H33,$I33,$L$4,$J33,C33,Discounting,,,Permanent,,ObjectOverwrite)</f>
        <v>obj_0070b#0004</v>
      </c>
      <c r="M33" s="245" t="str">
        <f>_xll.ohRangeRetrieveError(L33)</f>
        <v/>
      </c>
      <c r="N33" s="223"/>
    </row>
    <row r="34" spans="1:14" x14ac:dyDescent="0.2">
      <c r="A34" s="220"/>
      <c r="B34" s="240">
        <v>2</v>
      </c>
      <c r="C34" s="240" t="str">
        <f t="shared" si="3"/>
        <v>0D</v>
      </c>
      <c r="D34" s="240" t="s">
        <v>19</v>
      </c>
      <c r="E34" s="240" t="str">
        <f t="shared" si="4"/>
        <v>AB</v>
      </c>
      <c r="F34" s="240" t="str">
        <f t="shared" si="5"/>
        <v>3E</v>
      </c>
      <c r="G34" s="160" t="str">
        <f t="shared" si="0"/>
        <v>Annual</v>
      </c>
      <c r="H34" s="160" t="s">
        <v>124</v>
      </c>
      <c r="I34" s="160" t="str">
        <f t="shared" si="1"/>
        <v>30/360 (Bond Basis)</v>
      </c>
      <c r="J34" s="242">
        <v>0</v>
      </c>
      <c r="K34" s="262" t="str">
        <f t="shared" si="2"/>
        <v>EURAB3EBASIS26Y_Quote</v>
      </c>
      <c r="L34" s="244" t="str">
        <f>_xll.qlSwapRateHelper2(,$K34,$B34,$D34,Calendar,$G34,$H34,$I34,$L$4,$J34,C34,Discounting,,,Permanent,,ObjectOverwrite)</f>
        <v>obj_00703#0004</v>
      </c>
      <c r="M34" s="245" t="str">
        <f>_xll.ohRangeRetrieveError(L34)</f>
        <v/>
      </c>
      <c r="N34" s="223"/>
    </row>
    <row r="35" spans="1:14" x14ac:dyDescent="0.2">
      <c r="A35" s="220"/>
      <c r="B35" s="240">
        <v>2</v>
      </c>
      <c r="C35" s="240" t="str">
        <f t="shared" si="3"/>
        <v>0D</v>
      </c>
      <c r="D35" s="240" t="s">
        <v>18</v>
      </c>
      <c r="E35" s="240" t="str">
        <f t="shared" si="4"/>
        <v>AB</v>
      </c>
      <c r="F35" s="240" t="str">
        <f t="shared" si="5"/>
        <v>3E</v>
      </c>
      <c r="G35" s="160" t="str">
        <f t="shared" si="0"/>
        <v>Annual</v>
      </c>
      <c r="H35" s="160" t="s">
        <v>124</v>
      </c>
      <c r="I35" s="160" t="str">
        <f t="shared" si="1"/>
        <v>30/360 (Bond Basis)</v>
      </c>
      <c r="J35" s="242">
        <v>0</v>
      </c>
      <c r="K35" s="262" t="str">
        <f t="shared" si="2"/>
        <v>EURAB3EBASIS27Y_Quote</v>
      </c>
      <c r="L35" s="244" t="str">
        <f>_xll.qlSwapRateHelper2(,$K35,$B35,$D35,Calendar,$G35,$H35,$I35,$L$4,$J35,C35,Discounting,,,Permanent,,ObjectOverwrite)</f>
        <v>obj_00721#0004</v>
      </c>
      <c r="M35" s="245" t="str">
        <f>_xll.ohRangeRetrieveError(L35)</f>
        <v/>
      </c>
      <c r="N35" s="223"/>
    </row>
    <row r="36" spans="1:14" x14ac:dyDescent="0.2">
      <c r="A36" s="220"/>
      <c r="B36" s="240">
        <v>2</v>
      </c>
      <c r="C36" s="240" t="str">
        <f t="shared" si="3"/>
        <v>0D</v>
      </c>
      <c r="D36" s="240" t="s">
        <v>17</v>
      </c>
      <c r="E36" s="240" t="str">
        <f t="shared" si="4"/>
        <v>AB</v>
      </c>
      <c r="F36" s="240" t="str">
        <f t="shared" si="5"/>
        <v>3E</v>
      </c>
      <c r="G36" s="160" t="str">
        <f t="shared" si="0"/>
        <v>Annual</v>
      </c>
      <c r="H36" s="160" t="s">
        <v>124</v>
      </c>
      <c r="I36" s="160" t="str">
        <f t="shared" si="1"/>
        <v>30/360 (Bond Basis)</v>
      </c>
      <c r="J36" s="242">
        <v>0</v>
      </c>
      <c r="K36" s="262" t="str">
        <f t="shared" si="2"/>
        <v>EURAB3EBASIS28Y_Quote</v>
      </c>
      <c r="L36" s="244" t="str">
        <f>_xll.qlSwapRateHelper2(,$K36,$B36,$D36,Calendar,$G36,$H36,$I36,$L$4,$J36,C36,Discounting,,,Permanent,,ObjectOverwrite)</f>
        <v>obj_0071f#0004</v>
      </c>
      <c r="M36" s="245" t="str">
        <f>_xll.ohRangeRetrieveError(L36)</f>
        <v/>
      </c>
      <c r="N36" s="223"/>
    </row>
    <row r="37" spans="1:14" x14ac:dyDescent="0.2">
      <c r="A37" s="220"/>
      <c r="B37" s="240">
        <v>2</v>
      </c>
      <c r="C37" s="240" t="str">
        <f t="shared" si="3"/>
        <v>0D</v>
      </c>
      <c r="D37" s="240" t="s">
        <v>16</v>
      </c>
      <c r="E37" s="240" t="str">
        <f t="shared" si="4"/>
        <v>AB</v>
      </c>
      <c r="F37" s="240" t="str">
        <f t="shared" si="5"/>
        <v>3E</v>
      </c>
      <c r="G37" s="160" t="str">
        <f t="shared" si="0"/>
        <v>Annual</v>
      </c>
      <c r="H37" s="160" t="s">
        <v>124</v>
      </c>
      <c r="I37" s="160" t="str">
        <f t="shared" si="1"/>
        <v>30/360 (Bond Basis)</v>
      </c>
      <c r="J37" s="242">
        <v>0</v>
      </c>
      <c r="K37" s="262" t="str">
        <f t="shared" si="2"/>
        <v>EURAB3EBASIS29Y_Quote</v>
      </c>
      <c r="L37" s="244" t="str">
        <f>_xll.qlSwapRateHelper2(,$K37,$B37,$D37,Calendar,$G37,$H37,$I37,$L$4,$J37,C37,Discounting,,,Permanent,,ObjectOverwrite)</f>
        <v>obj_0071d#0004</v>
      </c>
      <c r="M37" s="245" t="str">
        <f>_xll.ohRangeRetrieveError(L37)</f>
        <v/>
      </c>
      <c r="N37" s="223"/>
    </row>
    <row r="38" spans="1:14" x14ac:dyDescent="0.2">
      <c r="A38" s="220"/>
      <c r="B38" s="240">
        <v>2</v>
      </c>
      <c r="C38" s="240" t="str">
        <f t="shared" si="3"/>
        <v>0D</v>
      </c>
      <c r="D38" s="240" t="s">
        <v>15</v>
      </c>
      <c r="E38" s="240" t="str">
        <f t="shared" si="4"/>
        <v>AB</v>
      </c>
      <c r="F38" s="240" t="str">
        <f t="shared" si="5"/>
        <v>3E</v>
      </c>
      <c r="G38" s="160" t="str">
        <f t="shared" si="0"/>
        <v>Annual</v>
      </c>
      <c r="H38" s="160" t="s">
        <v>124</v>
      </c>
      <c r="I38" s="160" t="str">
        <f t="shared" si="1"/>
        <v>30/360 (Bond Basis)</v>
      </c>
      <c r="J38" s="242">
        <v>0</v>
      </c>
      <c r="K38" s="262" t="str">
        <f t="shared" si="2"/>
        <v>EURAB3EBASIS30Y_Quote</v>
      </c>
      <c r="L38" s="244" t="str">
        <f>_xll.qlSwapRateHelper2(,$K38,$B38,$D38,Calendar,$G38,$H38,$I38,$L$4,$J38,C38,Discounting,,,Permanent,,ObjectOverwrite)</f>
        <v>obj_0071b#0004</v>
      </c>
      <c r="M38" s="245" t="str">
        <f>_xll.ohRangeRetrieveError(L38)</f>
        <v/>
      </c>
      <c r="N38" s="223"/>
    </row>
    <row r="39" spans="1:14" x14ac:dyDescent="0.2">
      <c r="A39" s="220"/>
      <c r="B39" s="240">
        <v>2</v>
      </c>
      <c r="C39" s="240" t="str">
        <f t="shared" si="3"/>
        <v>0D</v>
      </c>
      <c r="D39" s="240" t="s">
        <v>14</v>
      </c>
      <c r="E39" s="240" t="str">
        <f t="shared" si="4"/>
        <v>AB</v>
      </c>
      <c r="F39" s="240" t="str">
        <f t="shared" si="5"/>
        <v>3E</v>
      </c>
      <c r="G39" s="160" t="str">
        <f t="shared" si="0"/>
        <v>Annual</v>
      </c>
      <c r="H39" s="160" t="s">
        <v>124</v>
      </c>
      <c r="I39" s="160" t="str">
        <f t="shared" si="1"/>
        <v>30/360 (Bond Basis)</v>
      </c>
      <c r="J39" s="242">
        <v>0</v>
      </c>
      <c r="K39" s="262" t="str">
        <f t="shared" si="2"/>
        <v>EURAB3EBASIS35Y_Quote</v>
      </c>
      <c r="L39" s="244" t="str">
        <f>_xll.qlSwapRateHelper2(,$K39,$B39,$D39,Calendar,$G39,$H39,$I39,$L$4,$J39,C39,Discounting,,,Permanent,,ObjectOverwrite)</f>
        <v>obj_0071a#0004</v>
      </c>
      <c r="M39" s="245" t="str">
        <f>_xll.ohRangeRetrieveError(L39)</f>
        <v/>
      </c>
      <c r="N39" s="223"/>
    </row>
    <row r="40" spans="1:14" x14ac:dyDescent="0.2">
      <c r="A40" s="220"/>
      <c r="B40" s="240">
        <v>2</v>
      </c>
      <c r="C40" s="240" t="str">
        <f t="shared" si="3"/>
        <v>0D</v>
      </c>
      <c r="D40" s="240" t="s">
        <v>13</v>
      </c>
      <c r="E40" s="240" t="str">
        <f t="shared" si="4"/>
        <v>AB</v>
      </c>
      <c r="F40" s="240" t="str">
        <f t="shared" si="5"/>
        <v>3E</v>
      </c>
      <c r="G40" s="160" t="str">
        <f t="shared" si="0"/>
        <v>Annual</v>
      </c>
      <c r="H40" s="160" t="s">
        <v>124</v>
      </c>
      <c r="I40" s="160" t="str">
        <f t="shared" si="1"/>
        <v>30/360 (Bond Basis)</v>
      </c>
      <c r="J40" s="242">
        <v>0</v>
      </c>
      <c r="K40" s="262" t="str">
        <f t="shared" si="2"/>
        <v>EURAB3EBASIS40Y_Quote</v>
      </c>
      <c r="L40" s="244" t="str">
        <f>_xll.qlSwapRateHelper2(,$K40,$B40,$D40,Calendar,$G40,$H40,$I40,$L$4,$J40,C40,Discounting,,,Permanent,,ObjectOverwrite)</f>
        <v>obj_00713#0004</v>
      </c>
      <c r="M40" s="245" t="str">
        <f>_xll.ohRangeRetrieveError(L40)</f>
        <v/>
      </c>
      <c r="N40" s="223"/>
    </row>
    <row r="41" spans="1:14" x14ac:dyDescent="0.2">
      <c r="A41" s="220"/>
      <c r="B41" s="240">
        <v>2</v>
      </c>
      <c r="C41" s="240" t="str">
        <f t="shared" si="3"/>
        <v>0D</v>
      </c>
      <c r="D41" s="240" t="s">
        <v>12</v>
      </c>
      <c r="E41" s="240" t="str">
        <f t="shared" si="4"/>
        <v>AB</v>
      </c>
      <c r="F41" s="240" t="str">
        <f t="shared" si="5"/>
        <v>3E</v>
      </c>
      <c r="G41" s="160" t="str">
        <f t="shared" si="0"/>
        <v>Annual</v>
      </c>
      <c r="H41" s="160" t="s">
        <v>124</v>
      </c>
      <c r="I41" s="160" t="str">
        <f t="shared" si="1"/>
        <v>30/360 (Bond Basis)</v>
      </c>
      <c r="J41" s="242">
        <v>0</v>
      </c>
      <c r="K41" s="262" t="str">
        <f t="shared" si="2"/>
        <v>EURAB3EBASIS50Y_Quote</v>
      </c>
      <c r="L41" s="244" t="str">
        <f>_xll.qlSwapRateHelper2(,$K41,$B41,$D41,Calendar,$G41,$H41,$I41,$L$4,$J41,C41,Discounting,,,Permanent,,ObjectOverwrite)</f>
        <v>obj_0070a#0004</v>
      </c>
      <c r="M41" s="245" t="str">
        <f>_xll.ohRangeRetrieveError(L41)</f>
        <v/>
      </c>
      <c r="N41" s="223"/>
    </row>
    <row r="42" spans="1:14" x14ac:dyDescent="0.2">
      <c r="A42" s="220"/>
      <c r="B42" s="250">
        <v>2</v>
      </c>
      <c r="C42" s="250" t="str">
        <f t="shared" si="3"/>
        <v>0D</v>
      </c>
      <c r="D42" s="250" t="s">
        <v>11</v>
      </c>
      <c r="E42" s="250" t="str">
        <f t="shared" si="4"/>
        <v>AB</v>
      </c>
      <c r="F42" s="250" t="str">
        <f t="shared" si="5"/>
        <v>3E</v>
      </c>
      <c r="G42" s="252" t="str">
        <f t="shared" si="0"/>
        <v>Annual</v>
      </c>
      <c r="H42" s="252" t="s">
        <v>124</v>
      </c>
      <c r="I42" s="252" t="str">
        <f t="shared" si="1"/>
        <v>30/360 (Bond Basis)</v>
      </c>
      <c r="J42" s="253">
        <v>0</v>
      </c>
      <c r="K42" s="266" t="str">
        <f t="shared" si="2"/>
        <v>EURAB3EBASIS60Y_Quote</v>
      </c>
      <c r="L42" s="255" t="str">
        <f>_xll.qlSwapRateHelper2(,$K42,$B42,$D42,Calendar,$G42,$H42,$I42,$L$4,$J42,C42,Discounting,,,Permanent,,ObjectOverwrite)</f>
        <v>obj_00702#0004</v>
      </c>
      <c r="M42" s="256" t="str">
        <f>_xll.ohRangeRetrieveError(L42)</f>
        <v/>
      </c>
      <c r="N42" s="223"/>
    </row>
    <row r="43" spans="1:14" ht="12" thickBot="1" x14ac:dyDescent="0.25">
      <c r="A43" s="257"/>
      <c r="B43" s="258"/>
      <c r="C43" s="258"/>
      <c r="D43" s="258"/>
      <c r="E43" s="258"/>
      <c r="F43" s="258"/>
      <c r="G43" s="258"/>
      <c r="H43" s="258"/>
      <c r="I43" s="258"/>
      <c r="J43" s="258"/>
      <c r="K43" s="258"/>
      <c r="L43" s="267"/>
      <c r="M43" s="267"/>
      <c r="N43" s="268"/>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07" customWidth="1"/>
    <col min="2" max="2" width="3" style="107" bestFit="1" customWidth="1"/>
    <col min="3" max="3" width="17.28515625" style="107" bestFit="1" customWidth="1"/>
    <col min="4" max="4" width="23.85546875" style="107" customWidth="1"/>
    <col min="5" max="5" width="11" style="107" bestFit="1" customWidth="1"/>
    <col min="6" max="6" width="13.140625" style="107" bestFit="1" customWidth="1"/>
    <col min="7" max="7" width="24.42578125" style="107" bestFit="1" customWidth="1"/>
    <col min="8" max="8" width="2.7109375" style="107" customWidth="1"/>
    <col min="9" max="16384" width="9.140625" style="107"/>
  </cols>
  <sheetData>
    <row r="1" spans="1:8" x14ac:dyDescent="0.2">
      <c r="A1" s="198"/>
      <c r="B1" s="198"/>
      <c r="C1" s="198"/>
      <c r="D1" s="198"/>
      <c r="E1" s="198"/>
      <c r="F1" s="198"/>
      <c r="G1" s="198"/>
      <c r="H1" s="199"/>
    </row>
    <row r="2" spans="1:8" x14ac:dyDescent="0.2">
      <c r="A2" s="198"/>
      <c r="B2" s="198"/>
      <c r="C2" s="317" t="s">
        <v>179</v>
      </c>
      <c r="D2" s="319">
        <f>_xll.qlCalendarAdvance(Calendar,_xll.qlSettingsEvaluationDate(),NDays&amp;"D","f",,Trigger)</f>
        <v>42258</v>
      </c>
      <c r="E2" s="198"/>
      <c r="F2" s="198"/>
      <c r="G2" s="198"/>
      <c r="H2" s="199"/>
    </row>
    <row r="3" spans="1:8" ht="22.5" x14ac:dyDescent="0.2">
      <c r="A3" s="198"/>
      <c r="B3" s="198"/>
      <c r="C3" s="317" t="s">
        <v>180</v>
      </c>
      <c r="D3" s="320">
        <f>_xll.qlCalendarEndOfMonth(Calendar,EDATE(DATE(YEAR(D2),MONTH(D2),1),-1))</f>
        <v>42247</v>
      </c>
      <c r="E3" s="198"/>
      <c r="F3" s="198"/>
      <c r="G3" s="198"/>
      <c r="H3" s="199"/>
    </row>
    <row r="4" spans="1:8" ht="13.35" customHeight="1" x14ac:dyDescent="0.2">
      <c r="A4" s="198"/>
      <c r="B4" s="198"/>
      <c r="C4" s="198"/>
      <c r="D4" s="198"/>
      <c r="E4" s="198"/>
      <c r="F4" s="198"/>
      <c r="G4" s="198"/>
      <c r="H4" s="199"/>
    </row>
    <row r="5" spans="1:8" ht="13.35" customHeight="1" x14ac:dyDescent="0.2">
      <c r="A5" s="198"/>
      <c r="B5" s="317" t="s">
        <v>122</v>
      </c>
      <c r="C5" s="318" t="s">
        <v>181</v>
      </c>
      <c r="D5" s="318" t="s">
        <v>182</v>
      </c>
      <c r="E5" s="318" t="s">
        <v>183</v>
      </c>
      <c r="F5" s="318" t="s">
        <v>184</v>
      </c>
      <c r="G5" s="318" t="s">
        <v>185</v>
      </c>
      <c r="H5" s="199"/>
    </row>
    <row r="6" spans="1:8" ht="13.35" customHeight="1" x14ac:dyDescent="0.2">
      <c r="A6" s="198"/>
      <c r="B6" s="202">
        <v>1</v>
      </c>
      <c r="C6" s="203">
        <f>_xll.qlCalendarEndOfMonth(Calendar,_xll.qlCalendarAdvance(Calendar,D3,"1m","mf",FALSE),Trigger)</f>
        <v>42277</v>
      </c>
      <c r="D6" s="202" t="str">
        <f t="shared" ref="D6:D18" si="0">Currency&amp;"Jump"&amp;B6&amp;"_SYNTHON"&amp;QuoteSuffix</f>
        <v>EURJump1_SYNTHON_Quote</v>
      </c>
      <c r="E6" s="204">
        <f>IF(_xll.qlQuoteIsValid(D6,Trigger),_xll.qlQuoteValue(D6,Trigger),1)</f>
        <v>0.99999839999999995</v>
      </c>
      <c r="F6" s="205"/>
      <c r="G6" s="204" t="str">
        <f>IF(ISBLANK(F6),D6,F6)</f>
        <v>EURJump1_SYNTHON_Quote</v>
      </c>
      <c r="H6" s="199"/>
    </row>
    <row r="7" spans="1:8" ht="13.35" customHeight="1" x14ac:dyDescent="0.2">
      <c r="A7" s="198"/>
      <c r="B7" s="206">
        <v>2</v>
      </c>
      <c r="C7" s="207">
        <f>_xll.qlCalendarEndOfMonth(Calendar,_xll.qlCalendarAdvance(Calendar,C6,"1m","mf",TRUE),Trigger)</f>
        <v>42307</v>
      </c>
      <c r="D7" s="206" t="str">
        <f t="shared" si="0"/>
        <v>EURJump2_SYNTHON_Quote</v>
      </c>
      <c r="E7" s="208">
        <f>IF(_xll.qlQuoteIsValid(D7,Trigger),_xll.qlQuoteValue(D7,Trigger),1)</f>
        <v>0.99999340000000003</v>
      </c>
      <c r="F7" s="209"/>
      <c r="G7" s="208" t="str">
        <f t="shared" ref="G7:G18" si="1">IF(ISBLANK(F7),D7,F7)</f>
        <v>EURJump2_SYNTHON_Quote</v>
      </c>
      <c r="H7" s="199"/>
    </row>
    <row r="8" spans="1:8" ht="13.35" customHeight="1" x14ac:dyDescent="0.2">
      <c r="A8" s="198"/>
      <c r="B8" s="206">
        <v>3</v>
      </c>
      <c r="C8" s="207">
        <f>_xll.qlCalendarEndOfMonth(Calendar,_xll.qlCalendarAdvance(Calendar,C7,"1m","mf",TRUE),Trigger)</f>
        <v>42338</v>
      </c>
      <c r="D8" s="206" t="str">
        <f t="shared" si="0"/>
        <v>EURJump3_SYNTHON_Quote</v>
      </c>
      <c r="E8" s="208">
        <f>IF(_xll.qlQuoteIsValid(D8,Trigger),_xll.qlQuoteValue(D8,Trigger),1)</f>
        <v>0.9999943</v>
      </c>
      <c r="F8" s="209"/>
      <c r="G8" s="208" t="str">
        <f t="shared" si="1"/>
        <v>EURJump3_SYNTHON_Quote</v>
      </c>
      <c r="H8" s="199"/>
    </row>
    <row r="9" spans="1:8" ht="13.35" customHeight="1" x14ac:dyDescent="0.2">
      <c r="A9" s="198"/>
      <c r="B9" s="206">
        <v>4</v>
      </c>
      <c r="C9" s="207">
        <f>_xll.qlCalendarEndOfMonth(Calendar,_xll.qlCalendarAdvance(Calendar,C8,"1m","mf",TRUE),Trigger)</f>
        <v>42369</v>
      </c>
      <c r="D9" s="206" t="str">
        <f t="shared" si="0"/>
        <v>EURJump4_SYNTHON_Quote</v>
      </c>
      <c r="E9" s="208">
        <f>IF(_xll.qlQuoteIsValid(D9,Trigger),_xll.qlQuoteValue(D9,Trigger),1)</f>
        <v>0.99998469999999995</v>
      </c>
      <c r="F9" s="209"/>
      <c r="G9" s="208" t="str">
        <f t="shared" si="1"/>
        <v>EURJump4_SYNTHON_Quote</v>
      </c>
      <c r="H9" s="199"/>
    </row>
    <row r="10" spans="1:8" ht="13.35" customHeight="1" x14ac:dyDescent="0.2">
      <c r="A10" s="198"/>
      <c r="B10" s="206">
        <v>5</v>
      </c>
      <c r="C10" s="207">
        <f>_xll.qlCalendarEndOfMonth(Calendar,_xll.qlCalendarAdvance(Calendar,C9,"1m","mf",TRUE),Trigger)</f>
        <v>42398</v>
      </c>
      <c r="D10" s="206" t="str">
        <f t="shared" si="0"/>
        <v>EURJump5_SYNTHON_Quote</v>
      </c>
      <c r="E10" s="208">
        <f>IF(_xll.qlQuoteIsValid(D10,Trigger),_xll.qlQuoteValue(D10,Trigger),1)</f>
        <v>0.9999962</v>
      </c>
      <c r="F10" s="209"/>
      <c r="G10" s="208" t="str">
        <f t="shared" si="1"/>
        <v>EURJump5_SYNTHON_Quote</v>
      </c>
      <c r="H10" s="199"/>
    </row>
    <row r="11" spans="1:8" ht="13.35" customHeight="1" x14ac:dyDescent="0.2">
      <c r="A11" s="198"/>
      <c r="B11" s="206">
        <v>6</v>
      </c>
      <c r="C11" s="207">
        <f>_xll.qlCalendarEndOfMonth(Calendar,_xll.qlCalendarAdvance(Calendar,C10,"1m","mf",TRUE),Trigger)</f>
        <v>42429</v>
      </c>
      <c r="D11" s="206" t="str">
        <f t="shared" si="0"/>
        <v>EURJump6_SYNTHON_Quote</v>
      </c>
      <c r="E11" s="208">
        <f>IF(_xll.qlQuoteIsValid(D11,Trigger),_xll.qlQuoteValue(D11,Trigger),1)</f>
        <v>1</v>
      </c>
      <c r="F11" s="209"/>
      <c r="G11" s="208" t="str">
        <f t="shared" si="1"/>
        <v>EURJump6_SYNTHON_Quote</v>
      </c>
      <c r="H11" s="199"/>
    </row>
    <row r="12" spans="1:8" ht="13.35" customHeight="1" x14ac:dyDescent="0.2">
      <c r="A12" s="198"/>
      <c r="B12" s="206">
        <v>7</v>
      </c>
      <c r="C12" s="207">
        <f>_xll.qlCalendarEndOfMonth(Calendar,_xll.qlCalendarAdvance(Calendar,C11,"1m","mf",TRUE),Trigger)</f>
        <v>42460</v>
      </c>
      <c r="D12" s="206" t="str">
        <f t="shared" si="0"/>
        <v>EURJump7_SYNTHON_Quote</v>
      </c>
      <c r="E12" s="208">
        <f>IF(_xll.qlQuoteIsValid(D12,Trigger),_xll.qlQuoteValue(D12,Trigger),1)</f>
        <v>1</v>
      </c>
      <c r="F12" s="209"/>
      <c r="G12" s="208" t="str">
        <f t="shared" si="1"/>
        <v>EURJump7_SYNTHON_Quote</v>
      </c>
      <c r="H12" s="199"/>
    </row>
    <row r="13" spans="1:8" ht="13.35" customHeight="1" x14ac:dyDescent="0.2">
      <c r="A13" s="198"/>
      <c r="B13" s="206">
        <v>8</v>
      </c>
      <c r="C13" s="207">
        <f>_xll.qlCalendarEndOfMonth(Calendar,_xll.qlCalendarAdvance(Calendar,C12,"1m","mf",TRUE),Trigger)</f>
        <v>42489</v>
      </c>
      <c r="D13" s="206" t="str">
        <f t="shared" si="0"/>
        <v>EURJump8_SYNTHON_Quote</v>
      </c>
      <c r="E13" s="208">
        <f>IF(_xll.qlQuoteIsValid(D13,Trigger),_xll.qlQuoteValue(D13,Trigger),1)</f>
        <v>0.99998900000000002</v>
      </c>
      <c r="F13" s="209"/>
      <c r="G13" s="208" t="str">
        <f t="shared" si="1"/>
        <v>EURJump8_SYNTHON_Quote</v>
      </c>
      <c r="H13" s="199"/>
    </row>
    <row r="14" spans="1:8" ht="13.35" customHeight="1" x14ac:dyDescent="0.2">
      <c r="A14" s="198"/>
      <c r="B14" s="206">
        <v>9</v>
      </c>
      <c r="C14" s="207">
        <f>_xll.qlCalendarEndOfMonth(Calendar,_xll.qlCalendarAdvance(Calendar,C13,"1m","mf",TRUE),Trigger)</f>
        <v>42521</v>
      </c>
      <c r="D14" s="206" t="str">
        <f t="shared" si="0"/>
        <v>EURJump9_SYNTHON_Quote</v>
      </c>
      <c r="E14" s="208">
        <f>IF(_xll.qlQuoteIsValid(D14,Trigger),_xll.qlQuoteValue(D14,Trigger),1)</f>
        <v>0.9999962</v>
      </c>
      <c r="F14" s="209"/>
      <c r="G14" s="208" t="str">
        <f t="shared" si="1"/>
        <v>EURJump9_SYNTHON_Quote</v>
      </c>
      <c r="H14" s="199"/>
    </row>
    <row r="15" spans="1:8" ht="13.35" customHeight="1" x14ac:dyDescent="0.2">
      <c r="A15" s="198"/>
      <c r="B15" s="206">
        <v>10</v>
      </c>
      <c r="C15" s="207">
        <f>_xll.qlCalendarEndOfMonth(Calendar,_xll.qlCalendarAdvance(Calendar,C14,"1m","mf",TRUE),Trigger)</f>
        <v>42551</v>
      </c>
      <c r="D15" s="206" t="str">
        <f t="shared" si="0"/>
        <v>EURJump10_SYNTHON_Quote</v>
      </c>
      <c r="E15" s="208">
        <f>IF(_xll.qlQuoteIsValid(D15,Trigger),_xll.qlQuoteValue(D15,Trigger),1)</f>
        <v>0.99998690000000001</v>
      </c>
      <c r="F15" s="209"/>
      <c r="G15" s="208" t="str">
        <f t="shared" si="1"/>
        <v>EURJump10_SYNTHON_Quote</v>
      </c>
      <c r="H15" s="199"/>
    </row>
    <row r="16" spans="1:8" ht="13.35" customHeight="1" x14ac:dyDescent="0.2">
      <c r="A16" s="198"/>
      <c r="B16" s="206">
        <v>11</v>
      </c>
      <c r="C16" s="207">
        <f>_xll.qlCalendarEndOfMonth(Calendar,_xll.qlCalendarAdvance(Calendar,C15,"1m","mf",TRUE),Trigger)</f>
        <v>42580</v>
      </c>
      <c r="D16" s="206" t="str">
        <f t="shared" si="0"/>
        <v>EURJump11_SYNTHON_Quote</v>
      </c>
      <c r="E16" s="208">
        <f>IF(_xll.qlQuoteIsValid(D16,Trigger),_xll.qlQuoteValue(D16,Trigger),1)</f>
        <v>0.9999903</v>
      </c>
      <c r="F16" s="209"/>
      <c r="G16" s="208" t="str">
        <f t="shared" si="1"/>
        <v>EURJump11_SYNTHON_Quote</v>
      </c>
      <c r="H16" s="199"/>
    </row>
    <row r="17" spans="1:8" ht="13.35" customHeight="1" x14ac:dyDescent="0.2">
      <c r="A17" s="198"/>
      <c r="B17" s="206">
        <v>12</v>
      </c>
      <c r="C17" s="207">
        <f>_xll.qlCalendarEndOfMonth(Calendar,_xll.qlCalendarAdvance(Calendar,C16,"1m","mf",TRUE),Trigger)</f>
        <v>42613</v>
      </c>
      <c r="D17" s="206" t="str">
        <f t="shared" si="0"/>
        <v>EURJump12_SYNTHON_Quote</v>
      </c>
      <c r="E17" s="208">
        <f>IF(_xll.qlQuoteIsValid(D17,Trigger),_xll.qlQuoteValue(D17,Trigger),1)</f>
        <v>1</v>
      </c>
      <c r="F17" s="209"/>
      <c r="G17" s="208" t="str">
        <f t="shared" si="1"/>
        <v>EURJump12_SYNTHON_Quote</v>
      </c>
      <c r="H17" s="199"/>
    </row>
    <row r="18" spans="1:8" ht="13.35" customHeight="1" x14ac:dyDescent="0.2">
      <c r="A18" s="198"/>
      <c r="B18" s="210">
        <v>13</v>
      </c>
      <c r="C18" s="211">
        <f>_xll.qlCalendarAdjust(Calendar,DATE(YEAR(D2)+1,12,31),"preceding",Trigger)</f>
        <v>42734</v>
      </c>
      <c r="D18" s="210" t="str">
        <f t="shared" si="0"/>
        <v>EURJump13_SYNTHON_Quote</v>
      </c>
      <c r="E18" s="212">
        <f>IF(_xll.qlQuoteIsValid(D18,Trigger),_xll.qlQuoteValue(D18,Trigger),1)</f>
        <v>0.99997939999999996</v>
      </c>
      <c r="F18" s="213"/>
      <c r="G18" s="212" t="str">
        <f t="shared" si="1"/>
        <v>EURJump13_SYNTHON_Quote</v>
      </c>
      <c r="H18" s="199"/>
    </row>
    <row r="19" spans="1:8" ht="12" thickBot="1" x14ac:dyDescent="0.25">
      <c r="A19" s="200"/>
      <c r="B19" s="200"/>
      <c r="C19" s="200"/>
      <c r="D19" s="200"/>
      <c r="E19" s="200"/>
      <c r="F19" s="200"/>
      <c r="G19" s="200"/>
      <c r="H19" s="2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07" bestFit="1" customWidth="1"/>
    <col min="3" max="3" width="17.28515625" style="107" bestFit="1" customWidth="1"/>
    <col min="4" max="4" width="7" style="1" bestFit="1" customWidth="1"/>
    <col min="5" max="5" width="17.28515625" style="1" bestFit="1" customWidth="1"/>
    <col min="6" max="6" width="20.28515625" style="107" bestFit="1" customWidth="1"/>
    <col min="7" max="8" width="7" style="107" customWidth="1"/>
    <col min="9" max="9" width="11" style="107" bestFit="1" customWidth="1"/>
    <col min="10" max="10" width="15.140625" style="107"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09"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9" style="1" bestFit="1" customWidth="1"/>
    <col min="28" max="28" width="13.140625" style="1" bestFit="1" customWidth="1"/>
    <col min="29" max="16384" width="9.140625" style="1"/>
  </cols>
  <sheetData>
    <row r="1" spans="1:28" s="107" customFormat="1" ht="12" hidden="1" outlineLevel="1" thickBot="1" x14ac:dyDescent="0.25">
      <c r="A1" s="114"/>
      <c r="B1" s="111" t="s">
        <v>167</v>
      </c>
      <c r="C1" s="113"/>
      <c r="D1" s="111"/>
      <c r="E1" s="112"/>
      <c r="F1" s="115"/>
      <c r="G1" s="114" t="s">
        <v>166</v>
      </c>
      <c r="H1" s="153"/>
      <c r="I1" s="115"/>
      <c r="J1" s="153"/>
      <c r="K1" s="115"/>
    </row>
    <row r="2" spans="1:28" hidden="1" outlineLevel="1" x14ac:dyDescent="0.2">
      <c r="A2" s="116"/>
      <c r="B2" s="154" t="s">
        <v>147</v>
      </c>
      <c r="C2" s="155" t="s">
        <v>148</v>
      </c>
      <c r="D2" s="155" t="s">
        <v>96</v>
      </c>
      <c r="E2" s="155" t="s">
        <v>149</v>
      </c>
      <c r="F2" s="156" t="s">
        <v>165</v>
      </c>
      <c r="G2" s="154" t="s">
        <v>148</v>
      </c>
      <c r="H2" s="155" t="s">
        <v>149</v>
      </c>
      <c r="I2" s="156" t="s">
        <v>175</v>
      </c>
      <c r="J2" s="155" t="s">
        <v>173</v>
      </c>
      <c r="K2" s="156" t="s">
        <v>174</v>
      </c>
      <c r="L2" s="107"/>
      <c r="M2" s="107"/>
    </row>
    <row r="3" spans="1:28" hidden="1" outlineLevel="1" x14ac:dyDescent="0.2">
      <c r="A3" s="157"/>
      <c r="B3" s="158" t="str">
        <f>_xll.qlPeriodEquivalent(D3&amp;"M")</f>
        <v>1Y</v>
      </c>
      <c r="C3" s="159">
        <f>_xll.qlDateEndOfMonth(EDATE(_xll.qlSettingsEvaluationDate(Trigger),-1))</f>
        <v>42247</v>
      </c>
      <c r="D3" s="117">
        <v>12</v>
      </c>
      <c r="E3" s="159">
        <f t="shared" ref="E3:E16" si="0">EDATE($Y$19,$D3)</f>
        <v>42624</v>
      </c>
      <c r="F3" s="187">
        <f>IF(D3&lt;=12,1,IF(D3&lt;=24,3,IF(D3&lt;=120,6,IF(D3&lt;=240,12,IF(D3&lt;=360,36,60)))))</f>
        <v>1</v>
      </c>
      <c r="G3" s="214">
        <f>IF(J3&gt;=0,ROUNDDOWN(J3*10,2)/10,ROUNDUP(J3*10,2)/10)</f>
        <v>-1E-3</v>
      </c>
      <c r="H3" s="188">
        <f>IF(K3-J3&gt;1%,(QUOTIENT(K3*10000,50)+1)*0.5%,(QUOTIENT(K3*10000,10)+1)*0.1%)</f>
        <v>1E-3</v>
      </c>
      <c r="I3" s="189">
        <f>IF(H3-G3&lt;0.5%,0.05%,IF(H3-G3&lt;1%,0.1%,IF(H3-G3&lt;2%,0.25%,0.5%)))</f>
        <v>5.0000000000000001E-4</v>
      </c>
      <c r="J3" s="188">
        <f>MIN(_xll.ohPack($Z$19:INDEX($Z$19:$Z$3552,MATCH(E3+1,$Y$19:$Y$3552,1),1)))</f>
        <v>-4.2033404366335219E-4</v>
      </c>
      <c r="K3" s="189">
        <f>MAX(_xll.ohPack($Z$19:INDEX($Z$19:$Z$3552,MATCH(E3+1,$Y$19:$Y$3552,1),1)))</f>
        <v>-1.9131439684724597E-4</v>
      </c>
      <c r="L3" s="107"/>
      <c r="M3" s="107"/>
      <c r="N3" s="193"/>
    </row>
    <row r="4" spans="1:28" ht="12" hidden="1" customHeight="1" outlineLevel="1" x14ac:dyDescent="0.25">
      <c r="A4" s="157"/>
      <c r="B4" s="158" t="str">
        <f>_xll.qlPeriodEquivalent(D4&amp;"M")</f>
        <v>2Y</v>
      </c>
      <c r="C4" s="159">
        <f>_xll.qlDateEndOfMonth(EDATE(_xll.qlIMMNextDate(_xll.qlSettingsEvaluationDate(Trigger)-1,TRUE),-3))</f>
        <v>42185</v>
      </c>
      <c r="D4" s="117">
        <v>24</v>
      </c>
      <c r="E4" s="159">
        <f t="shared" si="0"/>
        <v>42989</v>
      </c>
      <c r="F4" s="187">
        <f t="shared" ref="F4:F16" si="1">IF(D4&lt;=12,1,IF(D4&lt;=24,3,IF(D4&lt;=120,6,IF(D4&lt;=240,12,IF(D4&lt;=360,36,60)))))</f>
        <v>3</v>
      </c>
      <c r="G4" s="214">
        <f t="shared" ref="G4:G16" si="2">IF(J4&gt;=0,ROUNDDOWN(J4*10,2)/10,ROUNDUP(J4*10,2)/10)</f>
        <v>-1E-3</v>
      </c>
      <c r="H4" s="188">
        <f t="shared" ref="H4:H16" si="3">IF(K4-J4&gt;1%,(QUOTIENT(K4*10000,50)+1)*0.5%,(QUOTIENT(K4*10000,10)+1)*0.1%)</f>
        <v>2E-3</v>
      </c>
      <c r="I4" s="189">
        <f t="shared" ref="I4:I16" si="4">IF(H4-G4&lt;0.5%,0.05%,IF(H4-G4&lt;1%,0.1%,IF(H4-G4&lt;2%,0.25%,0.5%)))</f>
        <v>5.0000000000000001E-4</v>
      </c>
      <c r="J4" s="188">
        <f>MIN(_xll.ohPack($Z$19:INDEX($Z$19:$Z$3552,MATCH(E4+1,$Y$19:$Y$3552,1),1)))</f>
        <v>-4.2033404366335219E-4</v>
      </c>
      <c r="K4" s="189">
        <f>MAX(_xll.ohPack($Z$19:INDEX($Z$19:$Z$3552,MATCH(E4+1,$Y$19:$Y$3552,1),1)))</f>
        <v>1.1066927288605234E-3</v>
      </c>
      <c r="L4" s="107"/>
      <c r="M4" s="107"/>
      <c r="X4"/>
      <c r="Y4"/>
      <c r="Z4"/>
      <c r="AA4"/>
      <c r="AB4"/>
    </row>
    <row r="5" spans="1:28" hidden="1" outlineLevel="1" x14ac:dyDescent="0.2">
      <c r="A5" s="157"/>
      <c r="B5" s="158" t="str">
        <f>_xll.qlPeriodEquivalent(D5&amp;"M")</f>
        <v>5Y</v>
      </c>
      <c r="C5"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17">
        <v>60</v>
      </c>
      <c r="E5" s="159">
        <f t="shared" si="0"/>
        <v>44085</v>
      </c>
      <c r="F5" s="187">
        <f t="shared" si="1"/>
        <v>6</v>
      </c>
      <c r="G5" s="214">
        <f t="shared" si="2"/>
        <v>-1E-3</v>
      </c>
      <c r="H5" s="188">
        <f t="shared" si="3"/>
        <v>0.01</v>
      </c>
      <c r="I5" s="189">
        <f t="shared" si="4"/>
        <v>2.5000000000000001E-3</v>
      </c>
      <c r="J5" s="188">
        <f>MIN(_xll.ohPack($Z$19:INDEX($Z$19:$Z$3552,MATCH(E5+1,$Y$19:$Y$3552,1),1)))</f>
        <v>-4.2033404366335219E-4</v>
      </c>
      <c r="K5" s="189">
        <f>MAX(_xll.ohPack($Z$19:INDEX($Z$19:$Z$3552,MATCH(E5+1,$Y$19:$Y$3552,1),1)))</f>
        <v>9.7939393009040827E-3</v>
      </c>
      <c r="L5" s="107"/>
      <c r="M5" s="107"/>
    </row>
    <row r="6" spans="1:28" hidden="1" outlineLevel="1" x14ac:dyDescent="0.2">
      <c r="A6" s="157" t="s">
        <v>150</v>
      </c>
      <c r="B6" s="158" t="str">
        <f>_xll.qlPeriodEquivalent(D6&amp;"M")</f>
        <v>10Y</v>
      </c>
      <c r="C6" s="159">
        <f>C5</f>
        <v>42185</v>
      </c>
      <c r="D6" s="117">
        <v>120</v>
      </c>
      <c r="E6" s="159">
        <f t="shared" si="0"/>
        <v>45911</v>
      </c>
      <c r="F6" s="187">
        <f t="shared" si="1"/>
        <v>6</v>
      </c>
      <c r="G6" s="214">
        <f t="shared" si="2"/>
        <v>-1E-3</v>
      </c>
      <c r="H6" s="188">
        <f t="shared" si="3"/>
        <v>2.5000000000000001E-2</v>
      </c>
      <c r="I6" s="189">
        <f t="shared" si="4"/>
        <v>5.0000000000000001E-3</v>
      </c>
      <c r="J6" s="188">
        <f>MIN(_xll.ohPack($Z$19:INDEX($Z$19:$Z$3552,MATCH(E6+1,$Y$19:$Y$3552,1),1)))</f>
        <v>-4.2033404366335219E-4</v>
      </c>
      <c r="K6" s="189">
        <f>MAX(_xll.ohPack($Z$19:INDEX($Z$19:$Z$3552,MATCH(E6+1,$Y$19:$Y$3552,1),1)))</f>
        <v>2.0575083780411025E-2</v>
      </c>
      <c r="L6" s="107"/>
      <c r="M6" s="107"/>
    </row>
    <row r="7" spans="1:28" hidden="1" outlineLevel="1" x14ac:dyDescent="0.2">
      <c r="A7" s="157"/>
      <c r="B7" s="158" t="str">
        <f>_xll.qlPeriodEquivalent(D7&amp;"M")</f>
        <v>20Y</v>
      </c>
      <c r="C7" s="159">
        <f>IF(AND(MONTH(C6)=12),C6,_xll.qlDateEndOfMonth(EDATE(C6,-6)))</f>
        <v>42004</v>
      </c>
      <c r="D7" s="117">
        <v>240</v>
      </c>
      <c r="E7" s="159">
        <f t="shared" si="0"/>
        <v>49563</v>
      </c>
      <c r="F7" s="187">
        <f t="shared" si="1"/>
        <v>12</v>
      </c>
      <c r="G7" s="214">
        <f t="shared" si="2"/>
        <v>-1E-3</v>
      </c>
      <c r="H7" s="188">
        <f t="shared" si="3"/>
        <v>2.5000000000000001E-2</v>
      </c>
      <c r="I7" s="189">
        <f t="shared" si="4"/>
        <v>5.0000000000000001E-3</v>
      </c>
      <c r="J7" s="188">
        <f>MIN(_xll.ohPack($Z$19:INDEX($Z$19:$Z$3552,MATCH(E7+1,$Y$19:$Y$3552,1),1)))</f>
        <v>-4.2033404366335219E-4</v>
      </c>
      <c r="K7" s="189">
        <f>MAX(_xll.ohPack($Z$19:INDEX($Z$19:$Z$3552,MATCH(E7+1,$Y$19:$Y$3552,1),1)))</f>
        <v>2.1826347941695707E-2</v>
      </c>
      <c r="L7" s="107"/>
      <c r="M7" s="107"/>
    </row>
    <row r="8" spans="1:28" hidden="1" outlineLevel="1" x14ac:dyDescent="0.2">
      <c r="A8" s="157"/>
      <c r="B8" s="158" t="str">
        <f>_xll.qlPeriodEquivalent(D8&amp;"M")</f>
        <v>30Y</v>
      </c>
      <c r="C8" s="159">
        <f>C7</f>
        <v>42004</v>
      </c>
      <c r="D8" s="117">
        <v>360</v>
      </c>
      <c r="E8" s="159">
        <f t="shared" si="0"/>
        <v>53216</v>
      </c>
      <c r="F8" s="187">
        <f t="shared" si="1"/>
        <v>36</v>
      </c>
      <c r="G8" s="214">
        <f t="shared" si="2"/>
        <v>-1E-3</v>
      </c>
      <c r="H8" s="188">
        <f t="shared" si="3"/>
        <v>2.5000000000000001E-2</v>
      </c>
      <c r="I8" s="189">
        <f t="shared" si="4"/>
        <v>5.0000000000000001E-3</v>
      </c>
      <c r="J8" s="188">
        <f>MIN(_xll.ohPack($Z$19:INDEX($Z$19:$Z$3552,MATCH(E8+1,$Y$19:$Y$3552,1),1)))</f>
        <v>-4.2033404366335219E-4</v>
      </c>
      <c r="K8" s="189">
        <f>MAX(_xll.ohPack($Z$19:INDEX($Z$19:$Z$3552,MATCH(E8+1,$Y$19:$Y$3552,1),1)))</f>
        <v>2.1826347941695707E-2</v>
      </c>
      <c r="L8" s="107"/>
      <c r="M8" s="107"/>
      <c r="AA8" s="118"/>
    </row>
    <row r="9" spans="1:28" ht="12" hidden="1" outlineLevel="1" thickBot="1" x14ac:dyDescent="0.25">
      <c r="A9" s="157"/>
      <c r="B9" s="158" t="str">
        <f>_xll.qlPeriodEquivalent(D9&amp;"M")</f>
        <v>60Y</v>
      </c>
      <c r="C9" s="159">
        <f>C8</f>
        <v>42004</v>
      </c>
      <c r="D9" s="117">
        <f>60*12</f>
        <v>720</v>
      </c>
      <c r="E9" s="159">
        <f t="shared" si="0"/>
        <v>64173</v>
      </c>
      <c r="F9" s="187">
        <f t="shared" si="1"/>
        <v>60</v>
      </c>
      <c r="G9" s="214">
        <f t="shared" si="2"/>
        <v>-1E-3</v>
      </c>
      <c r="H9" s="188">
        <f t="shared" si="3"/>
        <v>2.5000000000000001E-2</v>
      </c>
      <c r="I9" s="189">
        <f t="shared" si="4"/>
        <v>5.0000000000000001E-3</v>
      </c>
      <c r="J9" s="188">
        <f>MIN(_xll.ohPack($Z$19:INDEX($Z$19:$Z$3552,MATCH(E9+1,$Y$19:$Y$3552,1),1)))</f>
        <v>-4.2033404366335219E-4</v>
      </c>
      <c r="K9" s="189">
        <f>MAX(_xll.ohPack($Z$19:INDEX($Z$19:$Z$3552,MATCH(E9+1,$Y$19:$Y$3552,1),1)))</f>
        <v>2.1826347941695707E-2</v>
      </c>
      <c r="L9" s="107"/>
      <c r="M9" s="107"/>
      <c r="AA9" s="118"/>
    </row>
    <row r="10" spans="1:28" hidden="1" outlineLevel="1" x14ac:dyDescent="0.2">
      <c r="A10" s="172"/>
      <c r="B10" s="173" t="str">
        <f>_xll.qlPeriodEquivalent(D10&amp;"M")</f>
        <v>1Y</v>
      </c>
      <c r="C10" s="174">
        <f>C3</f>
        <v>42247</v>
      </c>
      <c r="D10" s="175">
        <v>12</v>
      </c>
      <c r="E10" s="174">
        <f t="shared" si="0"/>
        <v>42624</v>
      </c>
      <c r="F10" s="190">
        <f t="shared" si="1"/>
        <v>1</v>
      </c>
      <c r="G10" s="215">
        <f t="shared" si="2"/>
        <v>-1E-3</v>
      </c>
      <c r="H10" s="191">
        <f t="shared" si="3"/>
        <v>5.0000000000000001E-3</v>
      </c>
      <c r="I10" s="192">
        <f t="shared" si="4"/>
        <v>1E-3</v>
      </c>
      <c r="J10" s="191">
        <f>MIN(_xll.ohPack($AA$19:INDEX($AA$19:$AA$3552,MATCH(E10+1,$Y$19:$Y$3552,1),1)))</f>
        <v>-5.1512844845724715E-4</v>
      </c>
      <c r="K10" s="192">
        <f>MAX(_xll.ohPack($AA$19:INDEX($AA$19:$AA$3552,MATCH(E10+1,$Y$19:$Y$3552,1),1)))</f>
        <v>4.2576711063180284E-3</v>
      </c>
      <c r="L10" s="107"/>
      <c r="M10" s="107"/>
    </row>
    <row r="11" spans="1:28" hidden="1" outlineLevel="1" x14ac:dyDescent="0.2">
      <c r="A11" s="157"/>
      <c r="B11" s="158" t="str">
        <f>_xll.qlPeriodEquivalent(D11&amp;"M")</f>
        <v>2Y</v>
      </c>
      <c r="C11" s="159">
        <f t="shared" ref="C11:C16" si="5">C4</f>
        <v>42185</v>
      </c>
      <c r="D11" s="117">
        <v>24</v>
      </c>
      <c r="E11" s="159">
        <f t="shared" si="0"/>
        <v>42989</v>
      </c>
      <c r="F11" s="187">
        <f t="shared" si="1"/>
        <v>3</v>
      </c>
      <c r="G11" s="214">
        <f t="shared" si="2"/>
        <v>-1E-3</v>
      </c>
      <c r="H11" s="188">
        <f t="shared" si="3"/>
        <v>5.0000000000000001E-3</v>
      </c>
      <c r="I11" s="189">
        <f t="shared" si="4"/>
        <v>1E-3</v>
      </c>
      <c r="J11" s="188">
        <f>MIN(_xll.ohPack($AA$19:INDEX($AA$19:$AA$3552,MATCH(E11+1,$Y$19:$Y$3552,1),1)))</f>
        <v>-5.1512844845724715E-4</v>
      </c>
      <c r="K11" s="189">
        <f>MAX(_xll.ohPack($AA$19:INDEX($AA$19:$AA$3552,MATCH(E11+1,$Y$19:$Y$3552,1),1)))</f>
        <v>4.2576711063180284E-3</v>
      </c>
      <c r="L11" s="107"/>
      <c r="M11" s="107"/>
    </row>
    <row r="12" spans="1:28" hidden="1" outlineLevel="1" x14ac:dyDescent="0.2">
      <c r="A12" s="157"/>
      <c r="B12" s="158" t="str">
        <f>_xll.qlPeriodEquivalent(D12&amp;"M")</f>
        <v>5Y</v>
      </c>
      <c r="C12" s="159">
        <f t="shared" si="5"/>
        <v>42185</v>
      </c>
      <c r="D12" s="117">
        <v>60</v>
      </c>
      <c r="E12" s="159">
        <f t="shared" si="0"/>
        <v>44085</v>
      </c>
      <c r="F12" s="187">
        <f t="shared" si="1"/>
        <v>6</v>
      </c>
      <c r="G12" s="214">
        <f t="shared" si="2"/>
        <v>-1E-3</v>
      </c>
      <c r="H12" s="188">
        <f t="shared" si="3"/>
        <v>0.01</v>
      </c>
      <c r="I12" s="189">
        <f t="shared" si="4"/>
        <v>2.5000000000000001E-3</v>
      </c>
      <c r="J12" s="188">
        <f>MIN(_xll.ohPack($AA$19:INDEX($AA$19:$AA$3552,MATCH(E12+1,$Y$19:$Y$3552,1),1)))</f>
        <v>-5.1512844845724715E-4</v>
      </c>
      <c r="K12" s="189">
        <f>MAX(_xll.ohPack($AA$19:INDEX($AA$19:$AA$3552,MATCH(E12+1,$Y$19:$Y$3552,1),1)))</f>
        <v>9.310824568222742E-3</v>
      </c>
      <c r="L12" s="107"/>
      <c r="M12" s="107"/>
    </row>
    <row r="13" spans="1:28" hidden="1" outlineLevel="1" x14ac:dyDescent="0.2">
      <c r="A13" s="157" t="s">
        <v>151</v>
      </c>
      <c r="B13" s="158" t="str">
        <f>_xll.qlPeriodEquivalent(D13&amp;"M")</f>
        <v>10Y</v>
      </c>
      <c r="C13" s="159">
        <f t="shared" si="5"/>
        <v>42185</v>
      </c>
      <c r="D13" s="117">
        <v>120</v>
      </c>
      <c r="E13" s="159">
        <f t="shared" si="0"/>
        <v>45911</v>
      </c>
      <c r="F13" s="187">
        <f t="shared" si="1"/>
        <v>6</v>
      </c>
      <c r="G13" s="214">
        <f t="shared" si="2"/>
        <v>-1E-3</v>
      </c>
      <c r="H13" s="188">
        <f t="shared" si="3"/>
        <v>2.5000000000000001E-2</v>
      </c>
      <c r="I13" s="189">
        <f t="shared" si="4"/>
        <v>5.0000000000000001E-3</v>
      </c>
      <c r="J13" s="188">
        <f>MIN(_xll.ohPack($AA$19:INDEX($AA$19:$AA$3552,MATCH(E13+1,$Y$19:$Y$3552,1),1)))</f>
        <v>-5.1512844845724715E-4</v>
      </c>
      <c r="K13" s="189">
        <f>MAX(_xll.ohPack($AA$19:INDEX($AA$19:$AA$3552,MATCH(E13+1,$Y$19:$Y$3552,1),1)))</f>
        <v>2.0375613817380511E-2</v>
      </c>
      <c r="L13" s="107"/>
      <c r="M13" s="107"/>
    </row>
    <row r="14" spans="1:28" hidden="1" outlineLevel="1" x14ac:dyDescent="0.2">
      <c r="A14" s="157"/>
      <c r="B14" s="158" t="str">
        <f>_xll.qlPeriodEquivalent(D14&amp;"M")</f>
        <v>20Y</v>
      </c>
      <c r="C14" s="159">
        <f t="shared" si="5"/>
        <v>42004</v>
      </c>
      <c r="D14" s="117">
        <v>240</v>
      </c>
      <c r="E14" s="159">
        <f t="shared" si="0"/>
        <v>49563</v>
      </c>
      <c r="F14" s="187">
        <f t="shared" si="1"/>
        <v>12</v>
      </c>
      <c r="G14" s="214">
        <f t="shared" si="2"/>
        <v>-1E-3</v>
      </c>
      <c r="H14" s="188">
        <f t="shared" si="3"/>
        <v>2.5000000000000001E-2</v>
      </c>
      <c r="I14" s="189">
        <f t="shared" si="4"/>
        <v>5.0000000000000001E-3</v>
      </c>
      <c r="J14" s="188">
        <f>MIN(_xll.ohPack($AA$19:INDEX($AA$19:$AA$3552,MATCH(E14+1,$Y$19:$Y$3552,1),1)))</f>
        <v>-5.1512844845724715E-4</v>
      </c>
      <c r="K14" s="189">
        <f>MAX(_xll.ohPack($AA$19:INDEX($AA$19:$AA$3552,MATCH(E14+1,$Y$19:$Y$3552,1),1)))</f>
        <v>2.1767866715070028E-2</v>
      </c>
      <c r="L14" s="107"/>
      <c r="M14" s="107"/>
    </row>
    <row r="15" spans="1:28" hidden="1" outlineLevel="1" x14ac:dyDescent="0.2">
      <c r="A15" s="157"/>
      <c r="B15" s="158" t="str">
        <f>_xll.qlPeriodEquivalent(D15&amp;"M")</f>
        <v>30Y</v>
      </c>
      <c r="C15" s="159">
        <f t="shared" si="5"/>
        <v>42004</v>
      </c>
      <c r="D15" s="117">
        <v>360</v>
      </c>
      <c r="E15" s="159">
        <f t="shared" si="0"/>
        <v>53216</v>
      </c>
      <c r="F15" s="187">
        <f t="shared" si="1"/>
        <v>36</v>
      </c>
      <c r="G15" s="214">
        <f t="shared" si="2"/>
        <v>-1E-3</v>
      </c>
      <c r="H15" s="188">
        <f t="shared" si="3"/>
        <v>2.5000000000000001E-2</v>
      </c>
      <c r="I15" s="189">
        <f t="shared" si="4"/>
        <v>5.0000000000000001E-3</v>
      </c>
      <c r="J15" s="188">
        <f>MIN(_xll.ohPack($AA$19:INDEX($AA$19:$AA$3552,MATCH(E15+1,$Y$19:$Y$3552,1),1)))</f>
        <v>-5.1512844845724715E-4</v>
      </c>
      <c r="K15" s="189">
        <f>MAX(_xll.ohPack($AA$19:INDEX($AA$19:$AA$3552,MATCH(E15+1,$Y$19:$Y$3552,1),1)))</f>
        <v>2.1767866715070028E-2</v>
      </c>
      <c r="L15" s="107"/>
      <c r="M15" s="107"/>
      <c r="Y15" s="119" t="s">
        <v>152</v>
      </c>
      <c r="Z15" s="119" t="s">
        <v>153</v>
      </c>
    </row>
    <row r="16" spans="1:28" ht="12" hidden="1" outlineLevel="1" thickBot="1" x14ac:dyDescent="0.25">
      <c r="A16" s="184"/>
      <c r="B16" s="158" t="str">
        <f>_xll.qlPeriodEquivalent(D16&amp;"M")</f>
        <v>60Y</v>
      </c>
      <c r="C16" s="159">
        <f t="shared" si="5"/>
        <v>42004</v>
      </c>
      <c r="D16" s="117">
        <v>720</v>
      </c>
      <c r="E16" s="159">
        <f t="shared" si="0"/>
        <v>64173</v>
      </c>
      <c r="F16" s="187">
        <f t="shared" si="1"/>
        <v>60</v>
      </c>
      <c r="G16" s="214">
        <f t="shared" si="2"/>
        <v>-1E-3</v>
      </c>
      <c r="H16" s="188">
        <f t="shared" si="3"/>
        <v>2.5000000000000001E-2</v>
      </c>
      <c r="I16" s="189">
        <f t="shared" si="4"/>
        <v>5.0000000000000001E-3</v>
      </c>
      <c r="J16" s="188">
        <f>MIN(_xll.ohPack($AA$19:INDEX($AA$19:$AA$3552,MATCH(E16+1,$Y$19:$Y$3552,1),1)))</f>
        <v>-5.1512844845724715E-4</v>
      </c>
      <c r="K16" s="189">
        <f>MAX(_xll.ohPack($AA$19:INDEX($AA$19:$AA$3552,MATCH(E16+1,$Y$19:$Y$3552,1),1)))</f>
        <v>2.1767866715070028E-2</v>
      </c>
      <c r="L16" s="107"/>
      <c r="M16" s="107"/>
      <c r="Y16" s="123" t="str">
        <f>_xll.qlEuribor(,IndexTenor,YieldCurve)</f>
        <v>obj_006e2#0006</v>
      </c>
      <c r="Z16" s="123" t="str">
        <f>_xll.qlEonia(,YieldCurve)</f>
        <v>obj_006ec#0006</v>
      </c>
    </row>
    <row r="17" spans="1:27" ht="12" collapsed="1" thickBot="1" x14ac:dyDescent="0.25">
      <c r="A17" s="185"/>
      <c r="B17" s="186"/>
      <c r="C17" s="186"/>
      <c r="D17" s="185"/>
      <c r="E17" s="185"/>
      <c r="F17" s="186"/>
      <c r="G17" s="186"/>
      <c r="H17" s="186"/>
      <c r="I17" s="186"/>
      <c r="J17" s="186"/>
      <c r="K17" s="185"/>
      <c r="L17" s="140"/>
      <c r="M17" s="140"/>
    </row>
    <row r="18" spans="1:27" ht="12" thickBot="1" x14ac:dyDescent="0.25">
      <c r="M18" s="120" t="s">
        <v>176</v>
      </c>
      <c r="N18" s="120" t="s">
        <v>154</v>
      </c>
      <c r="O18" s="121" t="s">
        <v>155</v>
      </c>
      <c r="P18" s="164" t="s">
        <v>69</v>
      </c>
      <c r="Q18" s="121" t="s">
        <v>156</v>
      </c>
      <c r="R18" s="121" t="s">
        <v>158</v>
      </c>
      <c r="S18" s="121" t="s">
        <v>170</v>
      </c>
      <c r="T18" s="137" t="s">
        <v>162</v>
      </c>
      <c r="U18" s="119" t="s">
        <v>163</v>
      </c>
      <c r="V18" s="107"/>
      <c r="W18" s="124" t="s">
        <v>157</v>
      </c>
      <c r="X18" s="125" t="s">
        <v>158</v>
      </c>
      <c r="Y18" s="125" t="s">
        <v>155</v>
      </c>
      <c r="Z18" s="126" t="s">
        <v>169</v>
      </c>
      <c r="AA18" s="127" t="s">
        <v>151</v>
      </c>
    </row>
    <row r="19" spans="1:27" ht="12" thickBot="1" x14ac:dyDescent="0.25">
      <c r="J19" s="108" t="s">
        <v>146</v>
      </c>
      <c r="M19" s="130" t="str">
        <f t="array" ref="M19:M30">_xll.ohFilter(RateHelpers!E9:E20,IF(ISERROR(RateHelpers!G9:G20),FALSE,TRUE))</f>
        <v>obj_006b0#0004</v>
      </c>
      <c r="N19" s="130" t="str">
        <f>_xll.qlRateHelperQuoteName(M19)</f>
        <v>EUR1x4F_Quote</v>
      </c>
      <c r="O19" s="128">
        <f>_xll.qlRateHelperEarliestDate(M19)</f>
        <v>42289</v>
      </c>
      <c r="P19" s="144">
        <f>_xll.qlRateHelperQuoteValue(M19,"ohTrigger(Trigger,RecalcTrigger))")</f>
        <v>-3.8999999999999999E-4</v>
      </c>
      <c r="Q19" s="140" t="e">
        <f>NA()</f>
        <v>#N/A</v>
      </c>
      <c r="R19" s="128">
        <f>_xll.qlInterestRateIndexFixingDate(IborIndex,O19)</f>
        <v>42285</v>
      </c>
      <c r="S19" s="144">
        <f>_xll.qlIndexFixing(IborIndex,R19,TRUE,RecalcTrigger)</f>
        <v>-3.5393367963779728E-4</v>
      </c>
      <c r="T19" s="165">
        <f>S19-P19</f>
        <v>3.6066320362202712E-5</v>
      </c>
      <c r="U19" s="145">
        <f t="array" ref="U19">MAX(ABS(T19:T30))</f>
        <v>3.7802701695803704E-5</v>
      </c>
      <c r="V19" s="122"/>
      <c r="W19" s="130" t="s">
        <v>117</v>
      </c>
      <c r="X19" s="131">
        <f>_xll.qlSettingsEvaluationDate(Trigger)</f>
        <v>42256</v>
      </c>
      <c r="Y19" s="131">
        <f>_xll.qlCalendarAdvance(Calendar,X19,NDays&amp;"D")</f>
        <v>42258</v>
      </c>
      <c r="Z19" s="132">
        <f t="array" ref="Z19:Z3552">IFERROR(_xll.qlIndexFixing(IborIndex,X19:X3552,TRUE,RecalcTrigger),NA())</f>
        <v>-3.6699999999967683E-4</v>
      </c>
      <c r="AA19" s="129">
        <f t="array" ref="AA19:AA3552">IFERROR(_xll.qlIndexFixing(OverNightIndex,Y19:Y3552,TRUE,RecalcTrigger),NA())</f>
        <v>-3.6886837331273625E-4</v>
      </c>
    </row>
    <row r="20" spans="1:27" ht="12" thickBot="1" x14ac:dyDescent="0.25">
      <c r="J20" s="110"/>
      <c r="M20" s="130" t="str">
        <v>obj_006b9#0004</v>
      </c>
      <c r="N20" s="130" t="str">
        <f>_xll.qlRateHelperQuoteName(M20)</f>
        <v>EUR2x5F_Quote</v>
      </c>
      <c r="O20" s="128">
        <f>_xll.qlRateHelperEarliestDate(M20)</f>
        <v>42319</v>
      </c>
      <c r="P20" s="144">
        <f>_xll.qlRateHelperQuoteValue(M20,"ohTrigger(Trigger,RecalcTrigger))")</f>
        <v>-3.8999999999999999E-4</v>
      </c>
      <c r="Q20" s="140" t="e">
        <f>NA()</f>
        <v>#N/A</v>
      </c>
      <c r="R20" s="128">
        <f>_xll.qlInterestRateIndexFixingDate(IborIndex,O20)</f>
        <v>42317</v>
      </c>
      <c r="S20" s="144">
        <f>_xll.qlIndexFixing(IborIndex,R20,TRUE,RecalcTrigger)</f>
        <v>-3.7569409355509015E-4</v>
      </c>
      <c r="T20" s="165">
        <f t="shared" ref="T20:T30" si="6">S20-P20</f>
        <v>1.4305906444909847E-5</v>
      </c>
      <c r="W20" s="130" t="str">
        <f>W19</f>
        <v>1D</v>
      </c>
      <c r="X20" s="128">
        <f>_xll.qlCalendarAdvance(Calendar,X19,W20,"f",FALSE)</f>
        <v>42257</v>
      </c>
      <c r="Y20" s="131">
        <f>_xll.qlCalendarAdvance(Calendar,X20,NDays&amp;"D")</f>
        <v>42261</v>
      </c>
      <c r="Z20" s="132">
        <v>-3.7180536445635681E-4</v>
      </c>
      <c r="AA20" s="129">
        <v>-3.690663160282881E-4</v>
      </c>
    </row>
    <row r="21" spans="1:27" ht="12" thickBot="1" x14ac:dyDescent="0.25">
      <c r="M21" s="130" t="str">
        <v>obj_006b5#0004</v>
      </c>
      <c r="N21" s="130" t="str">
        <f>_xll.qlRateHelperQuoteName(M21)</f>
        <v>EUR3x6F_Quote</v>
      </c>
      <c r="O21" s="128">
        <f>_xll.qlRateHelperEarliestDate(M21)</f>
        <v>42349</v>
      </c>
      <c r="P21" s="144">
        <f>_xll.qlRateHelperQuoteValue(M21,"ohTrigger(Trigger,RecalcTrigger))")</f>
        <v>-3.7999999999999997E-4</v>
      </c>
      <c r="Q21" s="140" t="e">
        <f>NA()</f>
        <v>#N/A</v>
      </c>
      <c r="R21" s="128">
        <f>_xll.qlInterestRateIndexFixingDate(IborIndex,O21)</f>
        <v>42347</v>
      </c>
      <c r="S21" s="144">
        <f>_xll.qlIndexFixing(IborIndex,R21,TRUE,RecalcTrigger)</f>
        <v>-3.8015503039874626E-4</v>
      </c>
      <c r="T21" s="165">
        <f t="shared" si="6"/>
        <v>-1.5503039874629251E-7</v>
      </c>
      <c r="W21" s="130" t="str">
        <f t="shared" ref="W21:W84" si="7">W20</f>
        <v>1D</v>
      </c>
      <c r="X21" s="128">
        <f>_xll.qlCalendarAdvance(Calendar,X20,W21,"f",FALSE)</f>
        <v>42258</v>
      </c>
      <c r="Y21" s="131">
        <f>_xll.qlCalendarAdvance(Calendar,X21,NDays&amp;"D")</f>
        <v>42262</v>
      </c>
      <c r="Z21" s="132">
        <v>-3.7341029362833548E-4</v>
      </c>
      <c r="AA21" s="129">
        <v>-3.6923565716939777E-4</v>
      </c>
    </row>
    <row r="22" spans="1:27" ht="23.25" thickBot="1" x14ac:dyDescent="0.25">
      <c r="J22" s="197" t="s">
        <v>178</v>
      </c>
      <c r="M22" s="130" t="str">
        <v>obj_006b2#0004</v>
      </c>
      <c r="N22" s="130" t="str">
        <f>_xll.qlRateHelperQuoteName(M22)</f>
        <v>EUR4x7F_Quote</v>
      </c>
      <c r="O22" s="128">
        <f>_xll.qlRateHelperEarliestDate(M22)</f>
        <v>42380</v>
      </c>
      <c r="P22" s="144">
        <f>_xll.qlRateHelperQuoteValue(M22,"ohTrigger(Trigger,RecalcTrigger))")</f>
        <v>-3.8999999999999999E-4</v>
      </c>
      <c r="Q22" s="140" t="e">
        <f>NA()</f>
        <v>#N/A</v>
      </c>
      <c r="R22" s="128">
        <f>_xll.qlInterestRateIndexFixingDate(IborIndex,O22)</f>
        <v>42376</v>
      </c>
      <c r="S22" s="144">
        <f>_xll.qlIndexFixing(IborIndex,R22,TRUE,RecalcTrigger)</f>
        <v>-4.1663528743238535E-4</v>
      </c>
      <c r="T22" s="165">
        <f t="shared" si="6"/>
        <v>-2.6635287432385352E-5</v>
      </c>
      <c r="W22" s="130" t="str">
        <f t="shared" si="7"/>
        <v>1D</v>
      </c>
      <c r="X22" s="128">
        <f>_xll.qlCalendarAdvance(Calendar,X21,W22,"f",FALSE)</f>
        <v>42261</v>
      </c>
      <c r="Y22" s="131">
        <f>_xll.qlCalendarAdvance(Calendar,X22,NDays&amp;"D")</f>
        <v>42263</v>
      </c>
      <c r="Z22" s="132">
        <v>-3.7500000111486358E-4</v>
      </c>
      <c r="AA22" s="129">
        <v>-3.6944733372568095E-4</v>
      </c>
    </row>
    <row r="23" spans="1:27" ht="12" thickBot="1" x14ac:dyDescent="0.25">
      <c r="J23" s="196" t="str">
        <f>ROUNDDOWN((_xll.qlTermStructureMaxDate(YieldCurve,Trigger)-_xll.qlTermStructureReferenceDate(YieldCurve,Trigger))/365,)&amp;"Y"</f>
        <v>60Y</v>
      </c>
      <c r="M23" s="130" t="str">
        <v>obj_006bb#0004</v>
      </c>
      <c r="N23" s="130" t="str">
        <f>_xll.qlRateHelperQuoteName(M23)</f>
        <v>EUR5x8F_Quote</v>
      </c>
      <c r="O23" s="128">
        <f>_xll.qlRateHelperEarliestDate(M23)</f>
        <v>42411</v>
      </c>
      <c r="P23" s="144">
        <f>_xll.qlRateHelperQuoteValue(M23,"ohTrigger(Trigger,RecalcTrigger))")</f>
        <v>-3.7999999999999997E-4</v>
      </c>
      <c r="Q23" s="140" t="e">
        <f>NA()</f>
        <v>#N/A</v>
      </c>
      <c r="R23" s="128">
        <f>_xll.qlInterestRateIndexFixingDate(IborIndex,O23)</f>
        <v>42409</v>
      </c>
      <c r="S23" s="144">
        <f>_xll.qlIndexFixing(IborIndex,R23,TRUE,RecalcTrigger)</f>
        <v>-3.8134851375515311E-4</v>
      </c>
      <c r="T23" s="165">
        <f t="shared" si="6"/>
        <v>-1.3485137551531401E-6</v>
      </c>
      <c r="W23" s="130" t="str">
        <f t="shared" si="7"/>
        <v>1D</v>
      </c>
      <c r="X23" s="128">
        <f>_xll.qlCalendarAdvance(Calendar,X22,W23,"f",FALSE)</f>
        <v>42262</v>
      </c>
      <c r="Y23" s="131">
        <f>_xll.qlCalendarAdvance(Calendar,X23,NDays&amp;"D")</f>
        <v>42264</v>
      </c>
      <c r="Z23" s="132">
        <v>-3.7656605667877344E-4</v>
      </c>
      <c r="AA23" s="129">
        <v>-3.6970134537739341E-4</v>
      </c>
    </row>
    <row r="24" spans="1:27" x14ac:dyDescent="0.2">
      <c r="M24" s="130" t="str">
        <v>obj_006b7#0004</v>
      </c>
      <c r="N24" s="130" t="str">
        <f>_xll.qlRateHelperQuoteName(M24)</f>
        <v>EUR6x9F_Quote</v>
      </c>
      <c r="O24" s="128">
        <f>_xll.qlRateHelperEarliestDate(M24)</f>
        <v>42440</v>
      </c>
      <c r="P24" s="144">
        <f>_xll.qlRateHelperQuoteValue(M24,"ohTrigger(Trigger,RecalcTrigger))")</f>
        <v>-3.7999999999999997E-4</v>
      </c>
      <c r="Q24" s="140" t="e">
        <f>NA()</f>
        <v>#N/A</v>
      </c>
      <c r="R24" s="128">
        <f>_xll.qlInterestRateIndexFixingDate(IborIndex,O24)</f>
        <v>42438</v>
      </c>
      <c r="S24" s="144">
        <f>_xll.qlIndexFixing(IborIndex,R24,TRUE,RecalcTrigger)</f>
        <v>-3.7493800384212362E-4</v>
      </c>
      <c r="T24" s="165">
        <f t="shared" si="6"/>
        <v>5.0619961578763457E-6</v>
      </c>
      <c r="W24" s="130" t="str">
        <f t="shared" si="7"/>
        <v>1D</v>
      </c>
      <c r="X24" s="128">
        <f>_xll.qlCalendarAdvance(Calendar,X23,W24,"f",FALSE)</f>
        <v>42263</v>
      </c>
      <c r="Y24" s="131">
        <f>_xll.qlCalendarAdvance(Calendar,X24,NDays&amp;"D")</f>
        <v>42265</v>
      </c>
      <c r="Z24" s="132">
        <v>-3.7810661031859434E-4</v>
      </c>
      <c r="AA24" s="129">
        <v>-3.703501056762093E-4</v>
      </c>
    </row>
    <row r="25" spans="1:27" x14ac:dyDescent="0.2">
      <c r="M25" s="130" t="str">
        <v>obj_006b3#0004</v>
      </c>
      <c r="N25" s="130" t="str">
        <f>_xll.qlRateHelperQuoteName(M25)</f>
        <v>EUR7x10F_Quote</v>
      </c>
      <c r="O25" s="128">
        <f>_xll.qlRateHelperEarliestDate(M25)</f>
        <v>42471</v>
      </c>
      <c r="P25" s="144">
        <f>_xll.qlRateHelperQuoteValue(M25,"ohTrigger(Trigger,RecalcTrigger))")</f>
        <v>-3.6999999999999999E-4</v>
      </c>
      <c r="Q25" s="140" t="e">
        <f>NA()</f>
        <v>#N/A</v>
      </c>
      <c r="R25" s="128">
        <f>_xll.qlInterestRateIndexFixingDate(IborIndex,O25)</f>
        <v>42467</v>
      </c>
      <c r="S25" s="144">
        <f>_xll.qlIndexFixing(IborIndex,R25,TRUE,RecalcTrigger)</f>
        <v>-3.3219729830419629E-4</v>
      </c>
      <c r="T25" s="165">
        <f t="shared" si="6"/>
        <v>3.7802701695803704E-5</v>
      </c>
      <c r="W25" s="130" t="str">
        <f t="shared" si="7"/>
        <v>1D</v>
      </c>
      <c r="X25" s="128">
        <f>_xll.qlCalendarAdvance(Calendar,X24,W25,"f",FALSE)</f>
        <v>42264</v>
      </c>
      <c r="Y25" s="131">
        <f>_xll.qlCalendarAdvance(Calendar,X25,NDays&amp;"D")</f>
        <v>42268</v>
      </c>
      <c r="Z25" s="132">
        <v>-3.8257321022918897E-4</v>
      </c>
      <c r="AA25" s="129">
        <v>-3.7114074553645793E-4</v>
      </c>
    </row>
    <row r="26" spans="1:27" x14ac:dyDescent="0.2">
      <c r="M26" s="130" t="str">
        <v>obj_006b6#0004</v>
      </c>
      <c r="N26" s="130" t="str">
        <f>_xll.qlRateHelperQuoteName(M26)</f>
        <v>EUR8x11F_Quote</v>
      </c>
      <c r="O26" s="128">
        <f>_xll.qlRateHelperEarliestDate(M26)</f>
        <v>42501</v>
      </c>
      <c r="P26" s="144">
        <f>_xll.qlRateHelperQuoteValue(M26,"ohTrigger(Trigger,RecalcTrigger))")</f>
        <v>-3.5999999999999997E-4</v>
      </c>
      <c r="Q26" s="140" t="e">
        <f>NA()</f>
        <v>#N/A</v>
      </c>
      <c r="R26" s="128">
        <f>_xll.qlInterestRateIndexFixingDate(IborIndex,O26)</f>
        <v>42499</v>
      </c>
      <c r="S26" s="144">
        <f>_xll.qlIndexFixing(IborIndex,R26,TRUE,RecalcTrigger)</f>
        <v>-3.4098954562314984E-4</v>
      </c>
      <c r="T26" s="165">
        <f t="shared" si="6"/>
        <v>1.9010454376850133E-5</v>
      </c>
      <c r="W26" s="130" t="str">
        <f t="shared" si="7"/>
        <v>1D</v>
      </c>
      <c r="X26" s="128">
        <f>_xll.qlCalendarAdvance(Calendar,X25,W26,"f",FALSE)</f>
        <v>42265</v>
      </c>
      <c r="Y26" s="131">
        <f>_xll.qlCalendarAdvance(Calendar,X26,NDays&amp;"D")</f>
        <v>42269</v>
      </c>
      <c r="Z26" s="132">
        <v>-3.840097067118333E-4</v>
      </c>
      <c r="AA26" s="129">
        <v>-3.7160643370448554E-4</v>
      </c>
    </row>
    <row r="27" spans="1:27" x14ac:dyDescent="0.2">
      <c r="M27" s="140" t="str">
        <v>obj_006ba#0004</v>
      </c>
      <c r="N27" s="130" t="str">
        <f>_xll.qlRateHelperQuoteName(M27)</f>
        <v>EUR9x12F_Quote</v>
      </c>
      <c r="O27" s="128">
        <f>_xll.qlRateHelperEarliestDate(M27)</f>
        <v>42534</v>
      </c>
      <c r="P27" s="144">
        <f>_xll.qlRateHelperQuoteValue(M27,"ohTrigger(Trigger,RecalcTrigger))")</f>
        <v>-3.4999999999999994E-4</v>
      </c>
      <c r="Q27" s="140" t="e">
        <f>NA()</f>
        <v>#N/A</v>
      </c>
      <c r="R27" s="128">
        <f>_xll.qlInterestRateIndexFixingDate(IborIndex,O27)</f>
        <v>42530</v>
      </c>
      <c r="S27" s="144">
        <f>_xll.qlIndexFixing(IborIndex,R27,TRUE,RecalcTrigger)</f>
        <v>-3.2817216006849085E-4</v>
      </c>
      <c r="T27" s="165">
        <f t="shared" si="6"/>
        <v>2.1827839931509089E-5</v>
      </c>
      <c r="W27" s="130" t="str">
        <f t="shared" si="7"/>
        <v>1D</v>
      </c>
      <c r="X27" s="128">
        <f>_xll.qlCalendarAdvance(Calendar,X26,W27,"f",FALSE)</f>
        <v>42268</v>
      </c>
      <c r="Y27" s="131">
        <f>_xll.qlCalendarAdvance(Calendar,X27,NDays&amp;"D")</f>
        <v>42270</v>
      </c>
      <c r="Z27" s="132">
        <v>-3.854196765401979E-4</v>
      </c>
      <c r="AA27" s="129">
        <v>-3.7211445732765469E-4</v>
      </c>
    </row>
    <row r="28" spans="1:27" x14ac:dyDescent="0.2">
      <c r="M28" s="140" t="str">
        <v>obj_006b8#0004</v>
      </c>
      <c r="N28" s="130" t="str">
        <f>_xll.qlRateHelperQuoteName(M28)</f>
        <v>EUR10x13F_Quote</v>
      </c>
      <c r="O28" s="128">
        <f>_xll.qlRateHelperEarliestDate(M28)</f>
        <v>42562</v>
      </c>
      <c r="P28" s="144">
        <f>_xll.qlRateHelperQuoteValue(M28,"ohTrigger(Trigger,RecalcTrigger))")</f>
        <v>-3.0999999999999995E-4</v>
      </c>
      <c r="Q28" s="140" t="e">
        <f>NA()</f>
        <v>#N/A</v>
      </c>
      <c r="R28" s="128">
        <f>_xll.qlInterestRateIndexFixingDate(IborIndex,O28)</f>
        <v>42558</v>
      </c>
      <c r="S28" s="144">
        <f>_xll.qlIndexFixing(IborIndex,R28,TRUE,RecalcTrigger)</f>
        <v>-3.1957496997909345E-4</v>
      </c>
      <c r="T28" s="165">
        <f t="shared" si="6"/>
        <v>-9.5749699790935059E-6</v>
      </c>
      <c r="W28" s="130" t="str">
        <f t="shared" si="7"/>
        <v>1D</v>
      </c>
      <c r="X28" s="128">
        <f>_xll.qlCalendarAdvance(Calendar,X27,W28,"f",FALSE)</f>
        <v>42269</v>
      </c>
      <c r="Y28" s="131">
        <f>_xll.qlCalendarAdvance(Calendar,X28,NDays&amp;"D")</f>
        <v>42271</v>
      </c>
      <c r="Z28" s="132">
        <v>-3.8680291476789322E-4</v>
      </c>
      <c r="AA28" s="129">
        <v>-3.7266481620612524E-4</v>
      </c>
    </row>
    <row r="29" spans="1:27" x14ac:dyDescent="0.2">
      <c r="M29" s="140" t="str">
        <v>obj_006b4#0004</v>
      </c>
      <c r="N29" s="130" t="str">
        <f>_xll.qlRateHelperQuoteName(M29)</f>
        <v>EUR11x14F_Quote</v>
      </c>
      <c r="O29" s="128">
        <f>_xll.qlRateHelperEarliestDate(M29)</f>
        <v>42593</v>
      </c>
      <c r="P29" s="144">
        <f>_xll.qlRateHelperQuoteValue(M29,"ohTrigger(Trigger,RecalcTrigger))")</f>
        <v>-2.7000000000000006E-4</v>
      </c>
      <c r="Q29" s="140" t="e">
        <f>NA()</f>
        <v>#N/A</v>
      </c>
      <c r="R29" s="128">
        <f>_xll.qlInterestRateIndexFixingDate(IborIndex,O29)</f>
        <v>42591</v>
      </c>
      <c r="S29" s="144">
        <f>_xll.qlIndexFixing(IborIndex,R29,TRUE,RecalcTrigger)</f>
        <v>-2.7068706804718278E-4</v>
      </c>
      <c r="T29" s="165">
        <f t="shared" si="6"/>
        <v>-6.8706804718271812E-7</v>
      </c>
      <c r="W29" s="130" t="str">
        <f t="shared" si="7"/>
        <v>1D</v>
      </c>
      <c r="X29" s="128">
        <f>_xll.qlCalendarAdvance(Calendar,X28,W29,"f",FALSE)</f>
        <v>42270</v>
      </c>
      <c r="Y29" s="131">
        <f>_xll.qlCalendarAdvance(Calendar,X29,NDays&amp;"D")</f>
        <v>42272</v>
      </c>
      <c r="Z29" s="132">
        <v>-3.9148375340278437E-4</v>
      </c>
      <c r="AA29" s="129">
        <v>-3.7390626319133702E-4</v>
      </c>
    </row>
    <row r="30" spans="1:27" ht="12" thickBot="1" x14ac:dyDescent="0.25">
      <c r="M30" s="140" t="str">
        <v>obj_006b1#0004</v>
      </c>
      <c r="N30" s="130" t="str">
        <f>_xll.qlRateHelperQuoteName(M30)</f>
        <v>EUR12x15F_Quote</v>
      </c>
      <c r="O30" s="128">
        <f>_xll.qlRateHelperEarliestDate(M30)</f>
        <v>42625</v>
      </c>
      <c r="P30" s="144">
        <f>_xll.qlRateHelperQuoteValue(M30,"ohTrigger(Trigger,RecalcTrigger))")</f>
        <v>-2.1999999999999998E-4</v>
      </c>
      <c r="Q30" s="140" t="e">
        <f>NA()</f>
        <v>#N/A</v>
      </c>
      <c r="R30" s="128">
        <f>_xll.qlInterestRateIndexFixingDate(IborIndex,O30)</f>
        <v>42621</v>
      </c>
      <c r="S30" s="144">
        <f>_xll.qlIndexFixing(IborIndex,R30,TRUE,RecalcTrigger)</f>
        <v>-1.9131439684724597E-4</v>
      </c>
      <c r="T30" s="165">
        <f t="shared" si="6"/>
        <v>2.8685603152754007E-5</v>
      </c>
      <c r="W30" s="130" t="str">
        <f t="shared" si="7"/>
        <v>1D</v>
      </c>
      <c r="X30" s="128">
        <f>_xll.qlCalendarAdvance(Calendar,X29,W30,"f",FALSE)</f>
        <v>42271</v>
      </c>
      <c r="Y30" s="131">
        <f>_xll.qlCalendarAdvance(Calendar,X30,NDays&amp;"D")</f>
        <v>42275</v>
      </c>
      <c r="Z30" s="132">
        <v>-3.9206445272969712E-4</v>
      </c>
      <c r="AA30" s="129">
        <v>-3.7528960451282956E-4</v>
      </c>
    </row>
    <row r="31" spans="1:27" ht="12" thickBot="1" x14ac:dyDescent="0.25">
      <c r="M31" s="185"/>
      <c r="N31" s="176"/>
      <c r="O31" s="185"/>
      <c r="P31" s="185"/>
      <c r="Q31" s="185"/>
      <c r="R31" s="185"/>
      <c r="S31" s="185"/>
      <c r="T31" s="182"/>
      <c r="W31" s="130" t="str">
        <f t="shared" si="7"/>
        <v>1D</v>
      </c>
      <c r="X31" s="128">
        <f>_xll.qlCalendarAdvance(Calendar,X30,W31,"f",FALSE)</f>
        <v>42272</v>
      </c>
      <c r="Y31" s="131">
        <f>_xll.qlCalendarAdvance(Calendar,X31,NDays&amp;"D")</f>
        <v>42276</v>
      </c>
      <c r="Z31" s="132">
        <v>-3.9331095874678364E-4</v>
      </c>
      <c r="AA31" s="129">
        <v>-3.7605163986764722E-4</v>
      </c>
    </row>
    <row r="32" spans="1:27" x14ac:dyDescent="0.2">
      <c r="M32" s="121"/>
      <c r="N32" s="120" t="s">
        <v>171</v>
      </c>
      <c r="O32" s="121" t="s">
        <v>155</v>
      </c>
      <c r="P32" s="164" t="s">
        <v>69</v>
      </c>
      <c r="Q32" s="121" t="s">
        <v>156</v>
      </c>
      <c r="R32" s="121" t="s">
        <v>158</v>
      </c>
      <c r="S32" s="121" t="s">
        <v>170</v>
      </c>
      <c r="T32" s="137" t="s">
        <v>162</v>
      </c>
      <c r="U32" s="119" t="s">
        <v>163</v>
      </c>
      <c r="W32" s="130" t="str">
        <f t="shared" si="7"/>
        <v>1D</v>
      </c>
      <c r="X32" s="128">
        <f>_xll.qlCalendarAdvance(Calendar,X31,W32,"f",FALSE)</f>
        <v>42275</v>
      </c>
      <c r="Y32" s="131">
        <f>_xll.qlCalendarAdvance(Calendar,X32,NDays&amp;"D")</f>
        <v>42277</v>
      </c>
      <c r="Z32" s="132">
        <v>-3.9551443014793921E-4</v>
      </c>
      <c r="AA32" s="129">
        <v>1.9914430816392326E-4</v>
      </c>
    </row>
    <row r="33" spans="10:27" x14ac:dyDescent="0.2">
      <c r="M33" s="161" t="str">
        <f t="array" ref="M33:M66">_xll.ohFilter(RateHelpers!E21:E62,RateHelpers!Q21:Q62)</f>
        <v>obj_005bc#0004</v>
      </c>
      <c r="N33" s="130" t="str">
        <f>_xll.qlRateHelperQuoteName(M33)</f>
        <v>EURFUT3MU5_Quote</v>
      </c>
      <c r="O33" s="128">
        <f>_xll.qlRateHelperEarliestDate(M33)</f>
        <v>42263</v>
      </c>
      <c r="P33" s="144">
        <f>1-_xll.qlRateHelperQuoteValue(M33,_xll.ohTrigger(RecalcTrigger,Trigger))/100</f>
        <v>-3.7500000000001421E-4</v>
      </c>
      <c r="Q33" s="132" t="e">
        <f>NA()</f>
        <v>#N/A</v>
      </c>
      <c r="R33" s="128">
        <f>_xll.qlInterestRateIndexFixingDate(IborIndex,O33)</f>
        <v>42261</v>
      </c>
      <c r="S33" s="144">
        <f>_xll.qlIndexFixing(IborIndex,R33,TRUE,RecalcTrigger)</f>
        <v>-3.7500000111486358E-4</v>
      </c>
      <c r="T33" s="165">
        <f t="shared" ref="T33:T66" si="8">S33-P33</f>
        <v>-1.1148493695052608E-12</v>
      </c>
      <c r="U33" s="145">
        <f t="array" ref="U33">MAX(ABS(T33:T41))</f>
        <v>2.2683998337378166E-5</v>
      </c>
      <c r="W33" s="130" t="str">
        <f t="shared" si="7"/>
        <v>1D</v>
      </c>
      <c r="X33" s="128">
        <f>_xll.qlCalendarAdvance(Calendar,X32,W33,"f",FALSE)</f>
        <v>42276</v>
      </c>
      <c r="Y33" s="131">
        <f>_xll.qlCalendarAdvance(Calendar,X33,NDays&amp;"D")</f>
        <v>42278</v>
      </c>
      <c r="Z33" s="132">
        <v>-3.4739374381479625E-4</v>
      </c>
      <c r="AA33" s="129">
        <v>-3.7770271638315478E-4</v>
      </c>
    </row>
    <row r="34" spans="10:27" x14ac:dyDescent="0.2">
      <c r="M34" s="161" t="str">
        <v>obj_005b0#0004</v>
      </c>
      <c r="N34" s="130" t="str">
        <f>_xll.qlRateHelperQuoteName(M34)</f>
        <v>EURFUT3MZ5_Quote</v>
      </c>
      <c r="O34" s="128">
        <f>_xll.qlRateHelperEarliestDate(M34)</f>
        <v>42354</v>
      </c>
      <c r="P34" s="144">
        <f>1-_xll.qlRateHelperQuoteValue(M34,_xll.ohTrigger(RecalcTrigger,Trigger))/100</f>
        <v>-3.7500000000001421E-4</v>
      </c>
      <c r="Q34" s="132" t="e">
        <f>NA()</f>
        <v>#N/A</v>
      </c>
      <c r="R34" s="128">
        <f>_xll.qlInterestRateIndexFixingDate(IborIndex,O34)</f>
        <v>42352</v>
      </c>
      <c r="S34" s="144">
        <f>_xll.qlIndexFixing(IborIndex,R34,TRUE,RecalcTrigger)</f>
        <v>-3.7499999999927245E-4</v>
      </c>
      <c r="T34" s="165">
        <f t="shared" si="8"/>
        <v>7.4175691630595786E-16</v>
      </c>
      <c r="W34" s="130" t="str">
        <f t="shared" si="7"/>
        <v>1D</v>
      </c>
      <c r="X34" s="128">
        <f>_xll.qlCalendarAdvance(Calendar,X33,W34,"f",FALSE)</f>
        <v>42277</v>
      </c>
      <c r="Y34" s="131">
        <f>_xll.qlCalendarAdvance(Calendar,X34,NDays&amp;"D")</f>
        <v>42279</v>
      </c>
      <c r="Z34" s="132">
        <v>-3.4707167207491602E-4</v>
      </c>
      <c r="AA34" s="129">
        <v>-3.7953684571156998E-4</v>
      </c>
    </row>
    <row r="35" spans="10:27" x14ac:dyDescent="0.2">
      <c r="M35" s="161" t="str">
        <v>obj_00598#0004</v>
      </c>
      <c r="N35" s="130" t="str">
        <f>_xll.qlRateHelperQuoteName(M35)</f>
        <v>EURFUT3MH6_Quote</v>
      </c>
      <c r="O35" s="128">
        <f>_xll.qlRateHelperEarliestDate(M35)</f>
        <v>42445</v>
      </c>
      <c r="P35" s="144">
        <f>1-_xll.qlRateHelperQuoteValue(M35,_xll.ohTrigger(RecalcTrigger,Trigger))/100</f>
        <v>-3.7500000000001421E-4</v>
      </c>
      <c r="Q35" s="132" t="e">
        <f>NA()</f>
        <v>#N/A</v>
      </c>
      <c r="R35" s="128">
        <f>_xll.qlInterestRateIndexFixingDate(IborIndex,O35)</f>
        <v>42443</v>
      </c>
      <c r="S35" s="144">
        <f>_xll.qlIndexFixing(IborIndex,R35,TRUE,RecalcTrigger)</f>
        <v>-3.75000000000719E-4</v>
      </c>
      <c r="T35" s="165">
        <f t="shared" si="8"/>
        <v>-7.0478562222420216E-16</v>
      </c>
      <c r="W35" s="130" t="str">
        <f t="shared" si="7"/>
        <v>1D</v>
      </c>
      <c r="X35" s="128">
        <f>_xll.qlCalendarAdvance(Calendar,X34,W35,"f",FALSE)</f>
        <v>42278</v>
      </c>
      <c r="Y35" s="131">
        <f>_xll.qlCalendarAdvance(Calendar,X35,NDays&amp;"D")</f>
        <v>42282</v>
      </c>
      <c r="Z35" s="132">
        <v>-3.4742321741759491E-4</v>
      </c>
      <c r="AA35" s="129">
        <v>-3.8151289299737101E-4</v>
      </c>
    </row>
    <row r="36" spans="10:27" x14ac:dyDescent="0.2">
      <c r="M36" s="161" t="str">
        <v>obj_005a2#0004</v>
      </c>
      <c r="N36" s="130" t="str">
        <f>_xll.qlRateHelperQuoteName(M36)</f>
        <v>EURFUT3MM6_Quote</v>
      </c>
      <c r="O36" s="128">
        <f>_xll.qlRateHelperEarliestDate(M36)</f>
        <v>42536</v>
      </c>
      <c r="P36" s="144">
        <f>1-_xll.qlRateHelperQuoteValue(M36,_xll.ohTrigger(RecalcTrigger,Trigger))/100</f>
        <v>-3.249999999999087E-4</v>
      </c>
      <c r="Q36" s="132" t="e">
        <f>NA()</f>
        <v>#N/A</v>
      </c>
      <c r="R36" s="128">
        <f>_xll.qlInterestRateIndexFixingDate(IborIndex,O36)</f>
        <v>42534</v>
      </c>
      <c r="S36" s="144">
        <f>_xll.qlIndexFixing(IborIndex,R36,TRUE,RecalcTrigger)</f>
        <v>-3.2499999963372819E-4</v>
      </c>
      <c r="T36" s="165">
        <f t="shared" si="8"/>
        <v>3.6618050171938199E-13</v>
      </c>
      <c r="W36" s="130" t="str">
        <f t="shared" si="7"/>
        <v>1D</v>
      </c>
      <c r="X36" s="128">
        <f>_xll.qlCalendarAdvance(Calendar,X35,W36,"f",FALSE)</f>
        <v>42279</v>
      </c>
      <c r="Y36" s="131">
        <f>_xll.qlCalendarAdvance(Calendar,X36,NDays&amp;"D")</f>
        <v>42283</v>
      </c>
      <c r="Z36" s="132">
        <v>-3.4844075524246339E-4</v>
      </c>
      <c r="AA36" s="129">
        <v>-3.8257127525920254E-4</v>
      </c>
    </row>
    <row r="37" spans="10:27" x14ac:dyDescent="0.2">
      <c r="M37" s="161" t="str">
        <v>obj_0059f#0004</v>
      </c>
      <c r="N37" s="130" t="str">
        <f>_xll.qlRateHelperQuoteName(M37)</f>
        <v>EURFUT3MU6_Quote</v>
      </c>
      <c r="O37" s="128">
        <f>_xll.qlRateHelperEarliestDate(M37)</f>
        <v>42634</v>
      </c>
      <c r="P37" s="144">
        <f>1-_xll.qlRateHelperQuoteValue(M37,_xll.ohTrigger(RecalcTrigger,Trigger))/100</f>
        <v>-1.7500000000003624E-4</v>
      </c>
      <c r="Q37" s="132" t="e">
        <f>NA()</f>
        <v>#N/A</v>
      </c>
      <c r="R37" s="128">
        <f>_xll.qlInterestRateIndexFixingDate(IborIndex,O37)</f>
        <v>42632</v>
      </c>
      <c r="S37" s="144">
        <f>_xll.qlIndexFixing(IborIndex,R37,TRUE,RecalcTrigger)</f>
        <v>-1.7500000010732528E-4</v>
      </c>
      <c r="T37" s="165">
        <f t="shared" si="8"/>
        <v>-1.07289042016942E-13</v>
      </c>
      <c r="W37" s="130" t="str">
        <f t="shared" si="7"/>
        <v>1D</v>
      </c>
      <c r="X37" s="128">
        <f>_xll.qlCalendarAdvance(Calendar,X36,W37,"f",FALSE)</f>
        <v>42282</v>
      </c>
      <c r="Y37" s="131">
        <f>_xll.qlCalendarAdvance(Calendar,X37,NDays&amp;"D")</f>
        <v>42284</v>
      </c>
      <c r="Z37" s="132">
        <v>-3.4942947368306153E-4</v>
      </c>
      <c r="AA37" s="129">
        <v>-3.8367199301614363E-4</v>
      </c>
    </row>
    <row r="38" spans="10:27" x14ac:dyDescent="0.2">
      <c r="M38" s="161" t="str">
        <v>obj_005b1#0004</v>
      </c>
      <c r="N38" s="130" t="str">
        <f>_xll.qlRateHelperQuoteName(M38)</f>
        <v>EURFUT3MZ6_Quote</v>
      </c>
      <c r="O38" s="128">
        <f>_xll.qlRateHelperEarliestDate(M38)</f>
        <v>42725</v>
      </c>
      <c r="P38" s="144">
        <f>1-_xll.qlRateHelperQuoteValue(M38,_xll.ohTrigger(RecalcTrigger,Trigger))/100</f>
        <v>2.4999999999941735E-5</v>
      </c>
      <c r="Q38" s="132" t="e">
        <f>NA()</f>
        <v>#N/A</v>
      </c>
      <c r="R38" s="128">
        <f>_xll.qlInterestRateIndexFixingDate(IborIndex,O38)</f>
        <v>42723</v>
      </c>
      <c r="S38" s="144">
        <f>_xll.qlIndexFixing(IborIndex,R38,TRUE,RecalcTrigger)</f>
        <v>2.4999999999941735E-5</v>
      </c>
      <c r="T38" s="165">
        <f t="shared" si="8"/>
        <v>0</v>
      </c>
      <c r="W38" s="130" t="str">
        <f t="shared" si="7"/>
        <v>1D</v>
      </c>
      <c r="X38" s="128">
        <f>_xll.qlCalendarAdvance(Calendar,X37,W38,"f",FALSE)</f>
        <v>42283</v>
      </c>
      <c r="Y38" s="131">
        <f>_xll.qlCalendarAdvance(Calendar,X38,NDays&amp;"D")</f>
        <v>42285</v>
      </c>
      <c r="Z38" s="132">
        <v>-3.5038917000981709E-4</v>
      </c>
      <c r="AA38" s="129">
        <v>-3.8481504594845006E-4</v>
      </c>
    </row>
    <row r="39" spans="10:27" x14ac:dyDescent="0.2">
      <c r="M39" s="161" t="str">
        <v>obj_0059c#0004</v>
      </c>
      <c r="N39" s="130" t="str">
        <f>_xll.qlRateHelperQuoteName(M39)</f>
        <v>EURFUT3MH7_Quote</v>
      </c>
      <c r="O39" s="128">
        <f>_xll.qlRateHelperEarliestDate(M39)</f>
        <v>42809</v>
      </c>
      <c r="P39" s="144">
        <f>1-_xll.qlRateHelperQuoteValue(M39,_xll.ohTrigger(RecalcTrigger,Trigger))/100</f>
        <v>3.2500000000001972E-4</v>
      </c>
      <c r="Q39" s="132" t="e">
        <f>NA()</f>
        <v>#N/A</v>
      </c>
      <c r="R39" s="128">
        <f>_xll.qlInterestRateIndexFixingDate(IborIndex,O39)</f>
        <v>42807</v>
      </c>
      <c r="S39" s="144">
        <f>_xll.qlIndexFixing(IborIndex,R39,TRUE,RecalcTrigger)</f>
        <v>3.2500000038052215E-4</v>
      </c>
      <c r="T39" s="165">
        <f t="shared" si="8"/>
        <v>3.8050243294715513E-13</v>
      </c>
      <c r="W39" s="130" t="str">
        <f t="shared" si="7"/>
        <v>1D</v>
      </c>
      <c r="X39" s="128">
        <f>_xll.qlCalendarAdvance(Calendar,X38,W39,"f",FALSE)</f>
        <v>42284</v>
      </c>
      <c r="Y39" s="131">
        <f>_xll.qlCalendarAdvance(Calendar,X39,NDays&amp;"D")</f>
        <v>42286</v>
      </c>
      <c r="Z39" s="132">
        <v>-3.5380459059975361E-4</v>
      </c>
      <c r="AA39" s="129">
        <v>-3.8724185298377733E-4</v>
      </c>
    </row>
    <row r="40" spans="10:27" x14ac:dyDescent="0.2">
      <c r="M40" s="161" t="str">
        <v>obj_005a0#0004</v>
      </c>
      <c r="N40" s="130" t="str">
        <f>_xll.qlRateHelperQuoteName(M40)</f>
        <v>EURFUT3MM7_Quote</v>
      </c>
      <c r="O40" s="128">
        <f>_xll.qlRateHelperEarliestDate(M40)</f>
        <v>42907</v>
      </c>
      <c r="P40" s="144">
        <f>1-_xll.qlRateHelperQuoteValue(M40,_xll.ohTrigger(RecalcTrigger,Trigger))/100</f>
        <v>7.2499999999986464E-4</v>
      </c>
      <c r="Q40" s="132" t="e">
        <f>NA()</f>
        <v>#N/A</v>
      </c>
      <c r="R40" s="128">
        <f>_xll.qlInterestRateIndexFixingDate(IborIndex,O40)</f>
        <v>42905</v>
      </c>
      <c r="S40" s="144">
        <f>_xll.qlIndexFixing(IborIndex,R40,TRUE,RecalcTrigger)</f>
        <v>7.2499999999910201E-4</v>
      </c>
      <c r="T40" s="165">
        <f t="shared" si="8"/>
        <v>-7.6262780812630382E-16</v>
      </c>
      <c r="W40" s="130" t="str">
        <f t="shared" si="7"/>
        <v>1D</v>
      </c>
      <c r="X40" s="128">
        <f>_xll.qlCalendarAdvance(Calendar,X39,W40,"f",FALSE)</f>
        <v>42285</v>
      </c>
      <c r="Y40" s="131">
        <f>_xll.qlCalendarAdvance(Calendar,X40,NDays&amp;"D")</f>
        <v>42289</v>
      </c>
      <c r="Z40" s="132">
        <v>-3.5393367963779728E-4</v>
      </c>
      <c r="AA40" s="129">
        <v>-3.898091270571058E-4</v>
      </c>
    </row>
    <row r="41" spans="10:27" x14ac:dyDescent="0.2">
      <c r="M41" s="161" t="str">
        <v>obj_005a6#0004</v>
      </c>
      <c r="N41" s="130" t="str">
        <f>_xll.qlRateHelperQuoteName(M41)</f>
        <v>EURFUT3MU7_Quote</v>
      </c>
      <c r="O41" s="128">
        <f>_xll.qlRateHelperEarliestDate(M41)</f>
        <v>42998</v>
      </c>
      <c r="P41" s="144">
        <f>1-_xll.qlRateHelperQuoteValue(M41,_xll.ohTrigger(RecalcTrigger,Trigger))/100</f>
        <v>1.1249999999999316E-3</v>
      </c>
      <c r="Q41" s="132" t="e">
        <f>NA()</f>
        <v>#N/A</v>
      </c>
      <c r="R41" s="128">
        <f>_xll.qlInterestRateIndexFixingDate(IborIndex,O41)</f>
        <v>42996</v>
      </c>
      <c r="S41" s="144">
        <f>_xll.qlIndexFixing(IborIndex,R41,TRUE,RecalcTrigger)</f>
        <v>1.1476839983373098E-3</v>
      </c>
      <c r="T41" s="165">
        <f t="shared" si="8"/>
        <v>2.2683998337378166E-5</v>
      </c>
      <c r="W41" s="130" t="str">
        <f t="shared" si="7"/>
        <v>1D</v>
      </c>
      <c r="X41" s="128">
        <f>_xll.qlCalendarAdvance(Calendar,X40,W41,"f",FALSE)</f>
        <v>42286</v>
      </c>
      <c r="Y41" s="131">
        <f>_xll.qlCalendarAdvance(Calendar,X41,NDays&amp;"D")</f>
        <v>42290</v>
      </c>
      <c r="Z41" s="132">
        <v>-3.5474524060926613E-4</v>
      </c>
      <c r="AA41" s="129">
        <v>-3.9115495482633378E-4</v>
      </c>
    </row>
    <row r="42" spans="10:27" x14ac:dyDescent="0.2">
      <c r="M42" s="161" t="str">
        <v>obj_00595#0004</v>
      </c>
      <c r="N42" s="130" t="str">
        <f>_xll.qlRateHelperQuoteName(M42)</f>
        <v>EURFUT3MZ7_Quote</v>
      </c>
      <c r="O42" s="128">
        <f>_xll.qlRateHelperEarliestDate(M42)</f>
        <v>43089</v>
      </c>
      <c r="P42" s="144">
        <f>1-_xll.qlRateHelperQuoteValue(M42,_xll.ohTrigger(RecalcTrigger,Trigger))/100</f>
        <v>1.5749999999999931E-3</v>
      </c>
      <c r="Q42" s="132" t="e">
        <f>NA()</f>
        <v>#N/A</v>
      </c>
      <c r="R42" s="128">
        <f>_xll.qlInterestRateIndexFixingDate(IborIndex,O42)</f>
        <v>43087</v>
      </c>
      <c r="S42" s="144">
        <f>_xll.qlIndexFixing(IborIndex,R42,TRUE,RecalcTrigger)</f>
        <v>1.6525131108133806E-3</v>
      </c>
      <c r="T42" s="165">
        <f t="shared" si="8"/>
        <v>7.751311081338752E-5</v>
      </c>
      <c r="W42" s="130" t="str">
        <f t="shared" si="7"/>
        <v>1D</v>
      </c>
      <c r="X42" s="128">
        <f>_xll.qlCalendarAdvance(Calendar,X41,W42,"f",FALSE)</f>
        <v>42289</v>
      </c>
      <c r="Y42" s="131">
        <f>_xll.qlCalendarAdvance(Calendar,X42,NDays&amp;"D")</f>
        <v>42291</v>
      </c>
      <c r="Z42" s="132">
        <v>-3.5552665984423697E-4</v>
      </c>
      <c r="AA42" s="129">
        <v>-3.9253421613150152E-4</v>
      </c>
    </row>
    <row r="43" spans="10:27" x14ac:dyDescent="0.2">
      <c r="M43" s="161" t="str">
        <v>obj_00597#0004</v>
      </c>
      <c r="N43" s="130" t="str">
        <f>_xll.qlRateHelperQuoteName(M43)</f>
        <v>EURFUT3MH8_Quote</v>
      </c>
      <c r="O43" s="128">
        <f>_xll.qlRateHelperEarliestDate(M43)</f>
        <v>43180</v>
      </c>
      <c r="P43" s="144">
        <f>1-_xll.qlRateHelperQuoteValue(M43,_xll.ohTrigger(RecalcTrigger,Trigger))/100</f>
        <v>2.175000000000038E-3</v>
      </c>
      <c r="Q43" s="132" t="e">
        <f>NA()</f>
        <v>#N/A</v>
      </c>
      <c r="R43" s="128">
        <f>_xll.qlInterestRateIndexFixingDate(IborIndex,O43)</f>
        <v>43178</v>
      </c>
      <c r="S43" s="144">
        <f>_xll.qlIndexFixing(IborIndex,R43,TRUE,RecalcTrigger)</f>
        <v>2.2434022848535789E-3</v>
      </c>
      <c r="T43" s="165">
        <f t="shared" si="8"/>
        <v>6.8402284853540888E-5</v>
      </c>
      <c r="W43" s="130" t="str">
        <f t="shared" si="7"/>
        <v>1D</v>
      </c>
      <c r="X43" s="128">
        <f>_xll.qlCalendarAdvance(Calendar,X42,W43,"f",FALSE)</f>
        <v>42290</v>
      </c>
      <c r="Y43" s="131">
        <f>_xll.qlCalendarAdvance(Calendar,X43,NDays&amp;"D")</f>
        <v>42292</v>
      </c>
      <c r="Z43" s="132">
        <v>-3.5627783136487457E-4</v>
      </c>
      <c r="AA43" s="129">
        <v>-3.9394691105254509E-4</v>
      </c>
    </row>
    <row r="44" spans="10:27" x14ac:dyDescent="0.2">
      <c r="M44" s="161" t="str">
        <v>obj_0059e#0004</v>
      </c>
      <c r="N44" s="130" t="str">
        <f>_xll.qlRateHelperQuoteName(M44)</f>
        <v>EURFUT3MM8_Quote</v>
      </c>
      <c r="O44" s="128">
        <f>_xll.qlRateHelperEarliestDate(M44)</f>
        <v>43271</v>
      </c>
      <c r="P44" s="144">
        <f>1-_xll.qlRateHelperQuoteValue(M44,_xll.ohTrigger(RecalcTrigger,Trigger))/100</f>
        <v>2.8249999999999664E-3</v>
      </c>
      <c r="Q44" s="132" t="e">
        <f>NA()</f>
        <v>#N/A</v>
      </c>
      <c r="R44" s="128">
        <f>_xll.qlInterestRateIndexFixingDate(IborIndex,O44)</f>
        <v>43269</v>
      </c>
      <c r="S44" s="144">
        <f>_xll.qlIndexFixing(IborIndex,R44,TRUE,RecalcTrigger)</f>
        <v>2.9045795915519489E-3</v>
      </c>
      <c r="T44" s="165">
        <f t="shared" si="8"/>
        <v>7.9579591551982506E-5</v>
      </c>
      <c r="W44" s="130" t="str">
        <f t="shared" si="7"/>
        <v>1D</v>
      </c>
      <c r="X44" s="128">
        <f>_xll.qlCalendarAdvance(Calendar,X43,W44,"f",FALSE)</f>
        <v>42291</v>
      </c>
      <c r="Y44" s="131">
        <f>_xll.qlCalendarAdvance(Calendar,X44,NDays&amp;"D")</f>
        <v>42293</v>
      </c>
      <c r="Z44" s="132">
        <v>-3.5915193865771974E-4</v>
      </c>
      <c r="AA44" s="129">
        <v>-3.9688330876419542E-4</v>
      </c>
    </row>
    <row r="45" spans="10:27" x14ac:dyDescent="0.2">
      <c r="M45" s="161" t="str">
        <v>obj_005b9#0004</v>
      </c>
      <c r="N45" s="130" t="str">
        <f>_xll.qlRateHelperQuoteName(M45)</f>
        <v>EURFUT3MU8_Quote</v>
      </c>
      <c r="O45" s="128">
        <f>_xll.qlRateHelperEarliestDate(M45)</f>
        <v>43362</v>
      </c>
      <c r="P45" s="144">
        <f>1-_xll.qlRateHelperQuoteValue(M45,_xll.ohTrigger(RecalcTrigger,Trigger))/100</f>
        <v>3.5499999999999421E-3</v>
      </c>
      <c r="Q45" s="132" t="e">
        <f>NA()</f>
        <v>#N/A</v>
      </c>
      <c r="R45" s="128">
        <f>_xll.qlInterestRateIndexFixingDate(IborIndex,O45)</f>
        <v>43360</v>
      </c>
      <c r="S45" s="144">
        <f>_xll.qlIndexFixing(IborIndex,R45,TRUE,RecalcTrigger)</f>
        <v>3.6184475773381043E-3</v>
      </c>
      <c r="T45" s="165">
        <f t="shared" si="8"/>
        <v>6.8447577338162213E-5</v>
      </c>
      <c r="U45" s="143"/>
      <c r="W45" s="130" t="str">
        <f t="shared" si="7"/>
        <v>1D</v>
      </c>
      <c r="X45" s="128">
        <f>_xll.qlCalendarAdvance(Calendar,X44,W45,"f",FALSE)</f>
        <v>42292</v>
      </c>
      <c r="Y45" s="131">
        <f>_xll.qlCalendarAdvance(Calendar,X45,NDays&amp;"D")</f>
        <v>42296</v>
      </c>
      <c r="Z45" s="132">
        <v>-3.5897792063921413E-4</v>
      </c>
      <c r="AA45" s="129">
        <v>-3.9993202697541363E-4</v>
      </c>
    </row>
    <row r="46" spans="10:27" x14ac:dyDescent="0.2">
      <c r="M46" s="161" t="str">
        <v>obj_005a7#0004</v>
      </c>
      <c r="N46" s="130" t="str">
        <f>_xll.qlRateHelperQuoteName(M46)</f>
        <v>EURFUT3MZ8_Quote</v>
      </c>
      <c r="O46" s="128">
        <f>_xll.qlRateHelperEarliestDate(M46)</f>
        <v>43453</v>
      </c>
      <c r="P46" s="144">
        <f>1-_xll.qlRateHelperQuoteValue(M46,_xll.ohTrigger(RecalcTrigger,Trigger))/100</f>
        <v>4.3250000000000233E-3</v>
      </c>
      <c r="Q46" s="132" t="e">
        <f>NA()</f>
        <v>#N/A</v>
      </c>
      <c r="R46" s="128">
        <f>_xll.qlInterestRateIndexFixingDate(IborIndex,O46)</f>
        <v>43451</v>
      </c>
      <c r="S46" s="144">
        <f>_xll.qlIndexFixing(IborIndex,R46,TRUE,RecalcTrigger)</f>
        <v>4.3295159816407747E-3</v>
      </c>
      <c r="T46" s="165">
        <f t="shared" si="8"/>
        <v>4.5159816407513986E-6</v>
      </c>
      <c r="U46" s="143"/>
      <c r="W46" s="130" t="str">
        <f t="shared" si="7"/>
        <v>1D</v>
      </c>
      <c r="X46" s="128">
        <f>_xll.qlCalendarAdvance(Calendar,X45,W46,"f",FALSE)</f>
        <v>42293</v>
      </c>
      <c r="Y46" s="131">
        <f>_xll.qlCalendarAdvance(Calendar,X46,NDays&amp;"D")</f>
        <v>42297</v>
      </c>
      <c r="Z46" s="132">
        <v>-3.595762638372459E-4</v>
      </c>
      <c r="AA46" s="129">
        <v>-4.015118898159642E-4</v>
      </c>
    </row>
    <row r="47" spans="10:27" x14ac:dyDescent="0.2">
      <c r="M47" s="161" t="str">
        <v>obj_005b7#0004</v>
      </c>
      <c r="N47" s="130" t="str">
        <f>_xll.qlRateHelperQuoteName(M47)</f>
        <v>EURFUT3MH9_Quote</v>
      </c>
      <c r="O47" s="128">
        <f>_xll.qlRateHelperEarliestDate(M47)</f>
        <v>43544</v>
      </c>
      <c r="P47" s="144">
        <f>1-_xll.qlRateHelperQuoteValue(M47,_xll.ohTrigger(RecalcTrigger,Trigger))/100</f>
        <v>5.1250000000000462E-3</v>
      </c>
      <c r="Q47" s="132" t="e">
        <f>NA()</f>
        <v>#N/A</v>
      </c>
      <c r="R47" s="128">
        <f>_xll.qlInterestRateIndexFixingDate(IborIndex,O47)</f>
        <v>43542</v>
      </c>
      <c r="S47" s="144">
        <f>_xll.qlIndexFixing(IborIndex,R47,TRUE,RecalcTrigger)</f>
        <v>5.0379145388456262E-3</v>
      </c>
      <c r="T47" s="165">
        <f t="shared" si="8"/>
        <v>-8.7085461154419973E-5</v>
      </c>
      <c r="U47" s="143"/>
      <c r="W47" s="130" t="str">
        <f t="shared" si="7"/>
        <v>1D</v>
      </c>
      <c r="X47" s="128">
        <f>_xll.qlCalendarAdvance(Calendar,X46,W47,"f",FALSE)</f>
        <v>42296</v>
      </c>
      <c r="Y47" s="131">
        <f>_xll.qlCalendarAdvance(Calendar,X47,NDays&amp;"D")</f>
        <v>42298</v>
      </c>
      <c r="Z47" s="132">
        <v>-3.6014372341700625E-4</v>
      </c>
      <c r="AA47" s="129">
        <v>-4.0312518647223072E-4</v>
      </c>
    </row>
    <row r="48" spans="10:27" x14ac:dyDescent="0.2">
      <c r="J48" s="168" t="b">
        <v>1</v>
      </c>
      <c r="M48" s="161" t="str">
        <v>obj_005a8#0004</v>
      </c>
      <c r="N48" s="130" t="str">
        <f>_xll.qlRateHelperQuoteName(M48)</f>
        <v>EURFUT3MM9_Quote</v>
      </c>
      <c r="O48" s="128">
        <f>_xll.qlRateHelperEarliestDate(M48)</f>
        <v>43635</v>
      </c>
      <c r="P48" s="144">
        <f>1-_xll.qlRateHelperQuoteValue(M48,_xll.ohTrigger(RecalcTrigger,Trigger))/100</f>
        <v>5.9500000000000108E-3</v>
      </c>
      <c r="Q48" s="132" t="e">
        <f>NA()</f>
        <v>#N/A</v>
      </c>
      <c r="R48" s="128">
        <f>_xll.qlInterestRateIndexFixingDate(IborIndex,O48)</f>
        <v>43633</v>
      </c>
      <c r="S48" s="144">
        <f>_xll.qlIndexFixing(IborIndex,R48,TRUE,RecalcTrigger)</f>
        <v>5.7242062147248082E-3</v>
      </c>
      <c r="T48" s="165">
        <f t="shared" si="8"/>
        <v>-2.2579378527520268E-4</v>
      </c>
      <c r="W48" s="130" t="str">
        <f t="shared" si="7"/>
        <v>1D</v>
      </c>
      <c r="X48" s="128">
        <f>_xll.qlCalendarAdvance(Calendar,X47,W48,"f",FALSE)</f>
        <v>42297</v>
      </c>
      <c r="Y48" s="131">
        <f>_xll.qlCalendarAdvance(Calendar,X48,NDays&amp;"D")</f>
        <v>42299</v>
      </c>
      <c r="Z48" s="132">
        <v>-3.6068019339370897E-4</v>
      </c>
      <c r="AA48" s="129">
        <v>-4.0477191662446899E-4</v>
      </c>
    </row>
    <row r="49" spans="10:27" x14ac:dyDescent="0.2">
      <c r="M49" s="161" t="str">
        <v>obj_005aa#0004</v>
      </c>
      <c r="N49" s="130" t="str">
        <f>_xll.qlRateHelperQuoteName(M49)</f>
        <v>EURFUT3MU9_Quote</v>
      </c>
      <c r="O49" s="128">
        <f>_xll.qlRateHelperEarliestDate(M49)</f>
        <v>43726</v>
      </c>
      <c r="P49" s="144">
        <f>1-_xll.qlRateHelperQuoteValue(M49,_xll.ohTrigger(RecalcTrigger,Trigger))/100</f>
        <v>6.7750000000000865E-3</v>
      </c>
      <c r="Q49" s="132" t="e">
        <f>NA()</f>
        <v>#N/A</v>
      </c>
      <c r="R49" s="128">
        <f>_xll.qlInterestRateIndexFixingDate(IborIndex,O49)</f>
        <v>43724</v>
      </c>
      <c r="S49" s="144">
        <f>_xll.qlIndexFixing(IborIndex,R49,TRUE,RecalcTrigger)</f>
        <v>6.4111925800994264E-3</v>
      </c>
      <c r="T49" s="165">
        <f t="shared" si="8"/>
        <v>-3.638074199006601E-4</v>
      </c>
      <c r="W49" s="130" t="str">
        <f t="shared" si="7"/>
        <v>1D</v>
      </c>
      <c r="X49" s="128">
        <f>_xll.qlCalendarAdvance(Calendar,X48,W49,"f",FALSE)</f>
        <v>42298</v>
      </c>
      <c r="Y49" s="131">
        <f>_xll.qlCalendarAdvance(Calendar,X49,NDays&amp;"D")</f>
        <v>42300</v>
      </c>
      <c r="Z49" s="132">
        <v>-3.6306363458616763E-4</v>
      </c>
      <c r="AA49" s="129">
        <v>-4.0817635947210107E-4</v>
      </c>
    </row>
    <row r="50" spans="10:27" x14ac:dyDescent="0.2">
      <c r="M50" s="161" t="str">
        <v>obj_005a1#0004</v>
      </c>
      <c r="N50" s="130" t="str">
        <f>_xll.qlRateHelperQuoteName(M50)</f>
        <v>EURFUT3MZ9_Quote</v>
      </c>
      <c r="O50" s="128">
        <f>_xll.qlRateHelperEarliestDate(M50)</f>
        <v>43817</v>
      </c>
      <c r="P50" s="144">
        <f>1-_xll.qlRateHelperQuoteValue(M50,_xll.ohTrigger(RecalcTrigger,Trigger))/100</f>
        <v>7.5999999999999401E-3</v>
      </c>
      <c r="Q50" s="132" t="e">
        <f>NA()</f>
        <v>#N/A</v>
      </c>
      <c r="R50" s="128">
        <f>_xll.qlInterestRateIndexFixingDate(IborIndex,O50)</f>
        <v>43815</v>
      </c>
      <c r="S50" s="144">
        <f>_xll.qlIndexFixing(IborIndex,R50,TRUE,RecalcTrigger)</f>
        <v>7.1658565294468951E-3</v>
      </c>
      <c r="T50" s="165">
        <f t="shared" si="8"/>
        <v>-4.34143470553045E-4</v>
      </c>
      <c r="U50" s="143"/>
      <c r="W50" s="130" t="str">
        <f t="shared" si="7"/>
        <v>1D</v>
      </c>
      <c r="X50" s="128">
        <f>_xll.qlCalendarAdvance(Calendar,X49,W50,"f",FALSE)</f>
        <v>42299</v>
      </c>
      <c r="Y50" s="131">
        <f>_xll.qlCalendarAdvance(Calendar,X50,NDays&amp;"D")</f>
        <v>42303</v>
      </c>
      <c r="Z50" s="132">
        <v>-3.6251405751861284E-4</v>
      </c>
      <c r="AA50" s="129">
        <v>-4.116931733122442E-4</v>
      </c>
    </row>
    <row r="51" spans="10:27" x14ac:dyDescent="0.2">
      <c r="M51" s="161" t="str">
        <v>obj_005b5#0004</v>
      </c>
      <c r="N51" s="130" t="str">
        <f>_xll.qlRateHelperQuoteName(M51)</f>
        <v>EURFUT3MH0_Quote</v>
      </c>
      <c r="O51" s="128">
        <f>_xll.qlRateHelperEarliestDate(M51)</f>
        <v>43908</v>
      </c>
      <c r="P51" s="144">
        <f>1-_xll.qlRateHelperQuoteValue(M51,_xll.ohTrigger(RecalcTrigger,Trigger))/100</f>
        <v>8.3750000000000213E-3</v>
      </c>
      <c r="Q51" s="132" t="e">
        <f>NA()</f>
        <v>#N/A</v>
      </c>
      <c r="R51" s="128">
        <f>_xll.qlInterestRateIndexFixingDate(IborIndex,O51)</f>
        <v>43906</v>
      </c>
      <c r="S51" s="144">
        <f>_xll.qlIndexFixing(IborIndex,R51,TRUE,RecalcTrigger)</f>
        <v>8.0012031910696637E-3</v>
      </c>
      <c r="T51" s="165">
        <f t="shared" si="8"/>
        <v>-3.7379680893035762E-4</v>
      </c>
      <c r="U51" s="143"/>
      <c r="W51" s="130" t="str">
        <f t="shared" si="7"/>
        <v>1D</v>
      </c>
      <c r="X51" s="128">
        <f>_xll.qlCalendarAdvance(Calendar,X50,W51,"f",FALSE)</f>
        <v>42300</v>
      </c>
      <c r="Y51" s="131">
        <f>_xll.qlCalendarAdvance(Calendar,X51,NDays&amp;"D")</f>
        <v>42304</v>
      </c>
      <c r="Z51" s="132">
        <v>-3.6289398966218498E-4</v>
      </c>
      <c r="AA51" s="129">
        <v>-4.1350707146392551E-4</v>
      </c>
    </row>
    <row r="52" spans="10:27" x14ac:dyDescent="0.2">
      <c r="J52" s="168" t="b">
        <v>1</v>
      </c>
      <c r="M52" s="161" t="str">
        <v>obj_00599#0004</v>
      </c>
      <c r="N52" s="130" t="str">
        <f>_xll.qlRateHelperQuoteName(M52)</f>
        <v>EURFUT3MM0_Quote</v>
      </c>
      <c r="O52" s="128">
        <f>_xll.qlRateHelperEarliestDate(M52)</f>
        <v>43999</v>
      </c>
      <c r="P52" s="144">
        <f>1-_xll.qlRateHelperQuoteValue(M52,_xll.ohTrigger(RecalcTrigger,Trigger))/100</f>
        <v>9.1249999999999387E-3</v>
      </c>
      <c r="Q52" s="132" t="e">
        <f>NA()</f>
        <v>#N/A</v>
      </c>
      <c r="R52" s="128">
        <f>_xll.qlInterestRateIndexFixingDate(IborIndex,O52)</f>
        <v>43997</v>
      </c>
      <c r="S52" s="144">
        <f>_xll.qlIndexFixing(IborIndex,R52,TRUE,RecalcTrigger)</f>
        <v>8.9078500524837935E-3</v>
      </c>
      <c r="T52" s="165">
        <f t="shared" si="8"/>
        <v>-2.1714994751614522E-4</v>
      </c>
      <c r="U52" s="143"/>
      <c r="W52" s="130" t="str">
        <f t="shared" si="7"/>
        <v>1D</v>
      </c>
      <c r="X52" s="128">
        <f>_xll.qlCalendarAdvance(Calendar,X51,W52,"f",FALSE)</f>
        <v>42303</v>
      </c>
      <c r="Y52" s="131">
        <f>_xll.qlCalendarAdvance(Calendar,X52,NDays&amp;"D")</f>
        <v>42305</v>
      </c>
      <c r="Z52" s="132">
        <v>-3.6324229627226069E-4</v>
      </c>
      <c r="AA52" s="129">
        <v>-4.1535440327145068E-4</v>
      </c>
    </row>
    <row r="53" spans="10:27" x14ac:dyDescent="0.2">
      <c r="M53" s="161" t="str">
        <v>obj_0059b#0004</v>
      </c>
      <c r="N53" s="130" t="str">
        <f>_xll.qlRateHelperQuoteName(M53)</f>
        <v>EURFUT3MU0_Quote</v>
      </c>
      <c r="O53" s="128">
        <f>_xll.qlRateHelperEarliestDate(M53)</f>
        <v>44090</v>
      </c>
      <c r="P53" s="144">
        <f>1-_xll.qlRateHelperQuoteValue(M53,_xll.ohTrigger(RecalcTrigger,Trigger))/100</f>
        <v>9.8249999999998616E-3</v>
      </c>
      <c r="Q53" s="132" t="e">
        <f>NA()</f>
        <v>#N/A</v>
      </c>
      <c r="R53" s="128">
        <f>_xll.qlInterestRateIndexFixingDate(IborIndex,O53)</f>
        <v>44088</v>
      </c>
      <c r="S53" s="144">
        <f>_xll.qlIndexFixing(IborIndex,R53,TRUE,RecalcTrigger)</f>
        <v>9.8560050833823888E-3</v>
      </c>
      <c r="T53" s="165">
        <f t="shared" si="8"/>
        <v>3.1005083382527193E-5</v>
      </c>
      <c r="U53" s="143"/>
      <c r="W53" s="130" t="str">
        <f t="shared" si="7"/>
        <v>1D</v>
      </c>
      <c r="X53" s="128">
        <f>_xll.qlCalendarAdvance(Calendar,X52,W53,"f",FALSE)</f>
        <v>42304</v>
      </c>
      <c r="Y53" s="131">
        <f>_xll.qlCalendarAdvance(Calendar,X53,NDays&amp;"D")</f>
        <v>42306</v>
      </c>
      <c r="Z53" s="132">
        <v>-3.63558871357103E-4</v>
      </c>
      <c r="AA53" s="129">
        <v>-4.1723516869485167E-4</v>
      </c>
    </row>
    <row r="54" spans="10:27" x14ac:dyDescent="0.2">
      <c r="M54" s="161" t="str">
        <v>obj_005ad#0004</v>
      </c>
      <c r="N54" s="130" t="str">
        <f>_xll.qlRateHelperQuoteName(M54)</f>
        <v>EURFUT3MZ0_Quote</v>
      </c>
      <c r="O54" s="128">
        <f>_xll.qlRateHelperEarliestDate(M54)</f>
        <v>44181</v>
      </c>
      <c r="P54" s="144">
        <f>1-_xll.qlRateHelperQuoteValue(M54,_xll.ohTrigger(RecalcTrigger,Trigger))/100</f>
        <v>1.0525000000000118E-2</v>
      </c>
      <c r="Q54" s="132" t="e">
        <f>NA()</f>
        <v>#N/A</v>
      </c>
      <c r="R54" s="128">
        <f>_xll.qlInterestRateIndexFixingDate(IborIndex,O54)</f>
        <v>44179</v>
      </c>
      <c r="S54" s="144">
        <f>_xll.qlIndexFixing(IborIndex,R54,TRUE,RecalcTrigger)</f>
        <v>1.075511587726119E-2</v>
      </c>
      <c r="T54" s="165">
        <f t="shared" si="8"/>
        <v>2.301158772610723E-4</v>
      </c>
      <c r="U54" s="143"/>
      <c r="W54" s="130" t="str">
        <f t="shared" si="7"/>
        <v>1D</v>
      </c>
      <c r="X54" s="128">
        <f>_xll.qlCalendarAdvance(Calendar,X53,W54,"f",FALSE)</f>
        <v>42305</v>
      </c>
      <c r="Y54" s="131">
        <f>_xll.qlCalendarAdvance(Calendar,X54,NDays&amp;"D")</f>
        <v>42307</v>
      </c>
      <c r="Z54" s="132">
        <v>-3.6296944261248934E-4</v>
      </c>
      <c r="AA54" s="129">
        <v>3.7089479572927075E-4</v>
      </c>
    </row>
    <row r="55" spans="10:27" x14ac:dyDescent="0.2">
      <c r="J55" s="168" t="b">
        <v>0</v>
      </c>
      <c r="M55" s="161" t="str">
        <v>obj_0059d#0004</v>
      </c>
      <c r="N55" s="130" t="str">
        <f>_xll.qlRateHelperQuoteName(M55)</f>
        <v>EURFUT3MH1_Quote</v>
      </c>
      <c r="O55" s="128">
        <f>_xll.qlRateHelperEarliestDate(M55)</f>
        <v>44272</v>
      </c>
      <c r="P55" s="144">
        <f>1-_xll.qlRateHelperQuoteValue(M55,_xll.ohTrigger(RecalcTrigger,Trigger))/100</f>
        <v>1.1200000000000099E-2</v>
      </c>
      <c r="Q55" s="132" t="e">
        <f>NA()</f>
        <v>#N/A</v>
      </c>
      <c r="R55" s="128">
        <f>_xll.qlInterestRateIndexFixingDate(IborIndex,O55)</f>
        <v>44270</v>
      </c>
      <c r="S55" s="144">
        <f>_xll.qlIndexFixing(IborIndex,R55,TRUE,RecalcTrigger)</f>
        <v>1.1598370770456085E-2</v>
      </c>
      <c r="T55" s="165">
        <f t="shared" si="8"/>
        <v>3.9837077045598579E-4</v>
      </c>
      <c r="U55" s="143"/>
      <c r="W55" s="130" t="str">
        <f t="shared" si="7"/>
        <v>1D</v>
      </c>
      <c r="X55" s="128">
        <f>_xll.qlCalendarAdvance(Calendar,X54,W55,"f",FALSE)</f>
        <v>42306</v>
      </c>
      <c r="Y55" s="131">
        <f>_xll.qlCalendarAdvance(Calendar,X55,NDays&amp;"D")</f>
        <v>42310</v>
      </c>
      <c r="Z55" s="132">
        <v>-3.7546127935630106E-4</v>
      </c>
      <c r="AA55" s="129">
        <v>-4.2509256614753355E-4</v>
      </c>
    </row>
    <row r="56" spans="10:27" x14ac:dyDescent="0.2">
      <c r="M56" s="161" t="str">
        <v>obj_005af#0004</v>
      </c>
      <c r="N56" s="130" t="str">
        <f>_xll.qlRateHelperQuoteName(M56)</f>
        <v>EURFUT3MM1_Quote</v>
      </c>
      <c r="O56" s="128">
        <f>_xll.qlRateHelperEarliestDate(M56)</f>
        <v>44363</v>
      </c>
      <c r="P56" s="144">
        <f>1-_xll.qlRateHelperQuoteValue(M56,_xll.ohTrigger(RecalcTrigger,Trigger))/100</f>
        <v>1.1900000000000022E-2</v>
      </c>
      <c r="Q56" s="132" t="e">
        <f>NA()</f>
        <v>#N/A</v>
      </c>
      <c r="R56" s="128">
        <f>_xll.qlInterestRateIndexFixingDate(IborIndex,O56)</f>
        <v>44361</v>
      </c>
      <c r="S56" s="144">
        <f>_xll.qlIndexFixing(IborIndex,R56,TRUE,RecalcTrigger)</f>
        <v>1.2361730148035616E-2</v>
      </c>
      <c r="T56" s="165">
        <f t="shared" si="8"/>
        <v>4.6173014803559467E-4</v>
      </c>
      <c r="U56" s="143"/>
      <c r="W56" s="130" t="str">
        <f t="shared" si="7"/>
        <v>1D</v>
      </c>
      <c r="X56" s="128">
        <f>_xll.qlCalendarAdvance(Calendar,X55,W56,"f",FALSE)</f>
        <v>42307</v>
      </c>
      <c r="Y56" s="131">
        <f>_xll.qlCalendarAdvance(Calendar,X56,NDays&amp;"D")</f>
        <v>42311</v>
      </c>
      <c r="Z56" s="132">
        <v>-3.7561760648971312E-4</v>
      </c>
      <c r="AA56" s="129">
        <v>-4.2714049965031364E-4</v>
      </c>
    </row>
    <row r="57" spans="10:27" x14ac:dyDescent="0.2">
      <c r="M57" s="161" t="e">
        <v>#N/A</v>
      </c>
      <c r="N57" s="130" t="e">
        <f>_xll.qlRateHelperQuoteName(M57)</f>
        <v>#VALUE!</v>
      </c>
      <c r="O57" s="128" t="e">
        <f>_xll.qlRateHelperEarliestDate(M57)</f>
        <v>#VALUE!</v>
      </c>
      <c r="P57" s="162" t="e">
        <f>1-_xll.qlRateHelperQuoteValue(M57,_xll.ohTrigger(RecalcTrigger,Trigger))/100</f>
        <v>#VALUE!</v>
      </c>
      <c r="Q57" s="132" t="e">
        <f>NA()</f>
        <v>#N/A</v>
      </c>
      <c r="R57" s="128" t="e">
        <f>_xll.qlInterestRateIndexFixingDate(IborIndex,O57)</f>
        <v>#NUM!</v>
      </c>
      <c r="S57" s="144" t="e">
        <f>_xll.qlIndexFixing(IborIndex,R57,TRUE,RecalcTrigger)</f>
        <v>#NUM!</v>
      </c>
      <c r="T57" s="165" t="e">
        <f t="shared" si="8"/>
        <v>#NUM!</v>
      </c>
      <c r="U57" s="143"/>
      <c r="W57" s="130" t="str">
        <f t="shared" si="7"/>
        <v>1D</v>
      </c>
      <c r="X57" s="128">
        <f>_xll.qlCalendarAdvance(Calendar,X56,W57,"f",FALSE)</f>
        <v>42310</v>
      </c>
      <c r="Y57" s="131">
        <f>_xll.qlCalendarAdvance(Calendar,X57,NDays&amp;"D")</f>
        <v>42312</v>
      </c>
      <c r="Z57" s="132">
        <v>-3.7574156622610172E-4</v>
      </c>
      <c r="AA57" s="129">
        <v>-4.2922186644922533E-4</v>
      </c>
    </row>
    <row r="58" spans="10:27" x14ac:dyDescent="0.2">
      <c r="M58" s="161" t="e">
        <v>#N/A</v>
      </c>
      <c r="N58" s="130" t="e">
        <f>_xll.qlRateHelperQuoteName(M58)</f>
        <v>#VALUE!</v>
      </c>
      <c r="O58" s="128" t="e">
        <f>_xll.qlRateHelperEarliestDate(M58)</f>
        <v>#VALUE!</v>
      </c>
      <c r="P58" s="162" t="e">
        <f>1-_xll.qlRateHelperQuoteValue(M58,_xll.ohTrigger(RecalcTrigger,Trigger))/100</f>
        <v>#VALUE!</v>
      </c>
      <c r="Q58" s="132" t="e">
        <f>NA()</f>
        <v>#N/A</v>
      </c>
      <c r="R58" s="128" t="e">
        <f>_xll.qlInterestRateIndexFixingDate(IborIndex,O58)</f>
        <v>#NUM!</v>
      </c>
      <c r="S58" s="144" t="e">
        <f>_xll.qlIndexFixing(IborIndex,R58,TRUE,RecalcTrigger)</f>
        <v>#NUM!</v>
      </c>
      <c r="T58" s="165" t="e">
        <f t="shared" si="8"/>
        <v>#NUM!</v>
      </c>
      <c r="U58" s="143"/>
      <c r="W58" s="130" t="str">
        <f t="shared" si="7"/>
        <v>1D</v>
      </c>
      <c r="X58" s="128">
        <f>_xll.qlCalendarAdvance(Calendar,X57,W58,"f",FALSE)</f>
        <v>42311</v>
      </c>
      <c r="Y58" s="131">
        <f>_xll.qlCalendarAdvance(Calendar,X58,NDays&amp;"D")</f>
        <v>42313</v>
      </c>
      <c r="Z58" s="132">
        <v>-3.7583305257199201E-4</v>
      </c>
      <c r="AA58" s="129">
        <v>-4.3133666710382101E-4</v>
      </c>
    </row>
    <row r="59" spans="10:27" x14ac:dyDescent="0.2">
      <c r="M59" s="130" t="e">
        <v>#N/A</v>
      </c>
      <c r="N59" s="130" t="e">
        <f>_xll.qlRateHelperQuoteName(M59)</f>
        <v>#VALUE!</v>
      </c>
      <c r="O59" s="128" t="e">
        <f>_xll.qlRateHelperEarliestDate(M59)</f>
        <v>#VALUE!</v>
      </c>
      <c r="P59" s="162" t="e">
        <f>1-_xll.qlRateHelperQuoteValue(M59,_xll.ohTrigger(RecalcTrigger,Trigger))/100</f>
        <v>#VALUE!</v>
      </c>
      <c r="Q59" s="132" t="e">
        <f>NA()</f>
        <v>#N/A</v>
      </c>
      <c r="R59" s="128" t="e">
        <f>_xll.qlInterestRateIndexFixingDate(IborIndex,O59)</f>
        <v>#NUM!</v>
      </c>
      <c r="S59" s="144" t="e">
        <f>_xll.qlIndexFixing(IborIndex,R59,TRUE,RecalcTrigger)</f>
        <v>#NUM!</v>
      </c>
      <c r="T59" s="165" t="e">
        <f t="shared" si="8"/>
        <v>#NUM!</v>
      </c>
      <c r="U59" s="143"/>
      <c r="W59" s="130" t="str">
        <f t="shared" si="7"/>
        <v>1D</v>
      </c>
      <c r="X59" s="128">
        <f>_xll.qlCalendarAdvance(Calendar,X58,W59,"f",FALSE)</f>
        <v>42312</v>
      </c>
      <c r="Y59" s="131">
        <f>_xll.qlCalendarAdvance(Calendar,X59,NDays&amp;"D")</f>
        <v>42314</v>
      </c>
      <c r="Z59" s="132">
        <v>-3.7715889030069048E-4</v>
      </c>
      <c r="AA59" s="129">
        <v>-4.3567718627457452E-4</v>
      </c>
    </row>
    <row r="60" spans="10:27" x14ac:dyDescent="0.2">
      <c r="M60" s="130" t="e">
        <v>#N/A</v>
      </c>
      <c r="N60" s="130" t="e">
        <f>_xll.qlRateHelperQuoteName(M60)</f>
        <v>#VALUE!</v>
      </c>
      <c r="O60" s="128" t="e">
        <f>_xll.qlRateHelperEarliestDate(M60)</f>
        <v>#VALUE!</v>
      </c>
      <c r="P60" s="162" t="e">
        <f>1-_xll.qlRateHelperQuoteValue(M60,_xll.ohTrigger(RecalcTrigger,Trigger))/100</f>
        <v>#VALUE!</v>
      </c>
      <c r="Q60" s="132" t="e">
        <f>NA()</f>
        <v>#N/A</v>
      </c>
      <c r="R60" s="128" t="e">
        <f>_xll.qlInterestRateIndexFixingDate(IborIndex,O60)</f>
        <v>#NUM!</v>
      </c>
      <c r="S60" s="144" t="e">
        <f>_xll.qlIndexFixing(IborIndex,R60,TRUE,RecalcTrigger)</f>
        <v>#NUM!</v>
      </c>
      <c r="T60" s="165" t="e">
        <f t="shared" si="8"/>
        <v>#NUM!</v>
      </c>
      <c r="U60" s="143"/>
      <c r="W60" s="130" t="str">
        <f t="shared" si="7"/>
        <v>1D</v>
      </c>
      <c r="X60" s="128">
        <f>_xll.qlCalendarAdvance(Calendar,X59,W60,"f",FALSE)</f>
        <v>42313</v>
      </c>
      <c r="Y60" s="131">
        <f>_xll.qlCalendarAdvance(Calendar,X60,NDays&amp;"D")</f>
        <v>42317</v>
      </c>
      <c r="Z60" s="132">
        <v>-3.7587214409505405E-4</v>
      </c>
      <c r="AA60" s="129">
        <v>-4.4013020536137759E-4</v>
      </c>
    </row>
    <row r="61" spans="10:27" x14ac:dyDescent="0.2">
      <c r="M61" s="130" t="e">
        <v>#N/A</v>
      </c>
      <c r="N61" s="130" t="e">
        <f>_xll.qlRateHelperQuoteName(M61)</f>
        <v>#VALUE!</v>
      </c>
      <c r="O61" s="128" t="e">
        <f>_xll.qlRateHelperEarliestDate(M61)</f>
        <v>#VALUE!</v>
      </c>
      <c r="P61" s="162" t="e">
        <f>1-_xll.qlRateHelperQuoteValue(M61,_xll.ohTrigger(RecalcTrigger,Trigger))/100</f>
        <v>#VALUE!</v>
      </c>
      <c r="Q61" s="132" t="e">
        <f>NA()</f>
        <v>#N/A</v>
      </c>
      <c r="R61" s="128" t="e">
        <f>_xll.qlInterestRateIndexFixingDate(IborIndex,O61)</f>
        <v>#NUM!</v>
      </c>
      <c r="S61" s="144" t="e">
        <f>_xll.qlIndexFixing(IborIndex,R61,TRUE,RecalcTrigger)</f>
        <v>#NUM!</v>
      </c>
      <c r="T61" s="165" t="e">
        <f t="shared" si="8"/>
        <v>#NUM!</v>
      </c>
      <c r="U61" s="143"/>
      <c r="W61" s="130" t="str">
        <f t="shared" si="7"/>
        <v>1D</v>
      </c>
      <c r="X61" s="128">
        <f>_xll.qlCalendarAdvance(Calendar,X60,W61,"f",FALSE)</f>
        <v>42314</v>
      </c>
      <c r="Y61" s="131">
        <f>_xll.qlCalendarAdvance(Calendar,X61,NDays&amp;"D")</f>
        <v>42318</v>
      </c>
      <c r="Z61" s="132">
        <v>-3.7579967351681996E-4</v>
      </c>
      <c r="AA61" s="129">
        <v>-4.4241217377560815E-4</v>
      </c>
    </row>
    <row r="62" spans="10:27" x14ac:dyDescent="0.2">
      <c r="M62" s="130" t="e">
        <v>#N/A</v>
      </c>
      <c r="N62" s="130" t="e">
        <f>_xll.qlRateHelperQuoteName(M62)</f>
        <v>#VALUE!</v>
      </c>
      <c r="O62" s="128" t="e">
        <f>_xll.qlRateHelperEarliestDate(M62)</f>
        <v>#VALUE!</v>
      </c>
      <c r="P62" s="162" t="e">
        <f>1-_xll.qlRateHelperQuoteValue(M62,_xll.ohTrigger(RecalcTrigger,Trigger))/100</f>
        <v>#VALUE!</v>
      </c>
      <c r="Q62" s="132" t="e">
        <f>NA()</f>
        <v>#N/A</v>
      </c>
      <c r="R62" s="128" t="e">
        <f>_xll.qlInterestRateIndexFixingDate(IborIndex,O62)</f>
        <v>#NUM!</v>
      </c>
      <c r="S62" s="144" t="e">
        <f>_xll.qlIndexFixing(IborIndex,R62,TRUE,RecalcTrigger)</f>
        <v>#NUM!</v>
      </c>
      <c r="T62" s="165" t="e">
        <f t="shared" si="8"/>
        <v>#NUM!</v>
      </c>
      <c r="U62" s="143"/>
      <c r="W62" s="130" t="str">
        <f t="shared" si="7"/>
        <v>1D</v>
      </c>
      <c r="X62" s="128">
        <f>_xll.qlCalendarAdvance(Calendar,X61,W62,"f",FALSE)</f>
        <v>42317</v>
      </c>
      <c r="Y62" s="131">
        <f>_xll.qlCalendarAdvance(Calendar,X62,NDays&amp;"D")</f>
        <v>42319</v>
      </c>
      <c r="Z62" s="132">
        <v>-3.7569409355509015E-4</v>
      </c>
      <c r="AA62" s="129">
        <v>-4.4472182104904334E-4</v>
      </c>
    </row>
    <row r="63" spans="10:27" x14ac:dyDescent="0.2">
      <c r="M63" s="130" t="e">
        <v>#N/A</v>
      </c>
      <c r="N63" s="130" t="e">
        <f>_xll.qlRateHelperQuoteName(M63)</f>
        <v>#VALUE!</v>
      </c>
      <c r="O63" s="128" t="e">
        <f>_xll.qlRateHelperEarliestDate(M63)</f>
        <v>#VALUE!</v>
      </c>
      <c r="P63" s="162" t="e">
        <f>1-_xll.qlRateHelperQuoteValue(M63,_xll.ohTrigger(RecalcTrigger,Trigger))/100</f>
        <v>#VALUE!</v>
      </c>
      <c r="Q63" s="132" t="e">
        <f>NA()</f>
        <v>#N/A</v>
      </c>
      <c r="R63" s="128" t="e">
        <f>_xll.qlInterestRateIndexFixingDate(IborIndex,O63)</f>
        <v>#NUM!</v>
      </c>
      <c r="S63" s="144" t="e">
        <f>_xll.qlIndexFixing(IborIndex,R63,TRUE,RecalcTrigger)</f>
        <v>#NUM!</v>
      </c>
      <c r="T63" s="165" t="e">
        <f t="shared" si="8"/>
        <v>#NUM!</v>
      </c>
      <c r="U63" s="143"/>
      <c r="W63" s="130" t="str">
        <f t="shared" si="7"/>
        <v>1D</v>
      </c>
      <c r="X63" s="128">
        <f>_xll.qlCalendarAdvance(Calendar,X62,W63,"f",FALSE)</f>
        <v>42318</v>
      </c>
      <c r="Y63" s="131">
        <f>_xll.qlCalendarAdvance(Calendar,X63,NDays&amp;"D")</f>
        <v>42320</v>
      </c>
      <c r="Z63" s="132">
        <v>-3.7555536075462514E-4</v>
      </c>
      <c r="AA63" s="129">
        <v>-4.4703612687602146E-4</v>
      </c>
    </row>
    <row r="64" spans="10:27" x14ac:dyDescent="0.2">
      <c r="M64" s="130" t="e">
        <v>#N/A</v>
      </c>
      <c r="N64" s="130" t="e">
        <f>_xll.qlRateHelperQuoteName(M64)</f>
        <v>#VALUE!</v>
      </c>
      <c r="O64" s="128" t="e">
        <f>_xll.qlRateHelperEarliestDate(M64)</f>
        <v>#VALUE!</v>
      </c>
      <c r="P64" s="162" t="e">
        <f>1-_xll.qlRateHelperQuoteValue(M64,_xll.ohTrigger(RecalcTrigger,Trigger))/100</f>
        <v>#VALUE!</v>
      </c>
      <c r="Q64" s="132" t="e">
        <f>NA()</f>
        <v>#N/A</v>
      </c>
      <c r="R64" s="128" t="e">
        <f>_xll.qlInterestRateIndexFixingDate(IborIndex,O64)</f>
        <v>#NUM!</v>
      </c>
      <c r="S64" s="144" t="e">
        <f>_xll.qlIndexFixing(IborIndex,R64,TRUE,RecalcTrigger)</f>
        <v>#NUM!</v>
      </c>
      <c r="T64" s="165" t="e">
        <f t="shared" si="8"/>
        <v>#NUM!</v>
      </c>
      <c r="U64" s="143"/>
      <c r="W64" s="130" t="str">
        <f t="shared" si="7"/>
        <v>1D</v>
      </c>
      <c r="X64" s="128">
        <f>_xll.qlCalendarAdvance(Calendar,X63,W64,"f",FALSE)</f>
        <v>42319</v>
      </c>
      <c r="Y64" s="131">
        <f>_xll.qlCalendarAdvance(Calendar,X64,NDays&amp;"D")</f>
        <v>42321</v>
      </c>
      <c r="Z64" s="132">
        <v>-3.7654935825500271E-4</v>
      </c>
      <c r="AA64" s="129">
        <v>-4.5166051762635107E-4</v>
      </c>
    </row>
    <row r="65" spans="10:27" x14ac:dyDescent="0.2">
      <c r="M65" s="130" t="e">
        <v>#N/A</v>
      </c>
      <c r="N65" s="130" t="e">
        <f>_xll.qlRateHelperQuoteName(M65)</f>
        <v>#VALUE!</v>
      </c>
      <c r="O65" s="128" t="e">
        <f>_xll.qlRateHelperEarliestDate(M65)</f>
        <v>#VALUE!</v>
      </c>
      <c r="P65" s="162" t="e">
        <f>1-_xll.qlRateHelperQuoteValue(M65,_xll.ohTrigger(RecalcTrigger,Trigger))/100</f>
        <v>#VALUE!</v>
      </c>
      <c r="Q65" s="132" t="e">
        <f>NA()</f>
        <v>#N/A</v>
      </c>
      <c r="R65" s="128" t="e">
        <f>_xll.qlInterestRateIndexFixingDate(IborIndex,O65)</f>
        <v>#NUM!</v>
      </c>
      <c r="S65" s="144" t="e">
        <f>_xll.qlIndexFixing(IborIndex,R65,TRUE,RecalcTrigger)</f>
        <v>#NUM!</v>
      </c>
      <c r="T65" s="165" t="e">
        <f t="shared" si="8"/>
        <v>#NUM!</v>
      </c>
      <c r="U65" s="143"/>
      <c r="W65" s="130" t="str">
        <f t="shared" si="7"/>
        <v>1D</v>
      </c>
      <c r="X65" s="128">
        <f>_xll.qlCalendarAdvance(Calendar,X64,W65,"f",FALSE)</f>
        <v>42320</v>
      </c>
      <c r="Y65" s="131">
        <f>_xll.qlCalendarAdvance(Calendar,X65,NDays&amp;"D")</f>
        <v>42324</v>
      </c>
      <c r="Z65" s="132">
        <v>-3.7467366141934373E-4</v>
      </c>
      <c r="AA65" s="129">
        <v>-4.5628238751316275E-4</v>
      </c>
    </row>
    <row r="66" spans="10:27" ht="12" thickBot="1" x14ac:dyDescent="0.25">
      <c r="M66" s="147" t="e">
        <v>#N/A</v>
      </c>
      <c r="N66" s="147" t="e">
        <f>_xll.qlRateHelperQuoteName(M66)</f>
        <v>#VALUE!</v>
      </c>
      <c r="O66" s="128" t="e">
        <f>_xll.qlRateHelperEarliestDate(M66)</f>
        <v>#VALUE!</v>
      </c>
      <c r="P66" s="162" t="e">
        <f>1-_xll.qlRateHelperQuoteValue(M66,_xll.ohTrigger(RecalcTrigger,Trigger))/100</f>
        <v>#VALUE!</v>
      </c>
      <c r="Q66" s="132" t="e">
        <f>NA()</f>
        <v>#N/A</v>
      </c>
      <c r="R66" s="140" t="e">
        <f>_xll.qlInterestRateIndexFixingDate(IborIndex,O66)</f>
        <v>#NUM!</v>
      </c>
      <c r="S66" s="144" t="e">
        <f>_xll.qlIndexFixing(IborIndex,R66,TRUE,RecalcTrigger)</f>
        <v>#NUM!</v>
      </c>
      <c r="T66" s="165" t="e">
        <f t="shared" si="8"/>
        <v>#NUM!</v>
      </c>
      <c r="U66" s="143"/>
      <c r="W66" s="130" t="str">
        <f t="shared" si="7"/>
        <v>1D</v>
      </c>
      <c r="X66" s="128">
        <f>_xll.qlCalendarAdvance(Calendar,X65,W66,"f",FALSE)</f>
        <v>42321</v>
      </c>
      <c r="Y66" s="131">
        <f>_xll.qlCalendarAdvance(Calendar,X66,NDays&amp;"D")</f>
        <v>42325</v>
      </c>
      <c r="Z66" s="132">
        <v>-3.7437289097470671E-4</v>
      </c>
      <c r="AA66" s="129">
        <v>-4.5859121200475528E-4</v>
      </c>
    </row>
    <row r="67" spans="10:27" ht="12" thickBot="1" x14ac:dyDescent="0.25">
      <c r="N67" s="176"/>
      <c r="O67" s="177"/>
      <c r="P67" s="178"/>
      <c r="Q67" s="179"/>
      <c r="R67" s="176"/>
      <c r="S67" s="180"/>
      <c r="T67" s="181"/>
      <c r="U67" s="143"/>
      <c r="W67" s="130" t="str">
        <f t="shared" si="7"/>
        <v>1D</v>
      </c>
      <c r="X67" s="128">
        <f>_xll.qlCalendarAdvance(Calendar,X66,W67,"f",FALSE)</f>
        <v>42324</v>
      </c>
      <c r="Y67" s="131">
        <f>_xll.qlCalendarAdvance(Calendar,X67,NDays&amp;"D")</f>
        <v>42326</v>
      </c>
      <c r="Z67" s="132">
        <v>-3.7404052085241254E-4</v>
      </c>
      <c r="AA67" s="129">
        <v>-4.6089894009337939E-4</v>
      </c>
    </row>
    <row r="68" spans="10:27" x14ac:dyDescent="0.2">
      <c r="M68" s="120"/>
      <c r="N68" s="120" t="s">
        <v>172</v>
      </c>
      <c r="O68" s="121" t="s">
        <v>155</v>
      </c>
      <c r="P68" s="121" t="s">
        <v>69</v>
      </c>
      <c r="Q68" s="136"/>
      <c r="R68" s="121" t="s">
        <v>158</v>
      </c>
      <c r="S68" s="121" t="s">
        <v>170</v>
      </c>
      <c r="T68" s="137" t="s">
        <v>162</v>
      </c>
      <c r="U68" s="119" t="s">
        <v>163</v>
      </c>
      <c r="W68" s="130" t="str">
        <f t="shared" si="7"/>
        <v>1D</v>
      </c>
      <c r="X68" s="128">
        <f>_xll.qlCalendarAdvance(Calendar,X67,W68,"f",FALSE)</f>
        <v>42325</v>
      </c>
      <c r="Y68" s="131">
        <f>_xll.qlCalendarAdvance(Calendar,X68,NDays&amp;"D")</f>
        <v>42327</v>
      </c>
      <c r="Z68" s="132">
        <v>-3.7367682033531815E-4</v>
      </c>
      <c r="AA68" s="129">
        <v>-4.632055720588113E-4</v>
      </c>
    </row>
    <row r="69" spans="10:27" x14ac:dyDescent="0.2">
      <c r="M69" s="130" t="str">
        <f t="array" ref="M69:M76">_xll.ohFilter(RateHelpers!E21:E62,RateHelpers!R21:R62)</f>
        <v>obj_005ba#0004</v>
      </c>
      <c r="N69" s="130" t="str">
        <f>_xll.qlRateHelperQuoteName(M69)</f>
        <v>EURFUT3MV5_Quote</v>
      </c>
      <c r="O69" s="128">
        <f>_xll.qlRateHelperEarliestDate(M69)</f>
        <v>42298</v>
      </c>
      <c r="P69" s="162">
        <f>1-_xll.qlRateHelperQuoteValue(M69,_xll.ohTrigger(RecalcTrigger,Trigger))/100</f>
        <v>-3.7500000000001421E-4</v>
      </c>
      <c r="Q69" s="132" t="e">
        <f>NA()</f>
        <v>#N/A</v>
      </c>
      <c r="R69" s="128">
        <f>_xll.qlInterestRateIndexFixingDate(IborIndex,O69)</f>
        <v>42296</v>
      </c>
      <c r="S69" s="144">
        <f>_xll.qlIndexFixing(IborIndex,R69,TRUE,RecalcTrigger)</f>
        <v>-3.6014372341700625E-4</v>
      </c>
      <c r="T69" s="165">
        <f>S69-P69</f>
        <v>1.4856276583007956E-5</v>
      </c>
      <c r="U69" s="145">
        <f t="array" ref="U69">MAX(ABS(T69:T70))</f>
        <v>1.4856276583007956E-5</v>
      </c>
      <c r="W69" s="130" t="str">
        <f t="shared" si="7"/>
        <v>1D</v>
      </c>
      <c r="X69" s="128">
        <f>_xll.qlCalendarAdvance(Calendar,X68,W69,"f",FALSE)</f>
        <v>42326</v>
      </c>
      <c r="Y69" s="131">
        <f>_xll.qlCalendarAdvance(Calendar,X69,NDays&amp;"D")</f>
        <v>42328</v>
      </c>
      <c r="Z69" s="132">
        <v>-3.7440507143158132E-4</v>
      </c>
      <c r="AA69" s="129">
        <v>-4.6781457370581592E-4</v>
      </c>
    </row>
    <row r="70" spans="10:27" x14ac:dyDescent="0.2">
      <c r="M70" s="130" t="str">
        <v>obj_005ba#0004</v>
      </c>
      <c r="N70" s="130" t="str">
        <f>_xll.qlRateHelperQuoteName(M70)</f>
        <v>EURFUT3MV5_Quote</v>
      </c>
      <c r="O70" s="128">
        <f>_xll.qlRateHelperEarliestDate(M70)</f>
        <v>42298</v>
      </c>
      <c r="P70" s="162">
        <f>1-_xll.qlRateHelperQuoteValue(M70,_xll.ohTrigger(RecalcTrigger,Trigger))/100</f>
        <v>-3.7500000000001421E-4</v>
      </c>
      <c r="Q70" s="132" t="e">
        <f>NA()</f>
        <v>#N/A</v>
      </c>
      <c r="R70" s="128">
        <f>_xll.qlInterestRateIndexFixingDate(IborIndex,O70)</f>
        <v>42296</v>
      </c>
      <c r="S70" s="144">
        <f>_xll.qlIndexFixing(IborIndex,R70,TRUE,RecalcTrigger)</f>
        <v>-3.6014372341700625E-4</v>
      </c>
      <c r="T70" s="165">
        <f t="shared" ref="T70:T76" si="9">S70-P70</f>
        <v>1.4856276583007956E-5</v>
      </c>
      <c r="W70" s="130" t="str">
        <f t="shared" si="7"/>
        <v>1D</v>
      </c>
      <c r="X70" s="128">
        <f>_xll.qlCalendarAdvance(Calendar,X69,W70,"f",FALSE)</f>
        <v>42327</v>
      </c>
      <c r="Y70" s="131">
        <f>_xll.qlCalendarAdvance(Calendar,X70,NDays&amp;"D")</f>
        <v>42331</v>
      </c>
      <c r="Z70" s="132">
        <v>-3.7191409993176316E-4</v>
      </c>
      <c r="AA70" s="129">
        <v>-4.7242113689005549E-4</v>
      </c>
    </row>
    <row r="71" spans="10:27" x14ac:dyDescent="0.2">
      <c r="J71" s="1"/>
      <c r="M71" s="130" t="str">
        <v>obj_005ba#0004</v>
      </c>
      <c r="N71" s="130" t="str">
        <f>_xll.qlRateHelperQuoteName(M71)</f>
        <v>EURFUT3MV5_Quote</v>
      </c>
      <c r="O71" s="128">
        <f>_xll.qlRateHelperEarliestDate(M71)</f>
        <v>42298</v>
      </c>
      <c r="P71" s="162">
        <f>1-_xll.qlRateHelperQuoteValue(M71,_xll.ohTrigger(RecalcTrigger,Trigger))/100</f>
        <v>-3.7500000000001421E-4</v>
      </c>
      <c r="Q71" s="132" t="e">
        <f>NA()</f>
        <v>#N/A</v>
      </c>
      <c r="R71" s="128">
        <f>_xll.qlInterestRateIndexFixingDate(IborIndex,O71)</f>
        <v>42296</v>
      </c>
      <c r="S71" s="144">
        <f>_xll.qlIndexFixing(IborIndex,R71,TRUE,RecalcTrigger)</f>
        <v>-3.6014372341700625E-4</v>
      </c>
      <c r="T71" s="165">
        <f t="shared" si="9"/>
        <v>1.4856276583007956E-5</v>
      </c>
      <c r="U71" s="143"/>
      <c r="W71" s="130" t="str">
        <f t="shared" si="7"/>
        <v>1D</v>
      </c>
      <c r="X71" s="128">
        <f>_xll.qlCalendarAdvance(Calendar,X70,W71,"f",FALSE)</f>
        <v>42328</v>
      </c>
      <c r="Y71" s="131">
        <f>_xll.qlCalendarAdvance(Calendar,X71,NDays&amp;"D")</f>
        <v>42332</v>
      </c>
      <c r="Z71" s="132">
        <v>-3.7139778664789698E-4</v>
      </c>
      <c r="AA71" s="129">
        <v>-4.7472228748013379E-4</v>
      </c>
    </row>
    <row r="72" spans="10:27" x14ac:dyDescent="0.2">
      <c r="M72" s="130" t="str">
        <v>obj_005ba#0004</v>
      </c>
      <c r="N72" s="130" t="str">
        <f>_xll.qlRateHelperQuoteName(M72)</f>
        <v>EURFUT3MV5_Quote</v>
      </c>
      <c r="O72" s="128">
        <f>_xll.qlRateHelperEarliestDate(M72)</f>
        <v>42298</v>
      </c>
      <c r="P72" s="162">
        <f>1-_xll.qlRateHelperQuoteValue(M72,_xll.ohTrigger(RecalcTrigger,Trigger))/100</f>
        <v>-3.7500000000001421E-4</v>
      </c>
      <c r="Q72" s="132" t="e">
        <f>NA()</f>
        <v>#N/A</v>
      </c>
      <c r="R72" s="128">
        <f>_xll.qlInterestRateIndexFixingDate(IborIndex,O72)</f>
        <v>42296</v>
      </c>
      <c r="S72" s="144">
        <f>_xll.qlIndexFixing(IborIndex,R72,TRUE,RecalcTrigger)</f>
        <v>-3.6014372341700625E-4</v>
      </c>
      <c r="T72" s="165">
        <f t="shared" si="9"/>
        <v>1.4856276583007956E-5</v>
      </c>
      <c r="W72" s="130" t="str">
        <f t="shared" si="7"/>
        <v>1D</v>
      </c>
      <c r="X72" s="128">
        <f>_xll.qlCalendarAdvance(Calendar,X71,W72,"f",FALSE)</f>
        <v>42331</v>
      </c>
      <c r="Y72" s="131">
        <f>_xll.qlCalendarAdvance(Calendar,X72,NDays&amp;"D")</f>
        <v>42333</v>
      </c>
      <c r="Z72" s="132">
        <v>-3.7085175864855999E-4</v>
      </c>
      <c r="AA72" s="129">
        <v>-4.7702234166724367E-4</v>
      </c>
    </row>
    <row r="73" spans="10:27" x14ac:dyDescent="0.2">
      <c r="M73" s="130" t="str">
        <v>obj_005ba#0004</v>
      </c>
      <c r="N73" s="130" t="str">
        <f>_xll.qlRateHelperQuoteName(M73)</f>
        <v>EURFUT3MV5_Quote</v>
      </c>
      <c r="O73" s="128">
        <f>_xll.qlRateHelperEarliestDate(M73)</f>
        <v>42298</v>
      </c>
      <c r="P73" s="162">
        <f>1-_xll.qlRateHelperQuoteValue(M73,_xll.ohTrigger(RecalcTrigger,Trigger))/100</f>
        <v>-3.7500000000001421E-4</v>
      </c>
      <c r="Q73" s="132" t="e">
        <f>NA()</f>
        <v>#N/A</v>
      </c>
      <c r="R73" s="128">
        <f>_xll.qlInterestRateIndexFixingDate(IborIndex,O73)</f>
        <v>42296</v>
      </c>
      <c r="S73" s="144">
        <f>_xll.qlIndexFixing(IborIndex,R73,TRUE,RecalcTrigger)</f>
        <v>-3.6014372341700625E-4</v>
      </c>
      <c r="T73" s="165">
        <f t="shared" si="9"/>
        <v>1.4856276583007956E-5</v>
      </c>
      <c r="W73" s="130" t="str">
        <f t="shared" si="7"/>
        <v>1D</v>
      </c>
      <c r="X73" s="128">
        <f>_xll.qlCalendarAdvance(Calendar,X72,W73,"f",FALSE)</f>
        <v>42332</v>
      </c>
      <c r="Y73" s="131">
        <f>_xll.qlCalendarAdvance(Calendar,X73,NDays&amp;"D")</f>
        <v>42334</v>
      </c>
      <c r="Z73" s="132">
        <v>-3.7027628521226478E-4</v>
      </c>
      <c r="AA73" s="129">
        <v>-4.7932129965122527E-4</v>
      </c>
    </row>
    <row r="74" spans="10:27" x14ac:dyDescent="0.2">
      <c r="M74" s="130" t="str">
        <v>obj_005ba#0004</v>
      </c>
      <c r="N74" s="130" t="str">
        <f>_xll.qlRateHelperQuoteName(M74)</f>
        <v>EURFUT3MV5_Quote</v>
      </c>
      <c r="O74" s="128">
        <f>_xll.qlRateHelperEarliestDate(M74)</f>
        <v>42298</v>
      </c>
      <c r="P74" s="162">
        <f>1-_xll.qlRateHelperQuoteValue(M74,_xll.ohTrigger(RecalcTrigger,Trigger))/100</f>
        <v>-3.7500000000001421E-4</v>
      </c>
      <c r="Q74" s="132" t="e">
        <f>NA()</f>
        <v>#N/A</v>
      </c>
      <c r="R74" s="128">
        <f>_xll.qlInterestRateIndexFixingDate(IborIndex,O74)</f>
        <v>42296</v>
      </c>
      <c r="S74" s="144">
        <f>_xll.qlIndexFixing(IborIndex,R74,TRUE,RecalcTrigger)</f>
        <v>-3.6014372341700625E-4</v>
      </c>
      <c r="T74" s="165">
        <f t="shared" si="9"/>
        <v>1.4856276583007956E-5</v>
      </c>
      <c r="U74" s="143"/>
      <c r="W74" s="130" t="str">
        <f t="shared" si="7"/>
        <v>1D</v>
      </c>
      <c r="X74" s="128">
        <f>_xll.qlCalendarAdvance(Calendar,X73,W74,"f",FALSE)</f>
        <v>42333</v>
      </c>
      <c r="Y74" s="131">
        <f>_xll.qlCalendarAdvance(Calendar,X74,NDays&amp;"D")</f>
        <v>42335</v>
      </c>
      <c r="Z74" s="132">
        <v>-3.7080877627076423E-4</v>
      </c>
      <c r="AA74" s="129">
        <v>-4.8391491086263727E-4</v>
      </c>
    </row>
    <row r="75" spans="10:27" x14ac:dyDescent="0.2">
      <c r="M75" s="130" t="str">
        <v>obj_005ba#0004</v>
      </c>
      <c r="N75" s="130" t="str">
        <f>_xll.qlRateHelperQuoteName(M75)</f>
        <v>EURFUT3MV5_Quote</v>
      </c>
      <c r="O75" s="128">
        <f>_xll.qlRateHelperEarliestDate(M75)</f>
        <v>42298</v>
      </c>
      <c r="P75" s="162">
        <f>1-_xll.qlRateHelperQuoteValue(M75,_xll.ohTrigger(RecalcTrigger,Trigger))/100</f>
        <v>-3.7500000000001421E-4</v>
      </c>
      <c r="Q75" s="132" t="e">
        <f>NA()</f>
        <v>#N/A</v>
      </c>
      <c r="R75" s="128">
        <f>_xll.qlInterestRateIndexFixingDate(IborIndex,O75)</f>
        <v>42296</v>
      </c>
      <c r="S75" s="144">
        <f>_xll.qlIndexFixing(IborIndex,R75,TRUE,RecalcTrigger)</f>
        <v>-3.6014372341700625E-4</v>
      </c>
      <c r="T75" s="165">
        <f t="shared" si="9"/>
        <v>1.4856276583007956E-5</v>
      </c>
      <c r="U75" s="143"/>
      <c r="W75" s="130" t="str">
        <f t="shared" si="7"/>
        <v>1D</v>
      </c>
      <c r="X75" s="128">
        <f>_xll.qlCalendarAdvance(Calendar,X74,W75,"f",FALSE)</f>
        <v>42334</v>
      </c>
      <c r="Y75" s="131">
        <f>_xll.qlCalendarAdvance(Calendar,X75,NDays&amp;"D")</f>
        <v>42338</v>
      </c>
      <c r="Z75" s="132">
        <v>-3.6708148290449591E-4</v>
      </c>
      <c r="AA75" s="129">
        <v>1.5635027431937232E-3</v>
      </c>
    </row>
    <row r="76" spans="10:27" ht="12" thickBot="1" x14ac:dyDescent="0.25">
      <c r="M76" s="147" t="str">
        <v>obj_005ba#0004</v>
      </c>
      <c r="N76" s="147" t="str">
        <f>_xll.qlRateHelperQuoteName(M76)</f>
        <v>EURFUT3MV5_Quote</v>
      </c>
      <c r="O76" s="135">
        <f>_xll.qlRateHelperEarliestDate(M76)</f>
        <v>42298</v>
      </c>
      <c r="P76" s="163">
        <f>1-_xll.qlRateHelperQuoteValue(M76,_xll.ohTrigger(RecalcTrigger,Trigger))/100</f>
        <v>-3.7500000000001421E-4</v>
      </c>
      <c r="Q76" s="133" t="e">
        <f>NA()</f>
        <v>#N/A</v>
      </c>
      <c r="R76" s="150">
        <f>_xll.qlInterestRateIndexFixingDate(IborIndex,O76)</f>
        <v>42296</v>
      </c>
      <c r="S76" s="167">
        <f>_xll.qlIndexFixing(IborIndex,R76,TRUE,RecalcTrigger)</f>
        <v>-3.6014372341700625E-4</v>
      </c>
      <c r="T76" s="165">
        <f t="shared" si="9"/>
        <v>1.4856276583007956E-5</v>
      </c>
      <c r="U76" s="143"/>
      <c r="W76" s="130" t="str">
        <f t="shared" si="7"/>
        <v>1D</v>
      </c>
      <c r="X76" s="128">
        <f>_xll.qlCalendarAdvance(Calendar,X75,W76,"f",FALSE)</f>
        <v>42335</v>
      </c>
      <c r="Y76" s="131">
        <f>_xll.qlCalendarAdvance(Calendar,X76,NDays&amp;"D")</f>
        <v>42339</v>
      </c>
      <c r="Z76" s="132">
        <v>-3.8890548047141465E-4</v>
      </c>
      <c r="AA76" s="129">
        <v>-4.9079964540510446E-4</v>
      </c>
    </row>
    <row r="77" spans="10:27" ht="12" thickBot="1" x14ac:dyDescent="0.25">
      <c r="N77" s="176"/>
      <c r="S77" s="1"/>
      <c r="T77" s="181"/>
      <c r="U77" s="143"/>
      <c r="W77" s="130" t="str">
        <f t="shared" si="7"/>
        <v>1D</v>
      </c>
      <c r="X77" s="128">
        <f>_xll.qlCalendarAdvance(Calendar,X76,W77,"f",FALSE)</f>
        <v>42338</v>
      </c>
      <c r="Y77" s="131">
        <f>_xll.qlCalendarAdvance(Calendar,X77,NDays&amp;"D")</f>
        <v>42340</v>
      </c>
      <c r="Z77" s="132">
        <v>-3.8815372417639812E-4</v>
      </c>
      <c r="AA77" s="129">
        <v>-4.9309202561076404E-4</v>
      </c>
    </row>
    <row r="78" spans="10:27" x14ac:dyDescent="0.2">
      <c r="M78" s="120"/>
      <c r="N78" s="120" t="s">
        <v>159</v>
      </c>
      <c r="O78" s="121" t="s">
        <v>6</v>
      </c>
      <c r="P78" s="121" t="s">
        <v>69</v>
      </c>
      <c r="Q78" s="136" t="s">
        <v>160</v>
      </c>
      <c r="R78" s="121" t="s">
        <v>161</v>
      </c>
      <c r="S78" s="121" t="s">
        <v>170</v>
      </c>
      <c r="T78" s="137" t="s">
        <v>162</v>
      </c>
      <c r="W78" s="130" t="str">
        <f t="shared" si="7"/>
        <v>1D</v>
      </c>
      <c r="X78" s="128">
        <f>_xll.qlCalendarAdvance(Calendar,X77,W78,"f",FALSE)</f>
        <v>42339</v>
      </c>
      <c r="Y78" s="131">
        <f>_xll.qlCalendarAdvance(Calendar,X78,NDays&amp;"D")</f>
        <v>42341</v>
      </c>
      <c r="Z78" s="132">
        <v>-3.8737384443978404E-4</v>
      </c>
      <c r="AA78" s="129">
        <v>-4.9538330961329535E-4</v>
      </c>
    </row>
    <row r="79" spans="10:27" x14ac:dyDescent="0.2">
      <c r="M79" s="130" t="str">
        <f t="array" ref="M79:M115">_xll.ohFilter(RateHelpers!E70:E106,IF(ISERROR(RateHelpers!G70:G106),FALSE,TRUE))</f>
        <v>obj_006bc#0004</v>
      </c>
      <c r="N79" s="130" t="str">
        <f>_xll.qlRateHelperQuoteName(M79)</f>
        <v>EURAB3E1Y_Quote</v>
      </c>
      <c r="O79" s="128" t="e">
        <f ca="1">_xll.qlRateHelperLatestDate(M79,Trigger)</f>
        <v>#NAME?</v>
      </c>
      <c r="P79" s="138">
        <f>_xll.qlRateHelperQuoteValue(M79,_xll.ohTrigger(RecalcTrigger,YieldCurve))</f>
        <v>-3.6999999999999999E-4</v>
      </c>
      <c r="Q79" s="139" t="str">
        <f t="array" ref="Q79:Q115">_xll.ohFilter(RateHelpers!D70:D106,IF(ISERROR(RateHelpers!G70:G106),FALSE,TRUE))</f>
        <v>1Y</v>
      </c>
      <c r="R79" s="140" t="str">
        <f>_xll.qlSwapIndex(,"Euribor",Q79,NDays,Currency,Calendar,"1y","mf",BondBasisDayCounter,IborIndex,Discounting,,_xll.ohTrigger(Trigger,RecalcTrigger))</f>
        <v>obj_006f7#0006</v>
      </c>
      <c r="S79" s="141">
        <f>_xll.qlIndexFixing(R79,$X$19,TRUE,Trigger)</f>
        <v>-3.64231382208874E-4</v>
      </c>
      <c r="T79" s="165">
        <f t="shared" ref="T79:T115" si="10">S79-P79</f>
        <v>5.7686177911259987E-6</v>
      </c>
      <c r="W79" s="130" t="str">
        <f t="shared" si="7"/>
        <v>1D</v>
      </c>
      <c r="X79" s="128">
        <f>_xll.qlCalendarAdvance(Calendar,X78,W79,"f",FALSE)</f>
        <v>42340</v>
      </c>
      <c r="Y79" s="131">
        <f>_xll.qlCalendarAdvance(Calendar,X79,NDays&amp;"D")</f>
        <v>42342</v>
      </c>
      <c r="Z79" s="132">
        <v>-3.8656611349304067E-4</v>
      </c>
      <c r="AA79" s="129">
        <v>-4.9996152916342851E-4</v>
      </c>
    </row>
    <row r="80" spans="10:27" x14ac:dyDescent="0.2">
      <c r="M80" s="130" t="str">
        <v>obj_006d0#0004</v>
      </c>
      <c r="N80" s="130" t="str">
        <f>_xll.qlRateHelperQuoteName(M80)</f>
        <v>EURAB3E15M_Quote</v>
      </c>
      <c r="O80" s="128" t="e">
        <f ca="1">_xll.qlRateHelperLatestDate(M80,Trigger)</f>
        <v>#NAME?</v>
      </c>
      <c r="P80" s="138">
        <f>_xll.qlRateHelperQuoteValue(M80,_xll.ohTrigger(RecalcTrigger,YieldCurve))</f>
        <v>-3.4000000000000002E-4</v>
      </c>
      <c r="Q80" s="142" t="str">
        <v>15M</v>
      </c>
      <c r="R80" s="140" t="str">
        <f>_xll.qlSwapIndex(,"Euribor",Q80,NDays,Currency,Calendar,"1y","mf",BondBasisDayCounter,IborIndex,Discounting,,_xll.ohTrigger(Trigger,RecalcTrigger))</f>
        <v>obj_006ee#0006</v>
      </c>
      <c r="S80" s="141">
        <f>_xll.qlIndexFixing(R80,$X$19,TRUE,Trigger)</f>
        <v>-3.3013699826399282E-4</v>
      </c>
      <c r="T80" s="165">
        <f t="shared" si="10"/>
        <v>9.8630017360072089E-6</v>
      </c>
      <c r="U80" s="143"/>
      <c r="W80" s="130" t="str">
        <f t="shared" si="7"/>
        <v>1D</v>
      </c>
      <c r="X80" s="128">
        <f>_xll.qlCalendarAdvance(Calendar,X79,W80,"f",FALSE)</f>
        <v>42341</v>
      </c>
      <c r="Y80" s="131">
        <f>_xll.qlCalendarAdvance(Calendar,X80,NDays&amp;"D")</f>
        <v>42345</v>
      </c>
      <c r="Z80" s="132">
        <v>-3.8397853570232353E-4</v>
      </c>
      <c r="AA80" s="129">
        <v>-5.0453748295264944E-4</v>
      </c>
    </row>
    <row r="81" spans="13:27" x14ac:dyDescent="0.2">
      <c r="M81" s="130" t="str">
        <v>obj_006cb#0004</v>
      </c>
      <c r="N81" s="130" t="str">
        <f>_xll.qlRateHelperQuoteName(M81)</f>
        <v>EURAB3E18M_Quote</v>
      </c>
      <c r="O81" s="128" t="e">
        <f ca="1">_xll.qlRateHelperLatestDate(M81,Trigger)</f>
        <v>#NAME?</v>
      </c>
      <c r="P81" s="138">
        <f>_xll.qlRateHelperQuoteValue(M81,_xll.ohTrigger(RecalcTrigger,YieldCurve))</f>
        <v>-2.7000000000000006E-4</v>
      </c>
      <c r="Q81" s="142" t="str">
        <v>18M</v>
      </c>
      <c r="R81" s="140" t="str">
        <f>_xll.qlSwapIndex(,"Euribor",Q81,NDays,Currency,Calendar,"1y","mf",BondBasisDayCounter,IborIndex,Discounting,,_xll.ohTrigger(Trigger,RecalcTrigger))</f>
        <v>obj_006e6#0006</v>
      </c>
      <c r="S81" s="141">
        <f>_xll.qlIndexFixing(R81,$X$19,TRUE,Trigger)</f>
        <v>-2.7410347633008712E-4</v>
      </c>
      <c r="T81" s="165">
        <f t="shared" si="10"/>
        <v>-4.1034763300870658E-6</v>
      </c>
      <c r="W81" s="130" t="str">
        <f t="shared" si="7"/>
        <v>1D</v>
      </c>
      <c r="X81" s="128">
        <f>_xll.qlCalendarAdvance(Calendar,X80,W81,"f",FALSE)</f>
        <v>42342</v>
      </c>
      <c r="Y81" s="131">
        <f>_xll.qlCalendarAdvance(Calendar,X81,NDays&amp;"D")</f>
        <v>42346</v>
      </c>
      <c r="Z81" s="132">
        <v>-3.8306212222930479E-4</v>
      </c>
      <c r="AA81" s="129">
        <v>-5.0682328561979517E-4</v>
      </c>
    </row>
    <row r="82" spans="13:27" x14ac:dyDescent="0.2">
      <c r="M82" s="130" t="str">
        <v>obj_006c6#0004</v>
      </c>
      <c r="N82" s="130" t="str">
        <f>_xll.qlRateHelperQuoteName(M82)</f>
        <v>EURAB3E21M_Quote</v>
      </c>
      <c r="O82" s="128" t="e">
        <f ca="1">_xll.qlRateHelperLatestDate(M82,Trigger)</f>
        <v>#NAME?</v>
      </c>
      <c r="P82" s="138">
        <f>_xll.qlRateHelperQuoteValue(M82,_xll.ohTrigger(RecalcTrigger,YieldCurve))</f>
        <v>-2.0000000000000001E-4</v>
      </c>
      <c r="Q82" s="142" t="str">
        <v>21M</v>
      </c>
      <c r="R82" s="140" t="str">
        <f>_xll.qlSwapIndex(,"Euribor",Q82,NDays,Currency,Calendar,"1y","mf",BondBasisDayCounter,IborIndex,Discounting,,_xll.ohTrigger(Trigger,RecalcTrigger))</f>
        <v>obj_006f3#0006</v>
      </c>
      <c r="S82" s="141">
        <f>_xll.qlIndexFixing(R82,$X$19,TRUE,Trigger)</f>
        <v>-1.9021135964538571E-4</v>
      </c>
      <c r="T82" s="165">
        <f t="shared" si="10"/>
        <v>9.7886403546142999E-6</v>
      </c>
      <c r="W82" s="130" t="str">
        <f t="shared" si="7"/>
        <v>1D</v>
      </c>
      <c r="X82" s="128">
        <f>_xll.qlCalendarAdvance(Calendar,X81,W82,"f",FALSE)</f>
        <v>42345</v>
      </c>
      <c r="Y82" s="131">
        <f>_xll.qlCalendarAdvance(Calendar,X82,NDays&amp;"D")</f>
        <v>42347</v>
      </c>
      <c r="Z82" s="132">
        <v>-3.8211921870042294E-4</v>
      </c>
      <c r="AA82" s="129">
        <v>-5.0910799200387657E-4</v>
      </c>
    </row>
    <row r="83" spans="13:27" x14ac:dyDescent="0.2">
      <c r="M83" s="130" t="str">
        <v>obj_006c1#0004</v>
      </c>
      <c r="N83" s="130" t="str">
        <f>_xll.qlRateHelperQuoteName(M83)</f>
        <v>EURAB3E2Y_Quote</v>
      </c>
      <c r="O83" s="128" t="e">
        <f ca="1">_xll.qlRateHelperLatestDate(M83,Trigger)</f>
        <v>#NAME?</v>
      </c>
      <c r="P83" s="138">
        <f>_xll.qlRateHelperQuoteValue(M83,_xll.ohTrigger(RecalcTrigger,YieldCurve))</f>
        <v>-7.9999999999999979E-5</v>
      </c>
      <c r="Q83" s="142" t="str">
        <v>2Y</v>
      </c>
      <c r="R83" s="140" t="str">
        <f>_xll.qlSwapIndex(,"Euribor",Q83,NDays,Currency,Calendar,"1y","mf",BondBasisDayCounter,IborIndex,Discounting,,_xll.ohTrigger(Trigger,RecalcTrigger))</f>
        <v>obj_006f2#0006</v>
      </c>
      <c r="S83" s="141">
        <f>_xll.qlIndexFixing(R83,$X$19,TRUE,Trigger)</f>
        <v>-7.984863054352779E-5</v>
      </c>
      <c r="T83" s="165">
        <f t="shared" si="10"/>
        <v>1.5136945647218963E-7</v>
      </c>
      <c r="U83" s="119" t="s">
        <v>163</v>
      </c>
      <c r="W83" s="130" t="str">
        <f t="shared" si="7"/>
        <v>1D</v>
      </c>
      <c r="X83" s="128">
        <f>_xll.qlCalendarAdvance(Calendar,X82,W83,"f",FALSE)</f>
        <v>42346</v>
      </c>
      <c r="Y83" s="131">
        <f>_xll.qlCalendarAdvance(Calendar,X83,NDays&amp;"D")</f>
        <v>42348</v>
      </c>
      <c r="Z83" s="132">
        <v>-3.8115009734582841E-4</v>
      </c>
      <c r="AA83" s="129">
        <v>-5.1139160206492562E-4</v>
      </c>
    </row>
    <row r="84" spans="13:27" x14ac:dyDescent="0.2">
      <c r="M84" s="130" t="str">
        <v>obj_006df#0004</v>
      </c>
      <c r="N84" s="130" t="str">
        <f>_xll.qlRateHelperQuoteName(M84)</f>
        <v>EURAB3E3Y_Quote</v>
      </c>
      <c r="O84" s="128" t="e">
        <f ca="1">_xll.qlRateHelperLatestDate(M84,Trigger)</f>
        <v>#NAME?</v>
      </c>
      <c r="P84" s="138">
        <f>_xll.qlRateHelperQuoteValue(M84,_xll.ohTrigger(RecalcTrigger,YieldCurve))</f>
        <v>5.9999999999999995E-4</v>
      </c>
      <c r="Q84" s="142" t="str">
        <v>3Y</v>
      </c>
      <c r="R84" s="140" t="str">
        <f>_xll.qlSwapIndex(,"Euribor",Q84,NDays,Currency,Calendar,"1y","mf",BondBasisDayCounter,IborIndex,Discounting,,_xll.ohTrigger(Trigger,RecalcTrigger))</f>
        <v>obj_006e5#0006</v>
      </c>
      <c r="S84" s="141">
        <f>_xll.qlIndexFixing(R84,$X$19,TRUE,Trigger)</f>
        <v>5.9999999986026797E-4</v>
      </c>
      <c r="T84" s="165">
        <f>S84-P84</f>
        <v>-1.3973197598993181E-13</v>
      </c>
      <c r="U84" s="145">
        <f t="array" ref="U84">MAX(ABS(T84:T100))</f>
        <v>6.9078717073820656E-6</v>
      </c>
      <c r="W84" s="130" t="str">
        <f t="shared" si="7"/>
        <v>1D</v>
      </c>
      <c r="X84" s="128">
        <f>_xll.qlCalendarAdvance(Calendar,X83,W84,"f",FALSE)</f>
        <v>42347</v>
      </c>
      <c r="Y84" s="131">
        <f>_xll.qlCalendarAdvance(Calendar,X84,NDays&amp;"D")</f>
        <v>42349</v>
      </c>
      <c r="Z84" s="132">
        <v>-3.8015503039874626E-4</v>
      </c>
      <c r="AA84" s="129">
        <v>-5.1464417063940004E-4</v>
      </c>
    </row>
    <row r="85" spans="13:27" x14ac:dyDescent="0.2">
      <c r="M85" s="130" t="str">
        <v>obj_006db#0004</v>
      </c>
      <c r="N85" s="130" t="str">
        <f>_xll.qlRateHelperQuoteName(M85)</f>
        <v>EURAB3E4Y_Quote</v>
      </c>
      <c r="O85" s="128" t="e">
        <f ca="1">_xll.qlRateHelperLatestDate(M85,Trigger)</f>
        <v>#NAME?</v>
      </c>
      <c r="P85" s="138">
        <f>_xll.qlRateHelperQuoteValue(M85,_xll.ohTrigger(RecalcTrigger,YieldCurve))</f>
        <v>1.6200000000000001E-3</v>
      </c>
      <c r="Q85" s="142" t="str">
        <v>4Y</v>
      </c>
      <c r="R85" s="140" t="str">
        <f>_xll.qlSwapIndex(,"Euribor",Q85,NDays,Currency,Calendar,"1y","mf",BondBasisDayCounter,IborIndex,Discounting,,_xll.ohTrigger(Trigger,RecalcTrigger))</f>
        <v>obj_006f4#0006</v>
      </c>
      <c r="S85" s="141">
        <f>_xll.qlIndexFixing(R85,$X$19,TRUE,Trigger)</f>
        <v>1.6199999999972465E-3</v>
      </c>
      <c r="T85" s="165">
        <f t="shared" si="10"/>
        <v>-2.7536566776786842E-15</v>
      </c>
      <c r="W85" s="130" t="str">
        <f t="shared" ref="W85:W148" si="11">W84</f>
        <v>1D</v>
      </c>
      <c r="X85" s="128">
        <f>_xll.qlCalendarAdvance(Calendar,X84,W85,"f",FALSE)</f>
        <v>42348</v>
      </c>
      <c r="Y85" s="131">
        <f>_xll.qlCalendarAdvance(Calendar,X85,NDays&amp;"D")</f>
        <v>42352</v>
      </c>
      <c r="Z85" s="132">
        <v>-3.7706006966972775E-4</v>
      </c>
      <c r="AA85" s="129">
        <v>-5.1512844845724715E-4</v>
      </c>
    </row>
    <row r="86" spans="13:27" x14ac:dyDescent="0.2">
      <c r="M86" s="130" t="str">
        <v>obj_006d8#0004</v>
      </c>
      <c r="N86" s="130" t="str">
        <f>_xll.qlRateHelperQuoteName(M86)</f>
        <v>EURAB3E5Y_Quote</v>
      </c>
      <c r="O86" s="128" t="e">
        <f ca="1">_xll.qlRateHelperLatestDate(M86,Trigger)</f>
        <v>#NAME?</v>
      </c>
      <c r="P86" s="138">
        <f>_xll.qlRateHelperQuoteValue(M86,_xll.ohTrigger(RecalcTrigger,YieldCurve))</f>
        <v>2.8300000000000005E-3</v>
      </c>
      <c r="Q86" s="142" t="str">
        <v>5Y</v>
      </c>
      <c r="R86" s="140" t="str">
        <f>_xll.qlSwapIndex(,"Euribor",Q86,NDays,Currency,Calendar,"1y","mf",BondBasisDayCounter,IborIndex,Discounting,,_xll.ohTrigger(Trigger,RecalcTrigger))</f>
        <v>obj_006f1#0006</v>
      </c>
      <c r="S86" s="141">
        <f>_xll.qlIndexFixing(R86,$X$19,TRUE,Trigger)</f>
        <v>2.8299999999799722E-3</v>
      </c>
      <c r="T86" s="165">
        <f t="shared" si="10"/>
        <v>-2.0028249891890226E-14</v>
      </c>
      <c r="W86" s="130" t="str">
        <f t="shared" si="11"/>
        <v>1D</v>
      </c>
      <c r="X86" s="128">
        <f>_xll.qlCalendarAdvance(Calendar,X85,W86,"f",FALSE)</f>
        <v>42349</v>
      </c>
      <c r="Y86" s="131">
        <f>_xll.qlCalendarAdvance(Calendar,X86,NDays&amp;"D")</f>
        <v>42353</v>
      </c>
      <c r="Z86" s="132">
        <v>-3.76023130860624E-4</v>
      </c>
      <c r="AA86" s="129">
        <v>-5.1391254611843351E-4</v>
      </c>
    </row>
    <row r="87" spans="13:27" x14ac:dyDescent="0.2">
      <c r="M87" s="130" t="str">
        <v>obj_006d4#0004</v>
      </c>
      <c r="N87" s="130" t="str">
        <f>_xll.qlRateHelperQuoteName(M87)</f>
        <v>EURAB3E6Y_Quote</v>
      </c>
      <c r="O87" s="128" t="e">
        <f ca="1">_xll.qlRateHelperLatestDate(M87,Trigger)</f>
        <v>#NAME?</v>
      </c>
      <c r="P87" s="138">
        <f>_xll.qlRateHelperQuoteValue(M87,_xll.ohTrigger(RecalcTrigger,YieldCurve))</f>
        <v>4.2300000000000003E-3</v>
      </c>
      <c r="Q87" s="142" t="str">
        <v>6Y</v>
      </c>
      <c r="R87" s="140" t="str">
        <f>_xll.qlSwapIndex(,"Euribor",Q87,NDays,Currency,Calendar,"1y","mf",BondBasisDayCounter,IborIndex,Discounting,,_xll.ohTrigger(Trigger,RecalcTrigger))</f>
        <v>obj_006e3#0006</v>
      </c>
      <c r="S87" s="141">
        <f>_xll.qlIndexFixing(R87,$X$19,TRUE,Trigger)</f>
        <v>4.2299999999465491E-3</v>
      </c>
      <c r="T87" s="165">
        <f t="shared" si="10"/>
        <v>-5.3451167103535369E-14</v>
      </c>
      <c r="W87" s="130" t="str">
        <f t="shared" si="11"/>
        <v>1D</v>
      </c>
      <c r="X87" s="128">
        <f>_xll.qlCalendarAdvance(Calendar,X86,W87,"f",FALSE)</f>
        <v>42352</v>
      </c>
      <c r="Y87" s="131">
        <f>_xll.qlCalendarAdvance(Calendar,X87,NDays&amp;"D")</f>
        <v>42354</v>
      </c>
      <c r="Z87" s="132">
        <v>-3.7499999999927245E-4</v>
      </c>
      <c r="AA87" s="129">
        <v>-5.1197175391148875E-4</v>
      </c>
    </row>
    <row r="88" spans="13:27" x14ac:dyDescent="0.2">
      <c r="M88" s="130" t="str">
        <v>obj_006cf#0004</v>
      </c>
      <c r="N88" s="130" t="str">
        <f>_xll.qlRateHelperQuoteName(M88)</f>
        <v>EURAB3E7Y_Quote</v>
      </c>
      <c r="O88" s="128" t="e">
        <f ca="1">_xll.qlRateHelperLatestDate(M88,Trigger)</f>
        <v>#NAME?</v>
      </c>
      <c r="P88" s="138">
        <f>_xll.qlRateHelperQuoteValue(M88,_xll.ohTrigger(RecalcTrigger,YieldCurve))</f>
        <v>5.6399999999999992E-3</v>
      </c>
      <c r="Q88" s="142" t="str">
        <v>7Y</v>
      </c>
      <c r="R88" s="140" t="str">
        <f>_xll.qlSwapIndex(,"Euribor",Q88,NDays,Currency,Calendar,"1y","mf",BondBasisDayCounter,IborIndex,Discounting,,_xll.ohTrigger(Trigger,RecalcTrigger))</f>
        <v>obj_006e8#0006</v>
      </c>
      <c r="S88" s="141">
        <f>_xll.qlIndexFixing(R88,$X$19,TRUE,Trigger)</f>
        <v>5.6399999999992107E-3</v>
      </c>
      <c r="T88" s="165">
        <f t="shared" si="10"/>
        <v>-7.8843181983145882E-16</v>
      </c>
      <c r="W88" s="130" t="str">
        <f t="shared" si="11"/>
        <v>1D</v>
      </c>
      <c r="X88" s="128">
        <f>_xll.qlCalendarAdvance(Calendar,X87,W88,"f",FALSE)</f>
        <v>42353</v>
      </c>
      <c r="Y88" s="131">
        <f>_xll.qlCalendarAdvance(Calendar,X88,NDays&amp;"D")</f>
        <v>42355</v>
      </c>
      <c r="Z88" s="132">
        <v>-3.7399887087857006E-4</v>
      </c>
      <c r="AA88" s="129">
        <v>-5.0990492828084655E-4</v>
      </c>
    </row>
    <row r="89" spans="13:27" x14ac:dyDescent="0.2">
      <c r="M89" s="130" t="str">
        <v>obj_006ca#0004</v>
      </c>
      <c r="N89" s="130" t="str">
        <f>_xll.qlRateHelperQuoteName(M89)</f>
        <v>EURAB3E8Y_Quote</v>
      </c>
      <c r="O89" s="128" t="e">
        <f ca="1">_xll.qlRateHelperLatestDate(M89,Trigger)</f>
        <v>#NAME?</v>
      </c>
      <c r="P89" s="138">
        <f>_xll.qlRateHelperQuoteValue(M89,_xll.ohTrigger(RecalcTrigger,YieldCurve))</f>
        <v>7.0199999999999993E-3</v>
      </c>
      <c r="Q89" s="142" t="str">
        <v>8Y</v>
      </c>
      <c r="R89" s="140" t="str">
        <f>_xll.qlSwapIndex(,"Euribor",Q89,NDays,Currency,Calendar,"1y","mf",BondBasisDayCounter,IborIndex,Discounting,,_xll.ohTrigger(Trigger,RecalcTrigger))</f>
        <v>obj_006e7#0006</v>
      </c>
      <c r="S89" s="141">
        <f>_xll.qlIndexFixing(R89,$X$19,TRUE,Trigger)</f>
        <v>7.0199999999239118E-3</v>
      </c>
      <c r="T89" s="165">
        <f t="shared" si="10"/>
        <v>-7.6087573741556724E-14</v>
      </c>
      <c r="W89" s="130" t="str">
        <f t="shared" si="11"/>
        <v>1D</v>
      </c>
      <c r="X89" s="128">
        <f>_xll.qlCalendarAdvance(Calendar,X88,W89,"f",FALSE)</f>
        <v>42354</v>
      </c>
      <c r="Y89" s="131">
        <f>_xll.qlCalendarAdvance(Calendar,X89,NDays&amp;"D")</f>
        <v>42356</v>
      </c>
      <c r="Z89" s="132">
        <v>-3.7302123105979973E-4</v>
      </c>
      <c r="AA89" s="129">
        <v>-5.0584950208598656E-4</v>
      </c>
    </row>
    <row r="90" spans="13:27" x14ac:dyDescent="0.2">
      <c r="M90" s="130" t="str">
        <v>obj_006c5#0004</v>
      </c>
      <c r="N90" s="130" t="str">
        <f>_xll.qlRateHelperQuoteName(M90)</f>
        <v>EURAB3E9Y_Quote</v>
      </c>
      <c r="O90" s="128" t="e">
        <f ca="1">_xll.qlRateHelperLatestDate(M90,Trigger)</f>
        <v>#NAME?</v>
      </c>
      <c r="P90" s="138">
        <f>_xll.qlRateHelperQuoteValue(M90,_xll.ohTrigger(RecalcTrigger,YieldCurve))</f>
        <v>8.3100000000000014E-3</v>
      </c>
      <c r="Q90" s="142" t="str">
        <v>9Y</v>
      </c>
      <c r="R90" s="140" t="str">
        <f>_xll.qlSwapIndex(,"Euribor",Q90,NDays,Currency,Calendar,"1y","mf",BondBasisDayCounter,IborIndex,Discounting,,_xll.ohTrigger(Trigger,RecalcTrigger))</f>
        <v>obj_006f5#0006</v>
      </c>
      <c r="S90" s="141">
        <f>_xll.qlIndexFixing(R90,$X$19,TRUE,Trigger)</f>
        <v>8.3100000001183061E-3</v>
      </c>
      <c r="T90" s="165">
        <f t="shared" si="10"/>
        <v>1.1830467161466629E-13</v>
      </c>
      <c r="W90" s="130" t="str">
        <f t="shared" si="11"/>
        <v>1D</v>
      </c>
      <c r="X90" s="128">
        <f>_xll.qlCalendarAdvance(Calendar,X89,W90,"f",FALSE)</f>
        <v>42355</v>
      </c>
      <c r="Y90" s="131">
        <f>_xll.qlCalendarAdvance(Calendar,X90,NDays&amp;"D")</f>
        <v>42359</v>
      </c>
      <c r="Z90" s="132">
        <v>-3.7022735743416239E-4</v>
      </c>
      <c r="AA90" s="129">
        <v>-5.0187443345173222E-4</v>
      </c>
    </row>
    <row r="91" spans="13:27" x14ac:dyDescent="0.2">
      <c r="M91" s="130" t="str">
        <v>obj_006c0#0004</v>
      </c>
      <c r="N91" s="130" t="str">
        <f>_xll.qlRateHelperQuoteName(M91)</f>
        <v>EURAB3E10Y_Quote</v>
      </c>
      <c r="O91" s="128" t="e">
        <f ca="1">_xll.qlRateHelperLatestDate(M91,Trigger)</f>
        <v>#NAME?</v>
      </c>
      <c r="P91" s="138">
        <f>_xll.qlRateHelperQuoteValue(M91,_xll.ohTrigger(RecalcTrigger,YieldCurve))</f>
        <v>9.4399999999999987E-3</v>
      </c>
      <c r="Q91" s="142" t="str">
        <v>10Y</v>
      </c>
      <c r="R91" s="140" t="str">
        <f>_xll.qlSwapIndex(,"Euribor",Q91,NDays,Currency,Calendar,"1y","mf",BondBasisDayCounter,IborIndex,Discounting,,_xll.ohTrigger(Trigger,RecalcTrigger))</f>
        <v>obj_006ef#0006</v>
      </c>
      <c r="S91" s="141">
        <f>_xll.qlIndexFixing(R91,$X$19,TRUE,Trigger)</f>
        <v>9.4400000000316349E-3</v>
      </c>
      <c r="T91" s="165">
        <f t="shared" si="10"/>
        <v>3.1636152031389031E-14</v>
      </c>
      <c r="W91" s="130" t="str">
        <f t="shared" si="11"/>
        <v>1D</v>
      </c>
      <c r="X91" s="128">
        <f>_xll.qlCalendarAdvance(Calendar,X90,W91,"f",FALSE)</f>
        <v>42356</v>
      </c>
      <c r="Y91" s="131">
        <f>_xll.qlCalendarAdvance(Calendar,X91,NDays&amp;"D")</f>
        <v>42360</v>
      </c>
      <c r="Z91" s="132">
        <v>-3.6934178483737014E-4</v>
      </c>
      <c r="AA91" s="129">
        <v>-4.9992601154791316E-4</v>
      </c>
    </row>
    <row r="92" spans="13:27" x14ac:dyDescent="0.2">
      <c r="M92" s="130" t="str">
        <v>obj_006de#0004</v>
      </c>
      <c r="N92" s="130" t="str">
        <f>_xll.qlRateHelperQuoteName(M92)</f>
        <v>EURAB3E11Y_Quote</v>
      </c>
      <c r="O92" s="128" t="e">
        <f ca="1">_xll.qlRateHelperLatestDate(M92,Trigger)</f>
        <v>#NAME?</v>
      </c>
      <c r="P92" s="138">
        <f>_xll.qlRateHelperQuoteValue(M92,_xll.ohTrigger(RecalcTrigger,YieldCurve))</f>
        <v>1.0459999999999999E-2</v>
      </c>
      <c r="Q92" s="142" t="str">
        <v>11Y</v>
      </c>
      <c r="R92" s="140" t="str">
        <f>_xll.qlSwapIndex(,"Euribor",Q92,NDays,Currency,Calendar,"1y","mf",BondBasisDayCounter,IborIndex,Discounting,,_xll.ohTrigger(Trigger,RecalcTrigger))</f>
        <v>obj_006eb#0006</v>
      </c>
      <c r="S92" s="141">
        <f>_xll.qlIndexFixing(R92,$X$19,TRUE,Trigger)</f>
        <v>1.0453092128292617E-2</v>
      </c>
      <c r="T92" s="165">
        <f t="shared" si="10"/>
        <v>-6.9078717073820656E-6</v>
      </c>
      <c r="W92" s="130" t="str">
        <f t="shared" si="11"/>
        <v>1D</v>
      </c>
      <c r="X92" s="128">
        <f>_xll.qlCalendarAdvance(Calendar,X91,W92,"f",FALSE)</f>
        <v>42359</v>
      </c>
      <c r="Y92" s="131">
        <f>_xll.qlCalendarAdvance(Calendar,X92,NDays&amp;"D")</f>
        <v>42361</v>
      </c>
      <c r="Z92" s="132">
        <v>-3.6847875654941523E-4</v>
      </c>
      <c r="AA92" s="129">
        <v>-4.9800127050136922E-4</v>
      </c>
    </row>
    <row r="93" spans="13:27" x14ac:dyDescent="0.2">
      <c r="M93" s="130" t="str">
        <v>obj_006e0#0004</v>
      </c>
      <c r="N93" s="130" t="str">
        <f>_xll.qlRateHelperQuoteName(M93)</f>
        <v>EURAB3E12Y_Quote</v>
      </c>
      <c r="O93" s="128" t="e">
        <f ca="1">_xll.qlRateHelperLatestDate(M93,Trigger)</f>
        <v>#NAME?</v>
      </c>
      <c r="P93" s="138">
        <f>_xll.qlRateHelperQuoteValue(M93,_xll.ohTrigger(RecalcTrigger,YieldCurve))</f>
        <v>1.1350000000000001E-2</v>
      </c>
      <c r="Q93" s="142" t="str">
        <v>12Y</v>
      </c>
      <c r="R93" s="140" t="str">
        <f>_xll.qlSwapIndex(,"Euribor",Q93,NDays,Currency,Calendar,"1y","mf",BondBasisDayCounter,IborIndex,Discounting,,_xll.ohTrigger(Trigger,RecalcTrigger))</f>
        <v>obj_006f9#0006</v>
      </c>
      <c r="S93" s="141">
        <f>_xll.qlIndexFixing(R93,$X$19,TRUE,Trigger)</f>
        <v>1.1350000000078646E-2</v>
      </c>
      <c r="T93" s="165">
        <f t="shared" si="10"/>
        <v>7.8645423506884526E-14</v>
      </c>
      <c r="W93" s="130" t="str">
        <f t="shared" si="11"/>
        <v>1D</v>
      </c>
      <c r="X93" s="128">
        <f>_xll.qlCalendarAdvance(Calendar,X92,W93,"f",FALSE)</f>
        <v>42360</v>
      </c>
      <c r="Y93" s="131">
        <f>_xll.qlCalendarAdvance(Calendar,X93,NDays&amp;"D")</f>
        <v>42362</v>
      </c>
      <c r="Z93" s="132">
        <v>-3.6763808356719878E-4</v>
      </c>
      <c r="AA93" s="129">
        <v>-4.933068076828917E-4</v>
      </c>
    </row>
    <row r="94" spans="13:27" x14ac:dyDescent="0.2">
      <c r="M94" s="130" t="str">
        <v>obj_006ce#0004</v>
      </c>
      <c r="N94" s="130" t="str">
        <f>_xll.qlRateHelperQuoteName(M94)</f>
        <v>EURAB3E15Y_Quote</v>
      </c>
      <c r="O94" s="128" t="e">
        <f ca="1">_xll.qlRateHelperLatestDate(M94,Trigger)</f>
        <v>#NAME?</v>
      </c>
      <c r="P94" s="138">
        <f>_xll.qlRateHelperQuoteValue(M94,_xll.ohTrigger(RecalcTrigger,YieldCurve))</f>
        <v>1.3309999999999999E-2</v>
      </c>
      <c r="Q94" s="142" t="str">
        <v>15Y</v>
      </c>
      <c r="R94" s="140" t="str">
        <f>_xll.qlSwapIndex(,"Euribor",Q94,NDays,Currency,Calendar,"1y","mf",BondBasisDayCounter,IborIndex,Discounting,,_xll.ohTrigger(Trigger,RecalcTrigger))</f>
        <v>obj_006e4#0006</v>
      </c>
      <c r="S94" s="141">
        <f>_xll.qlIndexFixing(R94,$X$19,TRUE,Trigger)</f>
        <v>1.3310000000003333E-2</v>
      </c>
      <c r="T94" s="165">
        <f t="shared" si="10"/>
        <v>3.3341385208274232E-15</v>
      </c>
      <c r="W94" s="130" t="str">
        <f t="shared" si="11"/>
        <v>1D</v>
      </c>
      <c r="X94" s="128">
        <f>_xll.qlCalendarAdvance(Calendar,X93,W94,"f",FALSE)</f>
        <v>42361</v>
      </c>
      <c r="Y94" s="131">
        <f>_xll.qlCalendarAdvance(Calendar,X94,NDays&amp;"D")</f>
        <v>42366</v>
      </c>
      <c r="Z94" s="132">
        <v>-3.6512130714480925E-4</v>
      </c>
      <c r="AA94" s="129">
        <v>-4.8873277660899106E-4</v>
      </c>
    </row>
    <row r="95" spans="13:27" x14ac:dyDescent="0.2">
      <c r="M95" s="130" t="str">
        <v>obj_006da#0004</v>
      </c>
      <c r="N95" s="130" t="str">
        <f>_xll.qlRateHelperQuoteName(M95)</f>
        <v>EURAB3E20Y_Quote</v>
      </c>
      <c r="O95" s="128" t="e">
        <f ca="1">_xll.qlRateHelperLatestDate(M95,Trigger)</f>
        <v>#NAME?</v>
      </c>
      <c r="P95" s="138">
        <f>_xll.qlRateHelperQuoteValue(M95,_xll.ohTrigger(RecalcTrigger,YieldCurve))</f>
        <v>1.4910000000000001E-2</v>
      </c>
      <c r="Q95" s="142" t="str">
        <v>20Y</v>
      </c>
      <c r="R95" s="140" t="str">
        <f>_xll.qlSwapIndex(,"Euribor",Q95,NDays,Currency,Calendar,"1y","mf",BondBasisDayCounter,IborIndex,Discounting,,_xll.ohTrigger(Trigger,RecalcTrigger))</f>
        <v>obj_006f0#0006</v>
      </c>
      <c r="S95" s="141">
        <f>_xll.qlIndexFixing(R95,$X$19,TRUE,Trigger)</f>
        <v>1.4909999999996464E-2</v>
      </c>
      <c r="T95" s="165">
        <f t="shared" si="10"/>
        <v>-3.5371011675167097E-15</v>
      </c>
      <c r="W95" s="130" t="str">
        <f t="shared" si="11"/>
        <v>1D</v>
      </c>
      <c r="X95" s="128">
        <f>_xll.qlCalendarAdvance(Calendar,X94,W95,"f",FALSE)</f>
        <v>42362</v>
      </c>
      <c r="Y95" s="131">
        <f>_xll.qlCalendarAdvance(Calendar,X95,NDays&amp;"D")</f>
        <v>42367</v>
      </c>
      <c r="Z95" s="132">
        <v>-3.6376343319039005E-4</v>
      </c>
      <c r="AA95" s="129">
        <v>-4.8695012014654537E-4</v>
      </c>
    </row>
    <row r="96" spans="13:27" x14ac:dyDescent="0.2">
      <c r="M96" s="130" t="str">
        <v>obj_006c3#0004</v>
      </c>
      <c r="N96" s="130" t="str">
        <f>_xll.qlRateHelperQuoteName(M96)</f>
        <v>EURAB3E25Y_Quote</v>
      </c>
      <c r="O96" s="128" t="e">
        <f ca="1">_xll.qlRateHelperLatestDate(M96,Trigger)</f>
        <v>#NAME?</v>
      </c>
      <c r="P96" s="138">
        <f>_xll.qlRateHelperQuoteValue(M96,_xll.ohTrigger(RecalcTrigger,YieldCurve))</f>
        <v>1.5350000000000001E-2</v>
      </c>
      <c r="Q96" s="142" t="str">
        <v>25Y</v>
      </c>
      <c r="R96" s="140" t="str">
        <f>_xll.qlSwapIndex(,"Euribor",Q96,NDays,Currency,Calendar,"1y","mf",BondBasisDayCounter,IborIndex,Discounting,,_xll.ohTrigger(Trigger,RecalcTrigger))</f>
        <v>obj_006f8#0006</v>
      </c>
      <c r="S96" s="141">
        <f>_xll.qlIndexFixing(R96,$X$19,TRUE,Trigger)</f>
        <v>1.5349999999999857E-2</v>
      </c>
      <c r="T96" s="165">
        <f t="shared" si="10"/>
        <v>-1.4398204850607499E-16</v>
      </c>
      <c r="W96" s="130" t="str">
        <f t="shared" si="11"/>
        <v>1D</v>
      </c>
      <c r="X96" s="128">
        <f>_xll.qlCalendarAdvance(Calendar,X95,W96,"f",FALSE)</f>
        <v>42366</v>
      </c>
      <c r="Y96" s="131">
        <f>_xll.qlCalendarAdvance(Calendar,X96,NDays&amp;"D")</f>
        <v>42368</v>
      </c>
      <c r="Z96" s="132">
        <v>-3.6305292300212329E-4</v>
      </c>
      <c r="AA96" s="129">
        <v>-4.8519114442147071E-4</v>
      </c>
    </row>
    <row r="97" spans="13:27" x14ac:dyDescent="0.2">
      <c r="M97" s="130" t="str">
        <v>obj_006d1#0004</v>
      </c>
      <c r="N97" s="130" t="str">
        <f>_xll.qlRateHelperQuoteName(M97)</f>
        <v>EURAB3E30Y_Quote</v>
      </c>
      <c r="O97" s="128" t="e">
        <f ca="1">_xll.qlRateHelperLatestDate(M97,Trigger)</f>
        <v>#NAME?</v>
      </c>
      <c r="P97" s="138">
        <f>_xll.qlRateHelperQuoteValue(M97,_xll.ohTrigger(RecalcTrigger,YieldCurve))</f>
        <v>1.5520000000000001E-2</v>
      </c>
      <c r="Q97" s="142" t="str">
        <v>30Y</v>
      </c>
      <c r="R97" s="140" t="str">
        <f>_xll.qlSwapIndex(,"Euribor",Q97,NDays,Currency,Calendar,"1y","mf",BondBasisDayCounter,IborIndex,Discounting,,_xll.ohTrigger(Trigger,RecalcTrigger))</f>
        <v>obj_006e9#0006</v>
      </c>
      <c r="S97" s="141">
        <f>_xll.qlIndexFixing(R97,$X$19,TRUE,Trigger)</f>
        <v>1.5519999999989213E-2</v>
      </c>
      <c r="T97" s="165">
        <f t="shared" si="10"/>
        <v>-1.0788245297099763E-14</v>
      </c>
      <c r="W97" s="130" t="str">
        <f t="shared" si="11"/>
        <v>1D</v>
      </c>
      <c r="X97" s="128">
        <f>_xll.qlCalendarAdvance(Calendar,X96,W97,"f",FALSE)</f>
        <v>42367</v>
      </c>
      <c r="Y97" s="131">
        <f>_xll.qlCalendarAdvance(Calendar,X97,NDays&amp;"D")</f>
        <v>42369</v>
      </c>
      <c r="Z97" s="132">
        <v>-3.623634450996597E-4</v>
      </c>
      <c r="AA97" s="129">
        <v>8.9610256517103082E-4</v>
      </c>
    </row>
    <row r="98" spans="13:27" x14ac:dyDescent="0.2">
      <c r="M98" s="130" t="str">
        <v>obj_006c7#0004</v>
      </c>
      <c r="N98" s="130" t="str">
        <f>_xll.qlRateHelperQuoteName(M98)</f>
        <v>EURAB3E40Y_Quote</v>
      </c>
      <c r="O98" s="128" t="e">
        <f ca="1">_xll.qlRateHelperLatestDate(M98,Trigger)</f>
        <v>#NAME?</v>
      </c>
      <c r="P98" s="138">
        <f>_xll.qlRateHelperQuoteValue(M98,_xll.ohTrigger(RecalcTrigger,YieldCurve))</f>
        <v>1.5730000000000001E-2</v>
      </c>
      <c r="Q98" s="146" t="str">
        <v>40Y</v>
      </c>
      <c r="R98" s="140" t="str">
        <f>_xll.qlSwapIndex(,"Euribor",Q98,NDays,Currency,Calendar,"1y","mf",BondBasisDayCounter,IborIndex,Discounting,,_xll.ohTrigger(Trigger,RecalcTrigger))</f>
        <v>obj_006f6#0006</v>
      </c>
      <c r="S98" s="141">
        <f>_xll.qlIndexFixing(R98,$X$19,TRUE,Trigger)</f>
        <v>1.573000000000007E-2</v>
      </c>
      <c r="T98" s="165">
        <f t="shared" si="10"/>
        <v>6.9388939039072284E-17</v>
      </c>
      <c r="W98" s="130" t="str">
        <f t="shared" si="11"/>
        <v>1D</v>
      </c>
      <c r="X98" s="128">
        <f>_xll.qlCalendarAdvance(Calendar,X97,W98,"f",FALSE)</f>
        <v>42368</v>
      </c>
      <c r="Y98" s="131">
        <f>_xll.qlCalendarAdvance(Calendar,X98,NDays&amp;"D")</f>
        <v>42373</v>
      </c>
      <c r="Z98" s="132">
        <v>-4.2033404366335219E-4</v>
      </c>
      <c r="AA98" s="129">
        <v>-4.7675147717640698E-4</v>
      </c>
    </row>
    <row r="99" spans="13:27" x14ac:dyDescent="0.2">
      <c r="M99" s="130" t="str">
        <v>obj_006c2#0004</v>
      </c>
      <c r="N99" s="130" t="str">
        <f>_xll.qlRateHelperQuoteName(M99)</f>
        <v>EURAB3E50Y_Quote</v>
      </c>
      <c r="O99" s="128" t="e">
        <f ca="1">_xll.qlRateHelperLatestDate(M99,Trigger)</f>
        <v>#NAME?</v>
      </c>
      <c r="P99" s="138">
        <f>_xll.qlRateHelperQuoteValue(M99,_xll.ohTrigger(RecalcTrigger,YieldCurve))</f>
        <v>1.541E-2</v>
      </c>
      <c r="Q99" s="146" t="str">
        <v>50Y</v>
      </c>
      <c r="R99" s="140" t="str">
        <f>_xll.qlSwapIndex(,"Euribor",Q99,NDays,Currency,Calendar,"1y","mf",BondBasisDayCounter,IborIndex,Discounting,,_xll.ohTrigger(Trigger,RecalcTrigger))</f>
        <v>obj_006ed#0006</v>
      </c>
      <c r="S99" s="141">
        <f>_xll.qlIndexFixing(R99,$X$19,TRUE,Trigger)</f>
        <v>1.5409999999974101E-2</v>
      </c>
      <c r="T99" s="165">
        <f t="shared" si="10"/>
        <v>-2.589942149633373E-14</v>
      </c>
      <c r="W99" s="130" t="str">
        <f t="shared" si="11"/>
        <v>1D</v>
      </c>
      <c r="X99" s="128">
        <f>_xll.qlCalendarAdvance(Calendar,X98,W99,"f",FALSE)</f>
        <v>42369</v>
      </c>
      <c r="Y99" s="131">
        <f>_xll.qlCalendarAdvance(Calendar,X99,NDays&amp;"D")</f>
        <v>42374</v>
      </c>
      <c r="Z99" s="132">
        <v>-4.1974690109889437E-4</v>
      </c>
      <c r="AA99" s="129">
        <v>-4.7513458599546254E-4</v>
      </c>
    </row>
    <row r="100" spans="13:27" x14ac:dyDescent="0.2">
      <c r="M100" s="130" t="str">
        <v>obj_006bd#0004</v>
      </c>
      <c r="N100" s="130" t="str">
        <f>_xll.qlRateHelperQuoteName(M100)</f>
        <v>EURAB3E60Y_Quote</v>
      </c>
      <c r="O100" s="128" t="e">
        <f ca="1">_xll.qlRateHelperLatestDate(M100,Trigger)</f>
        <v>#NAME?</v>
      </c>
      <c r="P100" s="138">
        <f>_xll.qlRateHelperQuoteValue(M100,_xll.ohTrigger(RecalcTrigger,YieldCurve))</f>
        <v>1.529E-2</v>
      </c>
      <c r="Q100" s="146" t="str">
        <v>60Y</v>
      </c>
      <c r="R100" s="140" t="str">
        <f>_xll.qlSwapIndex(,"Euribor",Q100,NDays,Currency,Calendar,"1y","mf",BondBasisDayCounter,IborIndex,Discounting,,_xll.ohTrigger(Trigger,RecalcTrigger))</f>
        <v>obj_006ea#0006</v>
      </c>
      <c r="S100" s="141">
        <f>_xll.qlIndexFixing(R100,$X$19,TRUE,Trigger)</f>
        <v>1.5289999999988325E-2</v>
      </c>
      <c r="T100" s="165">
        <f t="shared" si="10"/>
        <v>-1.1674688993323912E-14</v>
      </c>
      <c r="W100" s="130" t="str">
        <f t="shared" si="11"/>
        <v>1D</v>
      </c>
      <c r="X100" s="128">
        <f>_xll.qlCalendarAdvance(Calendar,X99,W100,"f",FALSE)</f>
        <v>42373</v>
      </c>
      <c r="Y100" s="131">
        <f>_xll.qlCalendarAdvance(Calendar,X100,NDays&amp;"D")</f>
        <v>42375</v>
      </c>
      <c r="Z100" s="132">
        <v>-4.1917965648146293E-4</v>
      </c>
      <c r="AA100" s="129">
        <v>-4.7354137567179322E-4</v>
      </c>
    </row>
    <row r="101" spans="13:27" x14ac:dyDescent="0.2">
      <c r="M101" s="130" t="e">
        <v>#N/A</v>
      </c>
      <c r="N101" s="130" t="e">
        <f>_xll.qlRateHelperQuoteName(M101)</f>
        <v>#VALUE!</v>
      </c>
      <c r="O101" s="128" t="e">
        <f ca="1">_xll.qlRateHelperLatestDate(M101,Trigger)</f>
        <v>#NAME?</v>
      </c>
      <c r="P101" s="138" t="e">
        <f>_xll.qlRateHelperQuoteValue(M101,_xll.ohTrigger(RecalcTrigger,YieldCurve))</f>
        <v>#VALUE!</v>
      </c>
      <c r="Q101" s="146" t="e">
        <v>#N/A</v>
      </c>
      <c r="R101" s="140" t="e">
        <f>_xll.qlSwapIndex(,"Euribor",Q101,NDays,Currency,Calendar,"1y","mf",BondBasisDayCounter,IborIndex,Discounting,,_xll.ohTrigger(Trigger,RecalcTrigger))</f>
        <v>#VALUE!</v>
      </c>
      <c r="S101" s="141" t="e">
        <f>_xll.qlIndexFixing(R101,$X$19,TRUE,Trigger)</f>
        <v>#VALUE!</v>
      </c>
      <c r="T101" s="165" t="e">
        <f t="shared" si="10"/>
        <v>#VALUE!</v>
      </c>
      <c r="W101" s="130" t="str">
        <f t="shared" si="11"/>
        <v>1D</v>
      </c>
      <c r="X101" s="128">
        <f>_xll.qlCalendarAdvance(Calendar,X100,W101,"f",FALSE)</f>
        <v>42374</v>
      </c>
      <c r="Y101" s="131">
        <f>_xll.qlCalendarAdvance(Calendar,X101,NDays&amp;"D")</f>
        <v>42376</v>
      </c>
      <c r="Z101" s="132">
        <v>-4.1863212080620201E-4</v>
      </c>
      <c r="AA101" s="129">
        <v>-4.7197184604552689E-4</v>
      </c>
    </row>
    <row r="102" spans="13:27" x14ac:dyDescent="0.2">
      <c r="M102" s="130" t="e">
        <v>#N/A</v>
      </c>
      <c r="N102" s="130" t="e">
        <f>_xll.qlRateHelperQuoteName(M102)</f>
        <v>#VALUE!</v>
      </c>
      <c r="O102" s="128" t="e">
        <f ca="1">_xll.qlRateHelperLatestDate(M102,Trigger)</f>
        <v>#NAME?</v>
      </c>
      <c r="P102" s="138" t="e">
        <f>_xll.qlRateHelperQuoteValue(M102,_xll.ohTrigger(RecalcTrigger,YieldCurve))</f>
        <v>#VALUE!</v>
      </c>
      <c r="Q102" s="146" t="e">
        <v>#N/A</v>
      </c>
      <c r="R102" s="140" t="e">
        <f>_xll.qlSwapIndex(,"Euribor",Q102,NDays,Currency,Calendar,"1y","mf",BondBasisDayCounter,IborIndex,Discounting,,_xll.ohTrigger(Trigger,RecalcTrigger))</f>
        <v>#VALUE!</v>
      </c>
      <c r="S102" s="141" t="e">
        <f>_xll.qlIndexFixing(R102,$X$19,TRUE,Trigger)</f>
        <v>#VALUE!</v>
      </c>
      <c r="T102" s="165" t="e">
        <f t="shared" si="10"/>
        <v>#VALUE!</v>
      </c>
      <c r="W102" s="130" t="str">
        <f t="shared" si="11"/>
        <v>1D</v>
      </c>
      <c r="X102" s="128">
        <f>_xll.qlCalendarAdvance(Calendar,X101,W102,"f",FALSE)</f>
        <v>42375</v>
      </c>
      <c r="Y102" s="131">
        <f>_xll.qlCalendarAdvance(Calendar,X102,NDays&amp;"D")</f>
        <v>42377</v>
      </c>
      <c r="Z102" s="132">
        <v>-4.1810410506957368E-4</v>
      </c>
      <c r="AA102" s="129">
        <v>-4.6891111189939494E-4</v>
      </c>
    </row>
    <row r="103" spans="13:27" x14ac:dyDescent="0.2">
      <c r="M103" s="130" t="e">
        <v>#N/A</v>
      </c>
      <c r="N103" s="130" t="e">
        <f>_xll.qlRateHelperQuoteName(M103)</f>
        <v>#VALUE!</v>
      </c>
      <c r="O103" s="128" t="e">
        <f ca="1">_xll.qlRateHelperLatestDate(M103,Trigger)</f>
        <v>#NAME?</v>
      </c>
      <c r="P103" s="138" t="e">
        <f>_xll.qlRateHelperQuoteValue(M103,_xll.ohTrigger(RecalcTrigger,YieldCurve))</f>
        <v>#VALUE!</v>
      </c>
      <c r="Q103" s="142" t="e">
        <v>#N/A</v>
      </c>
      <c r="R103" s="140" t="e">
        <f>_xll.qlSwapIndex(,"Euribor",Q103,NDays,Currency,Calendar,"1y","mf",BondBasisDayCounter,IborIndex,Discounting,,_xll.ohTrigger(Trigger,RecalcTrigger))</f>
        <v>#VALUE!</v>
      </c>
      <c r="S103" s="141" t="e">
        <f>_xll.qlIndexFixing(R103,$X$19,TRUE,Trigger)</f>
        <v>#VALUE!</v>
      </c>
      <c r="T103" s="165" t="e">
        <f t="shared" si="10"/>
        <v>#VALUE!</v>
      </c>
      <c r="W103" s="130" t="str">
        <f t="shared" si="11"/>
        <v>1D</v>
      </c>
      <c r="X103" s="128">
        <f>_xll.qlCalendarAdvance(Calendar,X102,W103,"f",FALSE)</f>
        <v>42376</v>
      </c>
      <c r="Y103" s="131">
        <f>_xll.qlCalendarAdvance(Calendar,X103,NDays&amp;"D")</f>
        <v>42380</v>
      </c>
      <c r="Z103" s="132">
        <v>-4.1663528743238535E-4</v>
      </c>
      <c r="AA103" s="129">
        <v>-4.6593053523391603E-4</v>
      </c>
    </row>
    <row r="104" spans="13:27" x14ac:dyDescent="0.2">
      <c r="M104" s="130" t="e">
        <v>#N/A</v>
      </c>
      <c r="N104" s="130" t="e">
        <f>_xll.qlRateHelperQuoteName(M104)</f>
        <v>#VALUE!</v>
      </c>
      <c r="O104" s="128" t="e">
        <f ca="1">_xll.qlRateHelperLatestDate(M104,Trigger)</f>
        <v>#NAME?</v>
      </c>
      <c r="P104" s="138" t="e">
        <f>_xll.qlRateHelperQuoteValue(M104,_xll.ohTrigger(RecalcTrigger,YieldCurve))</f>
        <v>#VALUE!</v>
      </c>
      <c r="Q104" s="142" t="e">
        <v>#N/A</v>
      </c>
      <c r="R104" s="140" t="e">
        <f>_xll.qlSwapIndex(,"Euribor",Q104,NDays,Currency,Calendar,"1y","mf",BondBasisDayCounter,IborIndex,Discounting,,_xll.ohTrigger(Trigger,RecalcTrigger))</f>
        <v>#VALUE!</v>
      </c>
      <c r="S104" s="141" t="e">
        <f>_xll.qlIndexFixing(R104,$X$19,TRUE,Trigger)</f>
        <v>#VALUE!</v>
      </c>
      <c r="T104" s="165" t="e">
        <f t="shared" si="10"/>
        <v>#VALUE!</v>
      </c>
      <c r="W104" s="130" t="str">
        <f t="shared" si="11"/>
        <v>1D</v>
      </c>
      <c r="X104" s="128">
        <f>_xll.qlCalendarAdvance(Calendar,X103,W104,"f",FALSE)</f>
        <v>42377</v>
      </c>
      <c r="Y104" s="131">
        <f>_xll.qlCalendarAdvance(Calendar,X104,NDays&amp;"D")</f>
        <v>42381</v>
      </c>
      <c r="Z104" s="132">
        <v>-4.1618346138987112E-4</v>
      </c>
      <c r="AA104" s="129">
        <v>-4.6447940945437693E-4</v>
      </c>
    </row>
    <row r="105" spans="13:27" x14ac:dyDescent="0.2">
      <c r="M105" s="130" t="e">
        <v>#N/A</v>
      </c>
      <c r="N105" s="130" t="e">
        <f>_xll.qlRateHelperQuoteName(M105)</f>
        <v>#VALUE!</v>
      </c>
      <c r="O105" s="128" t="e">
        <f ca="1">_xll.qlRateHelperLatestDate(M105,Trigger)</f>
        <v>#NAME?</v>
      </c>
      <c r="P105" s="138" t="e">
        <f>_xll.qlRateHelperQuoteValue(M105,_xll.ohTrigger(RecalcTrigger,YieldCurve))</f>
        <v>#VALUE!</v>
      </c>
      <c r="Q105" s="142" t="e">
        <v>#N/A</v>
      </c>
      <c r="R105" s="140" t="e">
        <f>_xll.qlSwapIndex(,"Euribor",Q105,NDays,Currency,Calendar,"1y","mf",BondBasisDayCounter,IborIndex,Discounting,,_xll.ohTrigger(Trigger,RecalcTrigger))</f>
        <v>#VALUE!</v>
      </c>
      <c r="S105" s="141" t="e">
        <f>_xll.qlIndexFixing(R105,$X$19,TRUE,Trigger)</f>
        <v>#VALUE!</v>
      </c>
      <c r="T105" s="165" t="e">
        <f t="shared" si="10"/>
        <v>#VALUE!</v>
      </c>
      <c r="W105" s="130" t="str">
        <f t="shared" si="11"/>
        <v>1D</v>
      </c>
      <c r="X105" s="128">
        <f>_xll.qlCalendarAdvance(Calendar,X104,W105,"f",FALSE)</f>
        <v>42380</v>
      </c>
      <c r="Y105" s="131">
        <f>_xll.qlCalendarAdvance(Calendar,X105,NDays&amp;"D")</f>
        <v>42382</v>
      </c>
      <c r="Z105" s="132">
        <v>-4.1575021025600108E-4</v>
      </c>
      <c r="AA105" s="129">
        <v>-4.6305196429230477E-4</v>
      </c>
    </row>
    <row r="106" spans="13:27" x14ac:dyDescent="0.2">
      <c r="M106" s="130" t="e">
        <v>#N/A</v>
      </c>
      <c r="N106" s="130" t="e">
        <f>_xll.qlRateHelperQuoteName(M106)</f>
        <v>#VALUE!</v>
      </c>
      <c r="O106" s="128" t="e">
        <f ca="1">_xll.qlRateHelperLatestDate(M106,Trigger)</f>
        <v>#NAME?</v>
      </c>
      <c r="P106" s="138" t="e">
        <f>_xll.qlRateHelperQuoteValue(M106,_xll.ohTrigger(RecalcTrigger,YieldCurve))</f>
        <v>#VALUE!</v>
      </c>
      <c r="Q106" s="142" t="e">
        <v>#N/A</v>
      </c>
      <c r="R106" s="140" t="e">
        <f>_xll.qlSwapIndex(,"Euribor",Q106,NDays,Currency,Calendar,"1y","mf",BondBasisDayCounter,IborIndex,Discounting,,_xll.ohTrigger(Trigger,RecalcTrigger))</f>
        <v>#VALUE!</v>
      </c>
      <c r="S106" s="141" t="e">
        <f>_xll.qlIndexFixing(R106,$X$19,TRUE,Trigger)</f>
        <v>#VALUE!</v>
      </c>
      <c r="T106" s="165" t="e">
        <f t="shared" si="10"/>
        <v>#VALUE!</v>
      </c>
      <c r="W106" s="130" t="str">
        <f t="shared" si="11"/>
        <v>1D</v>
      </c>
      <c r="X106" s="128">
        <f>_xll.qlCalendarAdvance(Calendar,X105,W106,"f",FALSE)</f>
        <v>42381</v>
      </c>
      <c r="Y106" s="131">
        <f>_xll.qlCalendarAdvance(Calendar,X106,NDays&amp;"D")</f>
        <v>42383</v>
      </c>
      <c r="Z106" s="132">
        <v>-4.153353450246019E-4</v>
      </c>
      <c r="AA106" s="129">
        <v>-4.6164820014737984E-4</v>
      </c>
    </row>
    <row r="107" spans="13:27" x14ac:dyDescent="0.2">
      <c r="M107" s="130" t="e">
        <v>#N/A</v>
      </c>
      <c r="N107" s="130" t="e">
        <f>_xll.qlRateHelperQuoteName(M107)</f>
        <v>#VALUE!</v>
      </c>
      <c r="O107" s="128" t="e">
        <f ca="1">_xll.qlRateHelperLatestDate(M107,Trigger)</f>
        <v>#NAME?</v>
      </c>
      <c r="P107" s="138" t="e">
        <f>_xll.qlRateHelperQuoteValue(M107,_xll.ohTrigger(RecalcTrigger,YieldCurve))</f>
        <v>#VALUE!</v>
      </c>
      <c r="Q107" s="142" t="e">
        <v>#N/A</v>
      </c>
      <c r="R107" s="140" t="e">
        <f>_xll.qlSwapIndex(,"Euribor",Q107,NDays,Currency,Calendar,"1y","mf",BondBasisDayCounter,IborIndex,Discounting,,_xll.ohTrigger(Trigger,RecalcTrigger))</f>
        <v>#VALUE!</v>
      </c>
      <c r="S107" s="141" t="e">
        <f>_xll.qlIndexFixing(R107,$X$19,TRUE,Trigger)</f>
        <v>#VALUE!</v>
      </c>
      <c r="T107" s="165" t="e">
        <f t="shared" si="10"/>
        <v>#VALUE!</v>
      </c>
      <c r="W107" s="130" t="str">
        <f t="shared" si="11"/>
        <v>1D</v>
      </c>
      <c r="X107" s="128">
        <f>_xll.qlCalendarAdvance(Calendar,X106,W107,"f",FALSE)</f>
        <v>42382</v>
      </c>
      <c r="Y107" s="131">
        <f>_xll.qlCalendarAdvance(Calendar,X107,NDays&amp;"D")</f>
        <v>42384</v>
      </c>
      <c r="Z107" s="132">
        <v>-4.1493867668466886E-4</v>
      </c>
      <c r="AA107" s="129">
        <v>-4.5891902253014649E-4</v>
      </c>
    </row>
    <row r="108" spans="13:27" x14ac:dyDescent="0.2">
      <c r="M108" s="130" t="e">
        <v>#N/A</v>
      </c>
      <c r="N108" s="130" t="e">
        <f>_xll.qlRateHelperQuoteName(M108)</f>
        <v>#VALUE!</v>
      </c>
      <c r="O108" s="128" t="e">
        <f ca="1">_xll.qlRateHelperLatestDate(M108,Trigger)</f>
        <v>#NAME?</v>
      </c>
      <c r="P108" s="138" t="e">
        <f>_xll.qlRateHelperQuoteValue(M108,_xll.ohTrigger(RecalcTrigger,YieldCurve))</f>
        <v>#VALUE!</v>
      </c>
      <c r="Q108" s="142" t="e">
        <v>#N/A</v>
      </c>
      <c r="R108" s="140" t="e">
        <f>_xll.qlSwapIndex(,"Euribor",Q108,NDays,Currency,Calendar,"1y","mf",BondBasisDayCounter,IborIndex,Discounting,,_xll.ohTrigger(Trigger,RecalcTrigger))</f>
        <v>#VALUE!</v>
      </c>
      <c r="S108" s="141" t="e">
        <f>_xll.qlIndexFixing(R108,$X$19,TRUE,Trigger)</f>
        <v>#VALUE!</v>
      </c>
      <c r="T108" s="165" t="e">
        <f t="shared" si="10"/>
        <v>#VALUE!</v>
      </c>
      <c r="W108" s="130" t="str">
        <f t="shared" si="11"/>
        <v>1D</v>
      </c>
      <c r="X108" s="128">
        <f>_xll.qlCalendarAdvance(Calendar,X107,W108,"f",FALSE)</f>
        <v>42383</v>
      </c>
      <c r="Y108" s="131">
        <f>_xll.qlCalendarAdvance(Calendar,X108,NDays&amp;"D")</f>
        <v>42387</v>
      </c>
      <c r="Z108" s="132">
        <v>-4.1385596294710202E-4</v>
      </c>
      <c r="AA108" s="129">
        <v>-4.5626995082148625E-4</v>
      </c>
    </row>
    <row r="109" spans="13:27" x14ac:dyDescent="0.2">
      <c r="M109" s="130" t="e">
        <v>#N/A</v>
      </c>
      <c r="N109" s="130" t="e">
        <f>_xll.qlRateHelperQuoteName(M109)</f>
        <v>#VALUE!</v>
      </c>
      <c r="O109" s="128" t="e">
        <f ca="1">_xll.qlRateHelperLatestDate(M109,Trigger)</f>
        <v>#NAME?</v>
      </c>
      <c r="P109" s="138" t="e">
        <f>_xll.qlRateHelperQuoteValue(M109,_xll.ohTrigger(RecalcTrigger,YieldCurve))</f>
        <v>#VALUE!</v>
      </c>
      <c r="Q109" s="142" t="e">
        <v>#N/A</v>
      </c>
      <c r="R109" s="140" t="e">
        <f>_xll.qlSwapIndex(,"Euribor",Q109,NDays,Currency,Calendar,"1y","mf",BondBasisDayCounter,IborIndex,Discounting,,_xll.ohTrigger(Trigger,RecalcTrigger))</f>
        <v>#VALUE!</v>
      </c>
      <c r="S109" s="141" t="e">
        <f>_xll.qlIndexFixing(R109,$X$19,TRUE,Trigger)</f>
        <v>#VALUE!</v>
      </c>
      <c r="T109" s="165" t="e">
        <f t="shared" si="10"/>
        <v>#VALUE!</v>
      </c>
      <c r="W109" s="130" t="str">
        <f t="shared" si="11"/>
        <v>1D</v>
      </c>
      <c r="X109" s="128">
        <f>_xll.qlCalendarAdvance(Calendar,X108,W109,"f",FALSE)</f>
        <v>42384</v>
      </c>
      <c r="Y109" s="131">
        <f>_xll.qlCalendarAdvance(Calendar,X109,NDays&amp;"D")</f>
        <v>42388</v>
      </c>
      <c r="Z109" s="132">
        <v>-4.1353019209944156E-4</v>
      </c>
      <c r="AA109" s="129">
        <v>-4.5498459048332052E-4</v>
      </c>
    </row>
    <row r="110" spans="13:27" x14ac:dyDescent="0.2">
      <c r="M110" s="130" t="e">
        <v>#N/A</v>
      </c>
      <c r="N110" s="130" t="e">
        <f>_xll.qlRateHelperQuoteName(M110)</f>
        <v>#VALUE!</v>
      </c>
      <c r="O110" s="128" t="e">
        <f ca="1">_xll.qlRateHelperLatestDate(M110,Trigger)</f>
        <v>#NAME?</v>
      </c>
      <c r="P110" s="138" t="e">
        <f>_xll.qlRateHelperQuoteValue(M110,_xll.ohTrigger(RecalcTrigger,YieldCurve))</f>
        <v>#VALUE!</v>
      </c>
      <c r="Q110" s="142" t="e">
        <v>#N/A</v>
      </c>
      <c r="R110" s="140" t="e">
        <f>_xll.qlSwapIndex(,"Euribor",Q110,NDays,Currency,Calendar,"1y","mf",BondBasisDayCounter,IborIndex,Discounting,,_xll.ohTrigger(Trigger,RecalcTrigger))</f>
        <v>#VALUE!</v>
      </c>
      <c r="S110" s="141" t="e">
        <f>_xll.qlIndexFixing(R110,$X$19,TRUE,Trigger)</f>
        <v>#VALUE!</v>
      </c>
      <c r="T110" s="165" t="e">
        <f t="shared" si="10"/>
        <v>#VALUE!</v>
      </c>
      <c r="W110" s="130" t="str">
        <f t="shared" si="11"/>
        <v>1D</v>
      </c>
      <c r="X110" s="128">
        <f>_xll.qlCalendarAdvance(Calendar,X109,W110,"f",FALSE)</f>
        <v>42387</v>
      </c>
      <c r="Y110" s="131">
        <f>_xll.qlCalendarAdvance(Calendar,X110,NDays&amp;"D")</f>
        <v>42389</v>
      </c>
      <c r="Z110" s="132">
        <v>-4.1322167310359632E-4</v>
      </c>
      <c r="AA110" s="129">
        <v>-4.5372291072265369E-4</v>
      </c>
    </row>
    <row r="111" spans="13:27" x14ac:dyDescent="0.2">
      <c r="M111" s="130" t="e">
        <v>#N/A</v>
      </c>
      <c r="N111" s="130" t="e">
        <f>_xll.qlRateHelperQuoteName(M111)</f>
        <v>#VALUE!</v>
      </c>
      <c r="O111" s="128" t="e">
        <f ca="1">_xll.qlRateHelperLatestDate(M111,Trigger)</f>
        <v>#NAME?</v>
      </c>
      <c r="P111" s="138" t="e">
        <f>_xll.qlRateHelperQuoteValue(M111,_xll.ohTrigger(RecalcTrigger,YieldCurve))</f>
        <v>#VALUE!</v>
      </c>
      <c r="Q111" s="142" t="e">
        <v>#N/A</v>
      </c>
      <c r="R111" s="140" t="e">
        <f>_xll.qlSwapIndex(,"Euribor",Q111,NDays,Currency,Calendar,"1y","mf",BondBasisDayCounter,IborIndex,Discounting,,_xll.ohTrigger(Trigger,RecalcTrigger))</f>
        <v>#VALUE!</v>
      </c>
      <c r="S111" s="141" t="e">
        <f>_xll.qlIndexFixing(R111,$X$19,TRUE,Trigger)</f>
        <v>#VALUE!</v>
      </c>
      <c r="T111" s="165" t="e">
        <f t="shared" si="10"/>
        <v>#VALUE!</v>
      </c>
      <c r="W111" s="130" t="str">
        <f t="shared" si="11"/>
        <v>1D</v>
      </c>
      <c r="X111" s="128">
        <f>_xll.qlCalendarAdvance(Calendar,X110,W111,"f",FALSE)</f>
        <v>42388</v>
      </c>
      <c r="Y111" s="131">
        <f>_xll.qlCalendarAdvance(Calendar,X111,NDays&amp;"D")</f>
        <v>42390</v>
      </c>
      <c r="Z111" s="132">
        <v>-4.1293021695163617E-4</v>
      </c>
      <c r="AA111" s="129">
        <v>-4.524849119791341E-4</v>
      </c>
    </row>
    <row r="112" spans="13:27" x14ac:dyDescent="0.2">
      <c r="M112" s="130" t="e">
        <v>#N/A</v>
      </c>
      <c r="N112" s="130" t="e">
        <f>_xll.qlRateHelperQuoteName(M112)</f>
        <v>#VALUE!</v>
      </c>
      <c r="O112" s="128" t="e">
        <f ca="1">_xll.qlRateHelperLatestDate(M112,Trigger)</f>
        <v>#NAME?</v>
      </c>
      <c r="P112" s="138" t="e">
        <f>_xll.qlRateHelperQuoteValue(M112,_xll.ohTrigger(RecalcTrigger,YieldCurve))</f>
        <v>#VALUE!</v>
      </c>
      <c r="Q112" s="142" t="e">
        <v>#N/A</v>
      </c>
      <c r="R112" s="140" t="e">
        <f>_xll.qlSwapIndex(,"Euribor",Q112,NDays,Currency,Calendar,"1y","mf",BondBasisDayCounter,IborIndex,Discounting,,_xll.ohTrigger(Trigger,RecalcTrigger))</f>
        <v>#VALUE!</v>
      </c>
      <c r="S112" s="141" t="e">
        <f>_xll.qlIndexFixing(R112,$X$19,TRUE,Trigger)</f>
        <v>#VALUE!</v>
      </c>
      <c r="T112" s="165" t="e">
        <f t="shared" si="10"/>
        <v>#VALUE!</v>
      </c>
      <c r="W112" s="130" t="str">
        <f t="shared" si="11"/>
        <v>1D</v>
      </c>
      <c r="X112" s="128">
        <f>_xll.qlCalendarAdvance(Calendar,X111,W112,"f",FALSE)</f>
        <v>42389</v>
      </c>
      <c r="Y112" s="131">
        <f>_xll.qlCalendarAdvance(Calendar,X112,NDays&amp;"D")</f>
        <v>42391</v>
      </c>
      <c r="Z112" s="132">
        <v>-4.1265563463036036E-4</v>
      </c>
      <c r="AA112" s="129">
        <v>-4.5008728730699943E-4</v>
      </c>
    </row>
    <row r="113" spans="13:27" x14ac:dyDescent="0.2">
      <c r="M113" s="130" t="e">
        <v>#N/A</v>
      </c>
      <c r="N113" s="130" t="e">
        <f>_xll.qlRateHelperQuoteName(M113)</f>
        <v>#VALUE!</v>
      </c>
      <c r="O113" s="128" t="e">
        <f ca="1">_xll.qlRateHelperLatestDate(M113,Trigger)</f>
        <v>#NAME?</v>
      </c>
      <c r="P113" s="138" t="e">
        <f>_xll.qlRateHelperQuoteValue(M113,_xll.ohTrigger(RecalcTrigger,YieldCurve))</f>
        <v>#VALUE!</v>
      </c>
      <c r="Q113" s="142" t="e">
        <v>#N/A</v>
      </c>
      <c r="R113" s="140" t="e">
        <f>_xll.qlSwapIndex(,"Euribor",Q113,NDays,Currency,Calendar,"1y","mf",BondBasisDayCounter,IborIndex,Discounting,,_xll.ohTrigger(Trigger,RecalcTrigger))</f>
        <v>#VALUE!</v>
      </c>
      <c r="S113" s="141" t="e">
        <f>_xll.qlIndexFixing(R113,$X$19,TRUE,Trigger)</f>
        <v>#VALUE!</v>
      </c>
      <c r="T113" s="165" t="e">
        <f t="shared" si="10"/>
        <v>#VALUE!</v>
      </c>
      <c r="W113" s="130" t="str">
        <f t="shared" si="11"/>
        <v>1D</v>
      </c>
      <c r="X113" s="128">
        <f>_xll.qlCalendarAdvance(Calendar,X112,W113,"f",FALSE)</f>
        <v>42390</v>
      </c>
      <c r="Y113" s="131">
        <f>_xll.qlCalendarAdvance(Calendar,X113,NDays&amp;"D")</f>
        <v>42394</v>
      </c>
      <c r="Z113" s="132">
        <v>-4.119312405669452E-4</v>
      </c>
      <c r="AA113" s="129">
        <v>-4.4776972413895777E-4</v>
      </c>
    </row>
    <row r="114" spans="13:27" x14ac:dyDescent="0.2">
      <c r="M114" s="130" t="e">
        <v>#N/A</v>
      </c>
      <c r="N114" s="130" t="e">
        <f>_xll.qlRateHelperQuoteName(M114)</f>
        <v>#VALUE!</v>
      </c>
      <c r="O114" s="128" t="e">
        <f ca="1">_xll.qlRateHelperLatestDate(M114,Trigger)</f>
        <v>#NAME?</v>
      </c>
      <c r="P114" s="138" t="e">
        <f>_xll.qlRateHelperQuoteValue(M114,_xll.ohTrigger(RecalcTrigger,YieldCurve))</f>
        <v>#VALUE!</v>
      </c>
      <c r="Q114" s="142" t="e">
        <v>#N/A</v>
      </c>
      <c r="R114" s="140" t="e">
        <f>_xll.qlSwapIndex(,"Euribor",Q114,NDays,Currency,Calendar,"1y","mf",BondBasisDayCounter,IborIndex,Discounting,,_xll.ohTrigger(Trigger,RecalcTrigger))</f>
        <v>#VALUE!</v>
      </c>
      <c r="S114" s="141" t="e">
        <f>_xll.qlIndexFixing(R114,$X$19,TRUE,Trigger)</f>
        <v>#VALUE!</v>
      </c>
      <c r="T114" s="165" t="e">
        <f t="shared" si="10"/>
        <v>#VALUE!</v>
      </c>
      <c r="W114" s="130" t="str">
        <f t="shared" si="11"/>
        <v>1D</v>
      </c>
      <c r="X114" s="128">
        <f>_xll.qlCalendarAdvance(Calendar,X113,W114,"f",FALSE)</f>
        <v>42391</v>
      </c>
      <c r="Y114" s="131">
        <f>_xll.qlCalendarAdvance(Calendar,X114,NDays&amp;"D")</f>
        <v>42395</v>
      </c>
      <c r="Z114" s="132">
        <v>-4.1172226347592874E-4</v>
      </c>
      <c r="AA114" s="129">
        <v>-4.4665012904232526E-4</v>
      </c>
    </row>
    <row r="115" spans="13:27" ht="12" thickBot="1" x14ac:dyDescent="0.25">
      <c r="M115" s="147" t="e">
        <v>#N/A</v>
      </c>
      <c r="N115" s="147" t="e">
        <f>_xll.qlRateHelperQuoteName(M115)</f>
        <v>#VALUE!</v>
      </c>
      <c r="O115" s="135" t="e">
        <f ca="1">_xll.qlRateHelperLatestDate(M115,Trigger)</f>
        <v>#NAME?</v>
      </c>
      <c r="P115" s="148" t="e">
        <f>_xll.qlRateHelperQuoteValue(M115,_xll.ohTrigger(RecalcTrigger,YieldCurve))</f>
        <v>#VALUE!</v>
      </c>
      <c r="Q115" s="149" t="e">
        <v>#N/A</v>
      </c>
      <c r="R115" s="150" t="e">
        <f>_xll.qlSwapIndex(,"Euribor",Q115,NDays,Currency,Calendar,"1y","mf",BondBasisDayCounter,IborIndex,Discounting,,_xll.ohTrigger(Trigger,RecalcTrigger))</f>
        <v>#VALUE!</v>
      </c>
      <c r="S115" s="151" t="e">
        <f>_xll.qlIndexFixing(R115,$X$19,TRUE,Trigger)</f>
        <v>#VALUE!</v>
      </c>
      <c r="T115" s="165" t="e">
        <f t="shared" si="10"/>
        <v>#VALUE!</v>
      </c>
      <c r="W115" s="130" t="str">
        <f t="shared" si="11"/>
        <v>1D</v>
      </c>
      <c r="X115" s="128">
        <f>_xll.qlCalendarAdvance(Calendar,X114,W115,"f",FALSE)</f>
        <v>42394</v>
      </c>
      <c r="Y115" s="131">
        <f>_xll.qlCalendarAdvance(Calendar,X115,NDays&amp;"D")</f>
        <v>42396</v>
      </c>
      <c r="Z115" s="132">
        <v>-4.115292151680399E-4</v>
      </c>
      <c r="AA115" s="129">
        <v>-4.4555421484293589E-4</v>
      </c>
    </row>
    <row r="116" spans="13:27" x14ac:dyDescent="0.2">
      <c r="N116" s="185"/>
      <c r="S116" s="1"/>
      <c r="T116" s="182"/>
      <c r="W116" s="130" t="str">
        <f t="shared" si="11"/>
        <v>1D</v>
      </c>
      <c r="X116" s="128">
        <f>_xll.qlCalendarAdvance(Calendar,X115,W116,"f",FALSE)</f>
        <v>42395</v>
      </c>
      <c r="Y116" s="131">
        <f>_xll.qlCalendarAdvance(Calendar,X116,NDays&amp;"D")</f>
        <v>42397</v>
      </c>
      <c r="Z116" s="132">
        <v>-4.1135190662876047E-4</v>
      </c>
      <c r="AA116" s="129">
        <v>-4.4448198138091755E-4</v>
      </c>
    </row>
    <row r="117" spans="13:27" x14ac:dyDescent="0.2">
      <c r="S117" s="1"/>
      <c r="T117" s="109"/>
      <c r="W117" s="130" t="str">
        <f t="shared" si="11"/>
        <v>1D</v>
      </c>
      <c r="X117" s="128">
        <f>_xll.qlCalendarAdvance(Calendar,X116,W117,"f",FALSE)</f>
        <v>42396</v>
      </c>
      <c r="Y117" s="131">
        <f>_xll.qlCalendarAdvance(Calendar,X117,NDays&amp;"D")</f>
        <v>42398</v>
      </c>
      <c r="Z117" s="132">
        <v>-4.1119014884796409E-4</v>
      </c>
      <c r="AA117" s="129">
        <v>1.3584145008849191E-5</v>
      </c>
    </row>
    <row r="118" spans="13:27" x14ac:dyDescent="0.2">
      <c r="S118" s="1"/>
      <c r="T118" s="109"/>
      <c r="W118" s="130" t="str">
        <f t="shared" si="11"/>
        <v>1D</v>
      </c>
      <c r="X118" s="128">
        <f>_xll.qlCalendarAdvance(Calendar,X117,W118,"f",FALSE)</f>
        <v>42397</v>
      </c>
      <c r="Y118" s="131">
        <f>_xll.qlCalendarAdvance(Calendar,X118,NDays&amp;"D")</f>
        <v>42401</v>
      </c>
      <c r="Z118" s="132">
        <v>-3.8231541790543735E-4</v>
      </c>
      <c r="AA118" s="129">
        <v>-4.4042985506642651E-4</v>
      </c>
    </row>
    <row r="119" spans="13:27" x14ac:dyDescent="0.2">
      <c r="S119" s="1"/>
      <c r="T119" s="109"/>
      <c r="W119" s="130" t="str">
        <f t="shared" si="11"/>
        <v>1D</v>
      </c>
      <c r="X119" s="128">
        <f>_xll.qlCalendarAdvance(Calendar,X118,W119,"f",FALSE)</f>
        <v>42398</v>
      </c>
      <c r="Y119" s="131">
        <f>_xll.qlCalendarAdvance(Calendar,X119,NDays&amp;"D")</f>
        <v>42402</v>
      </c>
      <c r="Z119" s="132">
        <v>-3.8167016887857841E-4</v>
      </c>
      <c r="AA119" s="129">
        <v>-4.3947602557103949E-4</v>
      </c>
    </row>
    <row r="120" spans="13:27" x14ac:dyDescent="0.2">
      <c r="S120" s="1"/>
      <c r="T120" s="109"/>
      <c r="W120" s="130" t="str">
        <f t="shared" si="11"/>
        <v>1D</v>
      </c>
      <c r="X120" s="128">
        <f>_xll.qlCalendarAdvance(Calendar,X119,W120,"f",FALSE)</f>
        <v>42401</v>
      </c>
      <c r="Y120" s="131">
        <f>_xll.qlCalendarAdvance(Calendar,X120,NDays&amp;"D")</f>
        <v>42403</v>
      </c>
      <c r="Z120" s="132">
        <v>-3.8157819309647678E-4</v>
      </c>
      <c r="AA120" s="129">
        <v>-4.385458766931194E-4</v>
      </c>
    </row>
    <row r="121" spans="13:27" x14ac:dyDescent="0.2">
      <c r="S121" s="1"/>
      <c r="T121" s="109"/>
      <c r="W121" s="130" t="str">
        <f t="shared" si="11"/>
        <v>1D</v>
      </c>
      <c r="X121" s="128">
        <f>_xll.qlCalendarAdvance(Calendar,X120,W121,"f",FALSE)</f>
        <v>42402</v>
      </c>
      <c r="Y121" s="131">
        <f>_xll.qlCalendarAdvance(Calendar,X121,NDays&amp;"D")</f>
        <v>42404</v>
      </c>
      <c r="Z121" s="132">
        <v>-3.8150072232934207E-4</v>
      </c>
      <c r="AA121" s="129">
        <v>-4.3763940855257033E-4</v>
      </c>
    </row>
    <row r="122" spans="13:27" x14ac:dyDescent="0.2">
      <c r="S122" s="1"/>
      <c r="T122" s="109"/>
      <c r="W122" s="130" t="str">
        <f t="shared" si="11"/>
        <v>1D</v>
      </c>
      <c r="X122" s="128">
        <f>_xll.qlCalendarAdvance(Calendar,X121,W122,"f",FALSE)</f>
        <v>42403</v>
      </c>
      <c r="Y122" s="131">
        <f>_xll.qlCalendarAdvance(Calendar,X122,NDays&amp;"D")</f>
        <v>42405</v>
      </c>
      <c r="Z122" s="132">
        <v>-3.8143756546338281E-4</v>
      </c>
      <c r="AA122" s="129">
        <v>-4.3590488053801835E-4</v>
      </c>
    </row>
    <row r="123" spans="13:27" x14ac:dyDescent="0.2">
      <c r="S123" s="1"/>
      <c r="T123" s="109"/>
      <c r="W123" s="130" t="str">
        <f t="shared" si="11"/>
        <v>1D</v>
      </c>
      <c r="X123" s="128">
        <f>_xll.qlCalendarAdvance(Calendar,X122,W123,"f",FALSE)</f>
        <v>42404</v>
      </c>
      <c r="Y123" s="131">
        <f>_xll.qlCalendarAdvance(Calendar,X123,NDays&amp;"D")</f>
        <v>42408</v>
      </c>
      <c r="Z123" s="132">
        <v>-3.8190540517002561E-4</v>
      </c>
      <c r="AA123" s="129">
        <v>-4.3425034392363671E-4</v>
      </c>
    </row>
    <row r="124" spans="13:27" x14ac:dyDescent="0.2">
      <c r="S124" s="1"/>
      <c r="T124" s="109"/>
      <c r="W124" s="130" t="str">
        <f t="shared" si="11"/>
        <v>1D</v>
      </c>
      <c r="X124" s="128">
        <f>_xll.qlCalendarAdvance(Calendar,X123,W124,"f",FALSE)</f>
        <v>42405</v>
      </c>
      <c r="Y124" s="131">
        <f>_xll.qlCalendarAdvance(Calendar,X124,NDays&amp;"D")</f>
        <v>42409</v>
      </c>
      <c r="Z124" s="132">
        <v>-3.8132425471193443E-4</v>
      </c>
      <c r="AA124" s="129">
        <v>-4.3346227982965502E-4</v>
      </c>
    </row>
    <row r="125" spans="13:27" x14ac:dyDescent="0.2">
      <c r="S125" s="1"/>
      <c r="T125" s="109"/>
      <c r="W125" s="130" t="str">
        <f t="shared" si="11"/>
        <v>1D</v>
      </c>
      <c r="X125" s="128">
        <f>_xll.qlCalendarAdvance(Calendar,X124,W125,"f",FALSE)</f>
        <v>42408</v>
      </c>
      <c r="Y125" s="131">
        <f>_xll.qlCalendarAdvance(Calendar,X125,NDays&amp;"D")</f>
        <v>42410</v>
      </c>
      <c r="Z125" s="132">
        <v>-3.8132980062677291E-4</v>
      </c>
      <c r="AA125" s="129">
        <v>-4.3269789631317224E-4</v>
      </c>
    </row>
    <row r="126" spans="13:27" x14ac:dyDescent="0.2">
      <c r="S126" s="1"/>
      <c r="T126" s="109"/>
      <c r="W126" s="130" t="str">
        <f t="shared" si="11"/>
        <v>1D</v>
      </c>
      <c r="X126" s="128">
        <f>_xll.qlCalendarAdvance(Calendar,X125,W126,"f",FALSE)</f>
        <v>42409</v>
      </c>
      <c r="Y126" s="131">
        <f>_xll.qlCalendarAdvance(Calendar,X126,NDays&amp;"D")</f>
        <v>42411</v>
      </c>
      <c r="Z126" s="132">
        <v>-3.8134851375515311E-4</v>
      </c>
      <c r="AA126" s="129">
        <v>-4.3195719365396457E-4</v>
      </c>
    </row>
    <row r="127" spans="13:27" x14ac:dyDescent="0.2">
      <c r="S127" s="1"/>
      <c r="T127" s="109"/>
      <c r="W127" s="130" t="str">
        <f t="shared" si="11"/>
        <v>1D</v>
      </c>
      <c r="X127" s="128">
        <f>_xll.qlCalendarAdvance(Calendar,X126,W127,"f",FALSE)</f>
        <v>42410</v>
      </c>
      <c r="Y127" s="131">
        <f>_xll.qlCalendarAdvance(Calendar,X127,NDays&amp;"D")</f>
        <v>42412</v>
      </c>
      <c r="Z127" s="132">
        <v>-3.8138020297839859E-4</v>
      </c>
      <c r="AA127" s="129">
        <v>-4.3055420931192856E-4</v>
      </c>
    </row>
    <row r="128" spans="13:27" x14ac:dyDescent="0.2">
      <c r="S128" s="1"/>
      <c r="T128" s="109"/>
      <c r="W128" s="130" t="str">
        <f t="shared" si="11"/>
        <v>1D</v>
      </c>
      <c r="X128" s="128">
        <f>_xll.qlCalendarAdvance(Calendar,X127,W128,"f",FALSE)</f>
        <v>42411</v>
      </c>
      <c r="Y128" s="131">
        <f>_xll.qlCalendarAdvance(Calendar,X128,NDays&amp;"D")</f>
        <v>42415</v>
      </c>
      <c r="Z128" s="132">
        <v>-3.8215550665152847E-4</v>
      </c>
      <c r="AA128" s="129">
        <v>-4.2923119067062032E-4</v>
      </c>
    </row>
    <row r="129" spans="19:27" x14ac:dyDescent="0.2">
      <c r="S129" s="1"/>
      <c r="T129" s="109"/>
      <c r="W129" s="130" t="str">
        <f t="shared" si="11"/>
        <v>1D</v>
      </c>
      <c r="X129" s="128">
        <f>_xll.qlCalendarAdvance(Calendar,X128,W129,"f",FALSE)</f>
        <v>42412</v>
      </c>
      <c r="Y129" s="131">
        <f>_xll.qlCalendarAdvance(Calendar,X129,NDays&amp;"D")</f>
        <v>42416</v>
      </c>
      <c r="Z129" s="132">
        <v>-3.8163289852022331E-4</v>
      </c>
      <c r="AA129" s="129">
        <v>-4.2860889193807594E-4</v>
      </c>
    </row>
    <row r="130" spans="19:27" x14ac:dyDescent="0.2">
      <c r="S130" s="1"/>
      <c r="T130" s="109"/>
      <c r="W130" s="130" t="str">
        <f t="shared" si="11"/>
        <v>1D</v>
      </c>
      <c r="X130" s="128">
        <f>_xll.qlCalendarAdvance(Calendar,X129,W130,"f",FALSE)</f>
        <v>42415</v>
      </c>
      <c r="Y130" s="131">
        <f>_xll.qlCalendarAdvance(Calendar,X130,NDays&amp;"D")</f>
        <v>42417</v>
      </c>
      <c r="Z130" s="132">
        <v>-3.8172660148960702E-4</v>
      </c>
      <c r="AA130" s="129">
        <v>-4.2801027390293456E-4</v>
      </c>
    </row>
    <row r="131" spans="19:27" x14ac:dyDescent="0.2">
      <c r="S131" s="1"/>
      <c r="T131" s="109"/>
      <c r="W131" s="130" t="str">
        <f t="shared" si="11"/>
        <v>1D</v>
      </c>
      <c r="X131" s="128">
        <f>_xll.qlCalendarAdvance(Calendar,X130,W131,"f",FALSE)</f>
        <v>42416</v>
      </c>
      <c r="Y131" s="131">
        <f>_xll.qlCalendarAdvance(Calendar,X131,NDays&amp;"D")</f>
        <v>42418</v>
      </c>
      <c r="Z131" s="132">
        <v>-3.8183213386000503E-4</v>
      </c>
      <c r="AA131" s="129">
        <v>-4.2743533664513222E-4</v>
      </c>
    </row>
    <row r="132" spans="19:27" x14ac:dyDescent="0.2">
      <c r="S132" s="1"/>
      <c r="T132" s="109"/>
      <c r="W132" s="130" t="str">
        <f t="shared" si="11"/>
        <v>1D</v>
      </c>
      <c r="X132" s="128">
        <f>_xll.qlCalendarAdvance(Calendar,X131,W132,"f",FALSE)</f>
        <v>42417</v>
      </c>
      <c r="Y132" s="131">
        <f>_xll.qlCalendarAdvance(Calendar,X132,NDays&amp;"D")</f>
        <v>42419</v>
      </c>
      <c r="Z132" s="132">
        <v>-3.8194930451540543E-4</v>
      </c>
      <c r="AA132" s="129">
        <v>-4.2636389309791412E-4</v>
      </c>
    </row>
    <row r="133" spans="19:27" x14ac:dyDescent="0.2">
      <c r="S133" s="1"/>
      <c r="T133" s="109"/>
      <c r="W133" s="130" t="str">
        <f t="shared" si="11"/>
        <v>1D</v>
      </c>
      <c r="X133" s="128">
        <f>_xll.qlCalendarAdvance(Calendar,X132,W133,"f",FALSE)</f>
        <v>42418</v>
      </c>
      <c r="Y133" s="131">
        <f>_xll.qlCalendarAdvance(Calendar,X133,NDays&amp;"D")</f>
        <v>42422</v>
      </c>
      <c r="Z133" s="132">
        <v>-3.8300089017559164E-4</v>
      </c>
      <c r="AA133" s="129">
        <v>-4.2537239534734539E-4</v>
      </c>
    </row>
    <row r="134" spans="19:27" x14ac:dyDescent="0.2">
      <c r="S134" s="1"/>
      <c r="T134" s="109"/>
      <c r="W134" s="130" t="str">
        <f t="shared" si="11"/>
        <v>1D</v>
      </c>
      <c r="X134" s="128">
        <f>_xll.qlCalendarAdvance(Calendar,X133,W134,"f",FALSE)</f>
        <v>42419</v>
      </c>
      <c r="Y134" s="131">
        <f>_xll.qlCalendarAdvance(Calendar,X134,NDays&amp;"D")</f>
        <v>42423</v>
      </c>
      <c r="Z134" s="132">
        <v>-3.8253054766812511E-4</v>
      </c>
      <c r="AA134" s="129">
        <v>-4.2491586193627029E-4</v>
      </c>
    </row>
    <row r="135" spans="19:27" x14ac:dyDescent="0.2">
      <c r="S135" s="1"/>
      <c r="T135" s="109"/>
      <c r="W135" s="130" t="str">
        <f t="shared" si="11"/>
        <v>1D</v>
      </c>
      <c r="X135" s="128">
        <f>_xll.qlCalendarAdvance(Calendar,X134,W135,"f",FALSE)</f>
        <v>42422</v>
      </c>
      <c r="Y135" s="131">
        <f>_xll.qlCalendarAdvance(Calendar,X135,NDays&amp;"D")</f>
        <v>42424</v>
      </c>
      <c r="Z135" s="132">
        <v>-3.8270304300880298E-4</v>
      </c>
      <c r="AA135" s="129">
        <v>-4.2448300946240636E-4</v>
      </c>
    </row>
    <row r="136" spans="19:27" x14ac:dyDescent="0.2">
      <c r="S136" s="1"/>
      <c r="T136" s="109"/>
      <c r="W136" s="130" t="str">
        <f t="shared" si="11"/>
        <v>1D</v>
      </c>
      <c r="X136" s="128">
        <f>_xll.qlCalendarAdvance(Calendar,X135,W136,"f",FALSE)</f>
        <v>42423</v>
      </c>
      <c r="Y136" s="131">
        <f>_xll.qlCalendarAdvance(Calendar,X136,NDays&amp;"D")</f>
        <v>42425</v>
      </c>
      <c r="Z136" s="132">
        <v>-3.8288602993441501E-4</v>
      </c>
      <c r="AA136" s="129">
        <v>-4.2407383756604133E-4</v>
      </c>
    </row>
    <row r="137" spans="19:27" x14ac:dyDescent="0.2">
      <c r="S137" s="1"/>
      <c r="T137" s="109"/>
      <c r="W137" s="130" t="str">
        <f t="shared" si="11"/>
        <v>1D</v>
      </c>
      <c r="X137" s="128">
        <f>_xll.qlCalendarAdvance(Calendar,X136,W137,"f",FALSE)</f>
        <v>42424</v>
      </c>
      <c r="Y137" s="131">
        <f>_xll.qlCalendarAdvance(Calendar,X137,NDays&amp;"D")</f>
        <v>42426</v>
      </c>
      <c r="Z137" s="132">
        <v>-3.83079317332502E-4</v>
      </c>
      <c r="AA137" s="129">
        <v>-4.2333393198923375E-4</v>
      </c>
    </row>
    <row r="138" spans="19:27" x14ac:dyDescent="0.2">
      <c r="S138" s="1"/>
      <c r="T138" s="109"/>
      <c r="W138" s="130" t="str">
        <f t="shared" si="11"/>
        <v>1D</v>
      </c>
      <c r="X138" s="128">
        <f>_xll.qlCalendarAdvance(Calendar,X137,W138,"f",FALSE)</f>
        <v>42425</v>
      </c>
      <c r="Y138" s="131">
        <f>_xll.qlCalendarAdvance(Calendar,X138,NDays&amp;"D")</f>
        <v>42429</v>
      </c>
      <c r="Z138" s="132">
        <v>-3.850260542727418E-4</v>
      </c>
      <c r="AA138" s="129">
        <v>-4.2267395803374797E-4</v>
      </c>
    </row>
    <row r="139" spans="19:27" x14ac:dyDescent="0.2">
      <c r="S139" s="1"/>
      <c r="T139" s="109"/>
      <c r="W139" s="130" t="str">
        <f t="shared" si="11"/>
        <v>1D</v>
      </c>
      <c r="X139" s="128">
        <f>_xll.qlCalendarAdvance(Calendar,X138,W139,"f",FALSE)</f>
        <v>42426</v>
      </c>
      <c r="Y139" s="131">
        <f>_xll.qlCalendarAdvance(Calendar,X139,NDays&amp;"D")</f>
        <v>42430</v>
      </c>
      <c r="Z139" s="132">
        <v>-3.7039745151925255E-4</v>
      </c>
      <c r="AA139" s="129">
        <v>-4.223831900240782E-4</v>
      </c>
    </row>
    <row r="140" spans="19:27" x14ac:dyDescent="0.2">
      <c r="S140" s="1"/>
      <c r="T140" s="109"/>
      <c r="W140" s="130" t="str">
        <f t="shared" si="11"/>
        <v>1D</v>
      </c>
      <c r="X140" s="128">
        <f>_xll.qlCalendarAdvance(Calendar,X139,W140,"f",FALSE)</f>
        <v>42429</v>
      </c>
      <c r="Y140" s="131">
        <f>_xll.qlCalendarAdvance(Calendar,X140,NDays&amp;"D")</f>
        <v>42431</v>
      </c>
      <c r="Z140" s="132">
        <v>-3.7064628996214715E-4</v>
      </c>
      <c r="AA140" s="129">
        <v>-4.2211610287168355E-4</v>
      </c>
    </row>
    <row r="141" spans="19:27" x14ac:dyDescent="0.2">
      <c r="S141" s="1"/>
      <c r="T141" s="109"/>
      <c r="W141" s="130" t="str">
        <f t="shared" si="11"/>
        <v>1D</v>
      </c>
      <c r="X141" s="128">
        <f>_xll.qlCalendarAdvance(Calendar,X140,W141,"f",FALSE)</f>
        <v>42430</v>
      </c>
      <c r="Y141" s="131">
        <f>_xll.qlCalendarAdvance(Calendar,X141,NDays&amp;"D")</f>
        <v>42432</v>
      </c>
      <c r="Z141" s="132">
        <v>-3.7090422402104127E-4</v>
      </c>
      <c r="AA141" s="129">
        <v>-4.2187269645665992E-4</v>
      </c>
    </row>
    <row r="142" spans="19:27" x14ac:dyDescent="0.2">
      <c r="S142" s="1"/>
      <c r="T142" s="109"/>
      <c r="W142" s="130" t="str">
        <f t="shared" si="11"/>
        <v>1D</v>
      </c>
      <c r="X142" s="128">
        <f>_xll.qlCalendarAdvance(Calendar,X141,W142,"f",FALSE)</f>
        <v>42431</v>
      </c>
      <c r="Y142" s="131">
        <f>_xll.qlCalendarAdvance(Calendar,X142,NDays&amp;"D")</f>
        <v>42433</v>
      </c>
      <c r="Z142" s="132">
        <v>-3.7278996271034861E-4</v>
      </c>
      <c r="AA142" s="129">
        <v>-4.2146432615908225E-4</v>
      </c>
    </row>
    <row r="143" spans="19:27" x14ac:dyDescent="0.2">
      <c r="S143" s="1"/>
      <c r="T143" s="109"/>
      <c r="W143" s="130" t="str">
        <f t="shared" si="11"/>
        <v>1D</v>
      </c>
      <c r="X143" s="128">
        <f>_xll.qlCalendarAdvance(Calendar,X142,W143,"f",FALSE)</f>
        <v>42432</v>
      </c>
      <c r="Y143" s="131">
        <f>_xll.qlCalendarAdvance(Calendar,X143,NDays&amp;"D")</f>
        <v>42436</v>
      </c>
      <c r="Z143" s="132">
        <v>-3.7202317717508772E-4</v>
      </c>
      <c r="AA143" s="129">
        <v>-4.2113587868986002E-4</v>
      </c>
    </row>
    <row r="144" spans="19:27" x14ac:dyDescent="0.2">
      <c r="S144" s="1"/>
      <c r="T144" s="109"/>
      <c r="W144" s="130" t="str">
        <f t="shared" si="11"/>
        <v>1D</v>
      </c>
      <c r="X144" s="128">
        <f>_xll.qlCalendarAdvance(Calendar,X143,W144,"f",FALSE)</f>
        <v>42433</v>
      </c>
      <c r="Y144" s="131">
        <f>_xll.qlCalendarAdvance(Calendar,X144,NDays&amp;"D")</f>
        <v>42437</v>
      </c>
      <c r="Z144" s="132">
        <v>-3.7232378488033757E-4</v>
      </c>
      <c r="AA144" s="129">
        <v>-4.2101087612156363E-4</v>
      </c>
    </row>
    <row r="145" spans="19:27" x14ac:dyDescent="0.2">
      <c r="S145" s="1"/>
      <c r="T145" s="109"/>
      <c r="W145" s="130" t="str">
        <f t="shared" si="11"/>
        <v>1D</v>
      </c>
      <c r="X145" s="128">
        <f>_xll.qlCalendarAdvance(Calendar,X144,W145,"f",FALSE)</f>
        <v>42436</v>
      </c>
      <c r="Y145" s="131">
        <f>_xll.qlCalendarAdvance(Calendar,X145,NDays&amp;"D")</f>
        <v>42438</v>
      </c>
      <c r="Z145" s="132">
        <v>-3.7263236642717443E-4</v>
      </c>
      <c r="AA145" s="129">
        <v>-4.2090955429063825E-4</v>
      </c>
    </row>
    <row r="146" spans="19:27" x14ac:dyDescent="0.2">
      <c r="S146" s="1"/>
      <c r="T146" s="109"/>
      <c r="W146" s="130" t="str">
        <f t="shared" si="11"/>
        <v>1D</v>
      </c>
      <c r="X146" s="128">
        <f>_xll.qlCalendarAdvance(Calendar,X145,W146,"f",FALSE)</f>
        <v>42437</v>
      </c>
      <c r="Y146" s="131">
        <f>_xll.qlCalendarAdvance(Calendar,X146,NDays&amp;"D")</f>
        <v>42439</v>
      </c>
      <c r="Z146" s="132">
        <v>-3.7294873485515113E-4</v>
      </c>
      <c r="AA146" s="129">
        <v>-4.2083191343689208E-4</v>
      </c>
    </row>
    <row r="147" spans="19:27" x14ac:dyDescent="0.2">
      <c r="S147" s="1"/>
      <c r="T147" s="109"/>
      <c r="W147" s="130" t="str">
        <f t="shared" si="11"/>
        <v>1D</v>
      </c>
      <c r="X147" s="128">
        <f>_xll.qlCalendarAdvance(Calendar,X146,W147,"f",FALSE)</f>
        <v>42438</v>
      </c>
      <c r="Y147" s="131">
        <f>_xll.qlCalendarAdvance(Calendar,X147,NDays&amp;"D")</f>
        <v>42440</v>
      </c>
      <c r="Z147" s="132">
        <v>-3.7493800384212362E-4</v>
      </c>
      <c r="AA147" s="129">
        <v>-4.2075507556749159E-4</v>
      </c>
    </row>
    <row r="148" spans="19:27" x14ac:dyDescent="0.2">
      <c r="S148" s="1"/>
      <c r="T148" s="109"/>
      <c r="W148" s="130" t="str">
        <f t="shared" si="11"/>
        <v>1D</v>
      </c>
      <c r="X148" s="128">
        <f>_xll.qlCalendarAdvance(Calendar,X147,W148,"f",FALSE)</f>
        <v>42439</v>
      </c>
      <c r="Y148" s="131">
        <f>_xll.qlCalendarAdvance(Calendar,X148,NDays&amp;"D")</f>
        <v>42443</v>
      </c>
      <c r="Z148" s="132">
        <v>-3.7428833811303802E-4</v>
      </c>
      <c r="AA148" s="129">
        <v>-4.2075815719577747E-4</v>
      </c>
    </row>
    <row r="149" spans="19:27" x14ac:dyDescent="0.2">
      <c r="S149" s="1"/>
      <c r="T149" s="109"/>
      <c r="W149" s="130" t="str">
        <f t="shared" ref="W149:W212" si="12">W148</f>
        <v>1D</v>
      </c>
      <c r="X149" s="128">
        <f>_xll.qlCalendarAdvance(Calendar,X148,W149,"f",FALSE)</f>
        <v>42440</v>
      </c>
      <c r="Y149" s="131">
        <f>_xll.qlCalendarAdvance(Calendar,X149,NDays&amp;"D")</f>
        <v>42444</v>
      </c>
      <c r="Z149" s="132">
        <v>-3.7464083650438364E-4</v>
      </c>
      <c r="AA149" s="129">
        <v>-4.2079892018875853E-4</v>
      </c>
    </row>
    <row r="150" spans="19:27" x14ac:dyDescent="0.2">
      <c r="S150" s="1"/>
      <c r="T150" s="109"/>
      <c r="W150" s="130" t="str">
        <f t="shared" si="12"/>
        <v>1D</v>
      </c>
      <c r="X150" s="128">
        <f>_xll.qlCalendarAdvance(Calendar,X149,W150,"f",FALSE)</f>
        <v>42443</v>
      </c>
      <c r="Y150" s="131">
        <f>_xll.qlCalendarAdvance(Calendar,X150,NDays&amp;"D")</f>
        <v>42445</v>
      </c>
      <c r="Z150" s="132">
        <v>-3.75000000000719E-4</v>
      </c>
      <c r="AA150" s="129">
        <v>-4.208604968924945E-4</v>
      </c>
    </row>
    <row r="151" spans="19:27" x14ac:dyDescent="0.2">
      <c r="S151" s="1"/>
      <c r="T151" s="109"/>
      <c r="W151" s="130" t="str">
        <f t="shared" si="12"/>
        <v>1D</v>
      </c>
      <c r="X151" s="128">
        <f>_xll.qlCalendarAdvance(Calendar,X150,W151,"f",FALSE)</f>
        <v>42444</v>
      </c>
      <c r="Y151" s="131">
        <f>_xll.qlCalendarAdvance(Calendar,X151,NDays&amp;"D")</f>
        <v>42446</v>
      </c>
      <c r="Z151" s="132">
        <v>-3.753655686252213E-4</v>
      </c>
      <c r="AA151" s="129">
        <v>-4.2093141936039302E-4</v>
      </c>
    </row>
    <row r="152" spans="19:27" x14ac:dyDescent="0.2">
      <c r="S152" s="1"/>
      <c r="T152" s="109"/>
      <c r="W152" s="130" t="str">
        <f t="shared" si="12"/>
        <v>1D</v>
      </c>
      <c r="X152" s="128">
        <f>_xll.qlCalendarAdvance(Calendar,X151,W152,"f",FALSE)</f>
        <v>42445</v>
      </c>
      <c r="Y152" s="131">
        <f>_xll.qlCalendarAdvance(Calendar,X152,NDays&amp;"D")</f>
        <v>42447</v>
      </c>
      <c r="Z152" s="132">
        <v>-3.7744202291166396E-4</v>
      </c>
      <c r="AA152" s="129">
        <v>-4.21094367668573E-4</v>
      </c>
    </row>
    <row r="153" spans="19:27" x14ac:dyDescent="0.2">
      <c r="S153" s="1"/>
      <c r="T153" s="109"/>
      <c r="W153" s="130" t="str">
        <f t="shared" si="12"/>
        <v>1D</v>
      </c>
      <c r="X153" s="128">
        <f>_xll.qlCalendarAdvance(Calendar,X152,W153,"f",FALSE)</f>
        <v>42446</v>
      </c>
      <c r="Y153" s="131">
        <f>_xll.qlCalendarAdvance(Calendar,X153,NDays&amp;"D")</f>
        <v>42450</v>
      </c>
      <c r="Z153" s="132">
        <v>-3.7688012366312782E-4</v>
      </c>
      <c r="AA153" s="129">
        <v>-4.2127989704709989E-4</v>
      </c>
    </row>
    <row r="154" spans="19:27" x14ac:dyDescent="0.2">
      <c r="S154" s="1"/>
      <c r="T154" s="109"/>
      <c r="W154" s="130" t="str">
        <f t="shared" si="12"/>
        <v>1D</v>
      </c>
      <c r="X154" s="128">
        <f>_xll.qlCalendarAdvance(Calendar,X153,W154,"f",FALSE)</f>
        <v>42447</v>
      </c>
      <c r="Y154" s="131">
        <f>_xll.qlCalendarAdvance(Calendar,X154,NDays&amp;"D")</f>
        <v>42451</v>
      </c>
      <c r="Z154" s="132">
        <v>-3.7726870733402056E-4</v>
      </c>
      <c r="AA154" s="129">
        <v>-4.2138321352247488E-4</v>
      </c>
    </row>
    <row r="155" spans="19:27" x14ac:dyDescent="0.2">
      <c r="S155" s="1"/>
      <c r="T155" s="109"/>
      <c r="W155" s="130" t="str">
        <f t="shared" si="12"/>
        <v>1D</v>
      </c>
      <c r="X155" s="128">
        <f>_xll.qlCalendarAdvance(Calendar,X154,W155,"f",FALSE)</f>
        <v>42450</v>
      </c>
      <c r="Y155" s="131">
        <f>_xll.qlCalendarAdvance(Calendar,X155,NDays&amp;"D")</f>
        <v>42452</v>
      </c>
      <c r="Z155" s="132">
        <v>-3.7766001887979577E-4</v>
      </c>
      <c r="AA155" s="129">
        <v>-4.214930087353963E-4</v>
      </c>
    </row>
    <row r="156" spans="19:27" x14ac:dyDescent="0.2">
      <c r="S156" s="1"/>
      <c r="T156" s="109"/>
      <c r="W156" s="130" t="str">
        <f t="shared" si="12"/>
        <v>1D</v>
      </c>
      <c r="X156" s="128">
        <f>_xll.qlCalendarAdvance(Calendar,X155,W156,"f",FALSE)</f>
        <v>42451</v>
      </c>
      <c r="Y156" s="131">
        <f>_xll.qlCalendarAdvance(Calendar,X156,NDays&amp;"D")</f>
        <v>42453</v>
      </c>
      <c r="Z156" s="132">
        <v>-3.7805343325782718E-4</v>
      </c>
      <c r="AA156" s="129">
        <v>-4.2186675718358657E-4</v>
      </c>
    </row>
    <row r="157" spans="19:27" x14ac:dyDescent="0.2">
      <c r="S157" s="1"/>
      <c r="T157" s="109"/>
      <c r="W157" s="130" t="str">
        <f t="shared" si="12"/>
        <v>1D</v>
      </c>
      <c r="X157" s="128">
        <f>_xll.qlCalendarAdvance(Calendar,X156,W157,"f",FALSE)</f>
        <v>42452</v>
      </c>
      <c r="Y157" s="131">
        <f>_xll.qlCalendarAdvance(Calendar,X157,NDays&amp;"D")</f>
        <v>42458</v>
      </c>
      <c r="Z157" s="132">
        <v>-3.8003017111123131E-4</v>
      </c>
      <c r="AA157" s="129">
        <v>-4.2228783470044107E-4</v>
      </c>
    </row>
    <row r="158" spans="19:27" x14ac:dyDescent="0.2">
      <c r="S158" s="1"/>
      <c r="T158" s="109"/>
      <c r="W158" s="130" t="str">
        <f t="shared" si="12"/>
        <v>1D</v>
      </c>
      <c r="X158" s="128">
        <f>_xll.qlCalendarAdvance(Calendar,X157,W158,"f",FALSE)</f>
        <v>42453</v>
      </c>
      <c r="Y158" s="131">
        <f>_xll.qlCalendarAdvance(Calendar,X158,NDays&amp;"D")</f>
        <v>42459</v>
      </c>
      <c r="Z158" s="132">
        <v>-3.8042307657417871E-4</v>
      </c>
      <c r="AA158" s="129">
        <v>-4.2244298135596381E-4</v>
      </c>
    </row>
    <row r="159" spans="19:27" x14ac:dyDescent="0.2">
      <c r="S159" s="1"/>
      <c r="T159" s="109"/>
      <c r="W159" s="130" t="str">
        <f t="shared" si="12"/>
        <v>1D</v>
      </c>
      <c r="X159" s="128">
        <f>_xll.qlCalendarAdvance(Calendar,X158,W159,"f",FALSE)</f>
        <v>42458</v>
      </c>
      <c r="Y159" s="131">
        <f>_xll.qlCalendarAdvance(Calendar,X159,NDays&amp;"D")</f>
        <v>42460</v>
      </c>
      <c r="Z159" s="132">
        <v>-3.799617652462932E-4</v>
      </c>
      <c r="AA159" s="129">
        <v>-4.2260460694887314E-4</v>
      </c>
    </row>
    <row r="160" spans="19:27" x14ac:dyDescent="0.2">
      <c r="S160" s="1"/>
      <c r="T160" s="109"/>
      <c r="W160" s="130" t="str">
        <f t="shared" si="12"/>
        <v>1D</v>
      </c>
      <c r="X160" s="128">
        <f>_xll.qlCalendarAdvance(Calendar,X159,W160,"f",FALSE)</f>
        <v>42459</v>
      </c>
      <c r="Y160" s="131">
        <f>_xll.qlCalendarAdvance(Calendar,X160,NDays&amp;"D")</f>
        <v>42461</v>
      </c>
      <c r="Z160" s="132">
        <v>-3.2853504342549982E-4</v>
      </c>
      <c r="AA160" s="129">
        <v>-4.2294895705730085E-4</v>
      </c>
    </row>
    <row r="161" spans="19:27" x14ac:dyDescent="0.2">
      <c r="S161" s="1"/>
      <c r="T161" s="109"/>
      <c r="W161" s="130" t="str">
        <f t="shared" si="12"/>
        <v>1D</v>
      </c>
      <c r="X161" s="128">
        <f>_xll.qlCalendarAdvance(Calendar,X160,W161,"f",FALSE)</f>
        <v>42460</v>
      </c>
      <c r="Y161" s="131">
        <f>_xll.qlCalendarAdvance(Calendar,X161,NDays&amp;"D")</f>
        <v>42464</v>
      </c>
      <c r="Z161" s="132">
        <v>-3.2969397829225519E-4</v>
      </c>
      <c r="AA161" s="129">
        <v>-4.2331589701571914E-4</v>
      </c>
    </row>
    <row r="162" spans="19:27" x14ac:dyDescent="0.2">
      <c r="S162" s="1"/>
      <c r="T162" s="109"/>
      <c r="W162" s="130" t="str">
        <f t="shared" si="12"/>
        <v>1D</v>
      </c>
      <c r="X162" s="128">
        <f>_xll.qlCalendarAdvance(Calendar,X161,W162,"f",FALSE)</f>
        <v>42461</v>
      </c>
      <c r="Y162" s="131">
        <f>_xll.qlCalendarAdvance(Calendar,X162,NDays&amp;"D")</f>
        <v>42465</v>
      </c>
      <c r="Z162" s="132">
        <v>-3.3007133979649756E-4</v>
      </c>
      <c r="AA162" s="129">
        <v>-4.2350991637629676E-4</v>
      </c>
    </row>
    <row r="163" spans="19:27" x14ac:dyDescent="0.2">
      <c r="S163" s="1"/>
      <c r="T163" s="109"/>
      <c r="W163" s="130" t="str">
        <f t="shared" si="12"/>
        <v>1D</v>
      </c>
      <c r="X163" s="128">
        <f>_xll.qlCalendarAdvance(Calendar,X162,W163,"f",FALSE)</f>
        <v>42464</v>
      </c>
      <c r="Y163" s="131">
        <f>_xll.qlCalendarAdvance(Calendar,X163,NDays&amp;"D")</f>
        <v>42466</v>
      </c>
      <c r="Z163" s="132">
        <v>-3.3044317304464532E-4</v>
      </c>
      <c r="AA163" s="129">
        <v>-4.2371041471422899E-4</v>
      </c>
    </row>
    <row r="164" spans="19:27" x14ac:dyDescent="0.2">
      <c r="S164" s="1"/>
      <c r="T164" s="109"/>
      <c r="W164" s="130" t="str">
        <f t="shared" si="12"/>
        <v>1D</v>
      </c>
      <c r="X164" s="128">
        <f>_xll.qlCalendarAdvance(Calendar,X163,W164,"f",FALSE)</f>
        <v>42465</v>
      </c>
      <c r="Y164" s="131">
        <f>_xll.qlCalendarAdvance(Calendar,X164,NDays&amp;"D")</f>
        <v>42467</v>
      </c>
      <c r="Z164" s="132">
        <v>-3.3080884611932286E-4</v>
      </c>
      <c r="AA164" s="129">
        <v>-4.2391739182967569E-4</v>
      </c>
    </row>
    <row r="165" spans="19:27" x14ac:dyDescent="0.2">
      <c r="S165" s="1"/>
      <c r="T165" s="109"/>
      <c r="W165" s="130" t="str">
        <f t="shared" si="12"/>
        <v>1D</v>
      </c>
      <c r="X165" s="128">
        <f>_xll.qlCalendarAdvance(Calendar,X164,W165,"f",FALSE)</f>
        <v>42466</v>
      </c>
      <c r="Y165" s="131">
        <f>_xll.qlCalendarAdvance(Calendar,X165,NDays&amp;"D")</f>
        <v>42468</v>
      </c>
      <c r="Z165" s="132">
        <v>-3.3116772709876249E-4</v>
      </c>
      <c r="AA165" s="129">
        <v>-4.2435244170579978E-4</v>
      </c>
    </row>
    <row r="166" spans="19:27" x14ac:dyDescent="0.2">
      <c r="S166" s="1"/>
      <c r="T166" s="109"/>
      <c r="W166" s="130" t="str">
        <f t="shared" si="12"/>
        <v>1D</v>
      </c>
      <c r="X166" s="128">
        <f>_xll.qlCalendarAdvance(Calendar,X165,W166,"f",FALSE)</f>
        <v>42467</v>
      </c>
      <c r="Y166" s="131">
        <f>_xll.qlCalendarAdvance(Calendar,X166,NDays&amp;"D")</f>
        <v>42471</v>
      </c>
      <c r="Z166" s="132">
        <v>-3.3219729830419629E-4</v>
      </c>
      <c r="AA166" s="129">
        <v>-4.2481008794670316E-4</v>
      </c>
    </row>
    <row r="167" spans="19:27" x14ac:dyDescent="0.2">
      <c r="S167" s="1"/>
      <c r="T167" s="109"/>
      <c r="W167" s="130" t="str">
        <f t="shared" si="12"/>
        <v>1D</v>
      </c>
      <c r="X167" s="128">
        <f>_xll.qlCalendarAdvance(Calendar,X166,W167,"f",FALSE)</f>
        <v>42468</v>
      </c>
      <c r="Y167" s="131">
        <f>_xll.qlCalendarAdvance(Calendar,X167,NDays&amp;"D")</f>
        <v>42472</v>
      </c>
      <c r="Z167" s="132">
        <v>-3.3252269173727361E-4</v>
      </c>
      <c r="AA167" s="129">
        <v>-4.2504945906962632E-4</v>
      </c>
    </row>
    <row r="168" spans="19:27" x14ac:dyDescent="0.2">
      <c r="S168" s="1"/>
      <c r="T168" s="109"/>
      <c r="W168" s="130" t="str">
        <f t="shared" si="12"/>
        <v>1D</v>
      </c>
      <c r="X168" s="128">
        <f>_xll.qlCalendarAdvance(Calendar,X167,W168,"f",FALSE)</f>
        <v>42471</v>
      </c>
      <c r="Y168" s="131">
        <f>_xll.qlCalendarAdvance(Calendar,X168,NDays&amp;"D")</f>
        <v>42473</v>
      </c>
      <c r="Z168" s="132">
        <v>-3.328381334886745E-4</v>
      </c>
      <c r="AA168" s="129">
        <v>-4.252953088901279E-4</v>
      </c>
    </row>
    <row r="169" spans="19:27" x14ac:dyDescent="0.2">
      <c r="S169" s="1"/>
      <c r="T169" s="109"/>
      <c r="W169" s="130" t="str">
        <f t="shared" si="12"/>
        <v>1D</v>
      </c>
      <c r="X169" s="128">
        <f>_xll.qlCalendarAdvance(Calendar,X168,W169,"f",FALSE)</f>
        <v>42472</v>
      </c>
      <c r="Y169" s="131">
        <f>_xll.qlCalendarAdvance(Calendar,X169,NDays&amp;"D")</f>
        <v>42474</v>
      </c>
      <c r="Z169" s="132">
        <v>-3.3314299164234086E-4</v>
      </c>
      <c r="AA169" s="129">
        <v>-4.2554763740820789E-4</v>
      </c>
    </row>
    <row r="170" spans="19:27" x14ac:dyDescent="0.2">
      <c r="S170" s="1"/>
      <c r="T170" s="109"/>
      <c r="W170" s="130" t="str">
        <f t="shared" si="12"/>
        <v>1D</v>
      </c>
      <c r="X170" s="128">
        <f>_xll.qlCalendarAdvance(Calendar,X169,W170,"f",FALSE)</f>
        <v>42473</v>
      </c>
      <c r="Y170" s="131">
        <f>_xll.qlCalendarAdvance(Calendar,X170,NDays&amp;"D")</f>
        <v>42475</v>
      </c>
      <c r="Z170" s="132">
        <v>-3.3343663428265401E-4</v>
      </c>
      <c r="AA170" s="129">
        <v>-4.2607338633260383E-4</v>
      </c>
    </row>
    <row r="171" spans="19:27" x14ac:dyDescent="0.2">
      <c r="S171" s="1"/>
      <c r="T171" s="109"/>
      <c r="W171" s="130" t="str">
        <f t="shared" si="12"/>
        <v>1D</v>
      </c>
      <c r="X171" s="128">
        <f>_xll.qlCalendarAdvance(Calendar,X170,W171,"f",FALSE)</f>
        <v>42474</v>
      </c>
      <c r="Y171" s="131">
        <f>_xll.qlCalendarAdvance(Calendar,X171,NDays&amp;"D")</f>
        <v>42478</v>
      </c>
      <c r="Z171" s="132">
        <v>-3.3424394994752263E-4</v>
      </c>
      <c r="AA171" s="129">
        <v>-4.2662173969532091E-4</v>
      </c>
    </row>
    <row r="172" spans="19:27" x14ac:dyDescent="0.2">
      <c r="S172" s="1"/>
      <c r="T172" s="109"/>
      <c r="W172" s="130" t="str">
        <f t="shared" si="12"/>
        <v>1D</v>
      </c>
      <c r="X172" s="128">
        <f>_xll.qlCalendarAdvance(Calendar,X171,W172,"f",FALSE)</f>
        <v>42475</v>
      </c>
      <c r="Y172" s="131">
        <f>_xll.qlCalendarAdvance(Calendar,X172,NDays&amp;"D")</f>
        <v>42479</v>
      </c>
      <c r="Z172" s="132">
        <v>-3.3448641136330258E-4</v>
      </c>
      <c r="AA172" s="129">
        <v>-4.2690646226084539E-4</v>
      </c>
    </row>
    <row r="173" spans="19:27" x14ac:dyDescent="0.2">
      <c r="S173" s="1"/>
      <c r="T173" s="109"/>
      <c r="W173" s="130" t="str">
        <f t="shared" si="12"/>
        <v>1D</v>
      </c>
      <c r="X173" s="128">
        <f>_xll.qlCalendarAdvance(Calendar,X172,W173,"f",FALSE)</f>
        <v>42478</v>
      </c>
      <c r="Y173" s="131">
        <f>_xll.qlCalendarAdvance(Calendar,X173,NDays&amp;"D")</f>
        <v>42480</v>
      </c>
      <c r="Z173" s="132">
        <v>-3.3471449768016906E-4</v>
      </c>
      <c r="AA173" s="129">
        <v>-4.2719766368382039E-4</v>
      </c>
    </row>
    <row r="174" spans="19:27" x14ac:dyDescent="0.2">
      <c r="S174" s="1"/>
      <c r="T174" s="109"/>
      <c r="W174" s="130" t="str">
        <f t="shared" si="12"/>
        <v>1D</v>
      </c>
      <c r="X174" s="128">
        <f>_xll.qlCalendarAdvance(Calendar,X173,W174,"f",FALSE)</f>
        <v>42479</v>
      </c>
      <c r="Y174" s="131">
        <f>_xll.qlCalendarAdvance(Calendar,X174,NDays&amp;"D")</f>
        <v>42481</v>
      </c>
      <c r="Z174" s="132">
        <v>-3.3492757698118581E-4</v>
      </c>
      <c r="AA174" s="129">
        <v>-4.2749534372443776E-4</v>
      </c>
    </row>
    <row r="175" spans="19:27" x14ac:dyDescent="0.2">
      <c r="S175" s="1"/>
      <c r="T175" s="109"/>
      <c r="W175" s="130" t="str">
        <f t="shared" si="12"/>
        <v>1D</v>
      </c>
      <c r="X175" s="128">
        <f>_xll.qlCalendarAdvance(Calendar,X174,W175,"f",FALSE)</f>
        <v>42480</v>
      </c>
      <c r="Y175" s="131">
        <f>_xll.qlCalendarAdvance(Calendar,X175,NDays&amp;"D")</f>
        <v>42482</v>
      </c>
      <c r="Z175" s="132">
        <v>-3.3512501735293005E-4</v>
      </c>
      <c r="AA175" s="129">
        <v>-4.2811179087109963E-4</v>
      </c>
    </row>
    <row r="176" spans="19:27" x14ac:dyDescent="0.2">
      <c r="S176" s="1"/>
      <c r="T176" s="109"/>
      <c r="W176" s="130" t="str">
        <f t="shared" si="12"/>
        <v>1D</v>
      </c>
      <c r="X176" s="128">
        <f>_xll.qlCalendarAdvance(Calendar,X175,W176,"f",FALSE)</f>
        <v>42481</v>
      </c>
      <c r="Y176" s="131">
        <f>_xll.qlCalendarAdvance(Calendar,X176,NDays&amp;"D")</f>
        <v>42485</v>
      </c>
      <c r="Z176" s="132">
        <v>-3.3561718570867058E-4</v>
      </c>
      <c r="AA176" s="129">
        <v>-4.287508521416683E-4</v>
      </c>
    </row>
    <row r="177" spans="19:27" x14ac:dyDescent="0.2">
      <c r="S177" s="1"/>
      <c r="T177" s="109"/>
      <c r="W177" s="130" t="str">
        <f t="shared" si="12"/>
        <v>1D</v>
      </c>
      <c r="X177" s="128">
        <f>_xll.qlCalendarAdvance(Calendar,X176,W177,"f",FALSE)</f>
        <v>42482</v>
      </c>
      <c r="Y177" s="131">
        <f>_xll.qlCalendarAdvance(Calendar,X177,NDays&amp;"D")</f>
        <v>42486</v>
      </c>
      <c r="Z177" s="132">
        <v>-3.3574575118605561E-4</v>
      </c>
      <c r="AA177" s="129">
        <v>-4.2908092634963424E-4</v>
      </c>
    </row>
    <row r="178" spans="19:27" x14ac:dyDescent="0.2">
      <c r="S178" s="1"/>
      <c r="T178" s="109"/>
      <c r="W178" s="130" t="str">
        <f t="shared" si="12"/>
        <v>1D</v>
      </c>
      <c r="X178" s="128">
        <f>_xll.qlCalendarAdvance(Calendar,X177,W178,"f",FALSE)</f>
        <v>42485</v>
      </c>
      <c r="Y178" s="131">
        <f>_xll.qlCalendarAdvance(Calendar,X178,NDays&amp;"D")</f>
        <v>42487</v>
      </c>
      <c r="Z178" s="132">
        <v>-3.3585551814597272E-4</v>
      </c>
      <c r="AA178" s="129">
        <v>-4.2941747909530648E-4</v>
      </c>
    </row>
    <row r="179" spans="19:27" x14ac:dyDescent="0.2">
      <c r="S179" s="1"/>
      <c r="T179" s="109"/>
      <c r="W179" s="130" t="str">
        <f t="shared" si="12"/>
        <v>1D</v>
      </c>
      <c r="X179" s="128">
        <f>_xll.qlCalendarAdvance(Calendar,X178,W179,"f",FALSE)</f>
        <v>42486</v>
      </c>
      <c r="Y179" s="131">
        <f>_xll.qlCalendarAdvance(Calendar,X179,NDays&amp;"D")</f>
        <v>42488</v>
      </c>
      <c r="Z179" s="132">
        <v>-3.3594585467412074E-4</v>
      </c>
      <c r="AA179" s="129">
        <v>-4.297605107783653E-4</v>
      </c>
    </row>
    <row r="180" spans="19:27" x14ac:dyDescent="0.2">
      <c r="S180" s="1"/>
      <c r="T180" s="109"/>
      <c r="W180" s="130" t="str">
        <f t="shared" si="12"/>
        <v>1D</v>
      </c>
      <c r="X180" s="128">
        <f>_xll.qlCalendarAdvance(Calendar,X179,W180,"f",FALSE)</f>
        <v>42487</v>
      </c>
      <c r="Y180" s="131">
        <f>_xll.qlCalendarAdvance(Calendar,X180,NDays&amp;"D")</f>
        <v>42489</v>
      </c>
      <c r="Z180" s="132">
        <v>-3.3601612885004973E-4</v>
      </c>
      <c r="AA180" s="129">
        <v>8.8954212960956625E-4</v>
      </c>
    </row>
    <row r="181" spans="19:27" x14ac:dyDescent="0.2">
      <c r="S181" s="1"/>
      <c r="T181" s="109"/>
      <c r="W181" s="130" t="str">
        <f t="shared" si="12"/>
        <v>1D</v>
      </c>
      <c r="X181" s="128">
        <f>_xll.qlCalendarAdvance(Calendar,X180,W181,"f",FALSE)</f>
        <v>42488</v>
      </c>
      <c r="Y181" s="131">
        <f>_xll.qlCalendarAdvance(Calendar,X181,NDays&amp;"D")</f>
        <v>42492</v>
      </c>
      <c r="Z181" s="132">
        <v>-3.4220397508753233E-4</v>
      </c>
      <c r="AA181" s="129">
        <v>-4.311974253656814E-4</v>
      </c>
    </row>
    <row r="182" spans="19:27" x14ac:dyDescent="0.2">
      <c r="S182" s="1"/>
      <c r="T182" s="109"/>
      <c r="W182" s="130" t="str">
        <f t="shared" si="12"/>
        <v>1D</v>
      </c>
      <c r="X182" s="128">
        <f>_xll.qlCalendarAdvance(Calendar,X181,W182,"f",FALSE)</f>
        <v>42489</v>
      </c>
      <c r="Y182" s="131">
        <f>_xll.qlCalendarAdvance(Calendar,X182,NDays&amp;"D")</f>
        <v>42493</v>
      </c>
      <c r="Z182" s="132">
        <v>-3.4216896871755567E-4</v>
      </c>
      <c r="AA182" s="129">
        <v>-4.3157285097628062E-4</v>
      </c>
    </row>
    <row r="183" spans="19:27" x14ac:dyDescent="0.2">
      <c r="S183" s="1"/>
      <c r="T183" s="109"/>
      <c r="W183" s="130" t="str">
        <f t="shared" si="12"/>
        <v>1D</v>
      </c>
      <c r="X183" s="128">
        <f>_xll.qlCalendarAdvance(Calendar,X182,W183,"f",FALSE)</f>
        <v>42492</v>
      </c>
      <c r="Y183" s="131">
        <f>_xll.qlCalendarAdvance(Calendar,X183,NDays&amp;"D")</f>
        <v>42494</v>
      </c>
      <c r="Z183" s="132">
        <v>-3.4211043823883104E-4</v>
      </c>
      <c r="AA183" s="129">
        <v>-4.3195475532442629E-4</v>
      </c>
    </row>
    <row r="184" spans="19:27" x14ac:dyDescent="0.2">
      <c r="S184" s="1"/>
      <c r="T184" s="109"/>
      <c r="W184" s="130" t="str">
        <f t="shared" si="12"/>
        <v>1D</v>
      </c>
      <c r="X184" s="128">
        <f>_xll.qlCalendarAdvance(Calendar,X183,W184,"f",FALSE)</f>
        <v>42493</v>
      </c>
      <c r="Y184" s="131">
        <f>_xll.qlCalendarAdvance(Calendar,X184,NDays&amp;"D")</f>
        <v>42495</v>
      </c>
      <c r="Z184" s="132">
        <v>-3.4202775860351899E-4</v>
      </c>
      <c r="AA184" s="129">
        <v>-4.3234313860995854E-4</v>
      </c>
    </row>
    <row r="185" spans="19:27" x14ac:dyDescent="0.2">
      <c r="S185" s="1"/>
      <c r="T185" s="109"/>
      <c r="W185" s="130" t="str">
        <f t="shared" si="12"/>
        <v>1D</v>
      </c>
      <c r="X185" s="128">
        <f>_xll.qlCalendarAdvance(Calendar,X184,W185,"f",FALSE)</f>
        <v>42494</v>
      </c>
      <c r="Y185" s="131">
        <f>_xll.qlCalendarAdvance(Calendar,X185,NDays&amp;"D")</f>
        <v>42496</v>
      </c>
      <c r="Z185" s="132">
        <v>-3.4357053251366898E-4</v>
      </c>
      <c r="AA185" s="129">
        <v>-4.3314097973645715E-4</v>
      </c>
    </row>
    <row r="186" spans="19:27" x14ac:dyDescent="0.2">
      <c r="S186" s="1"/>
      <c r="T186" s="109"/>
      <c r="W186" s="130" t="str">
        <f t="shared" si="12"/>
        <v>1D</v>
      </c>
      <c r="X186" s="128">
        <f>_xll.qlCalendarAdvance(Calendar,X185,W186,"f",FALSE)</f>
        <v>42495</v>
      </c>
      <c r="Y186" s="131">
        <f>_xll.qlCalendarAdvance(Calendar,X186,NDays&amp;"D")</f>
        <v>42499</v>
      </c>
      <c r="Z186" s="132">
        <v>-3.4144304747009478E-4</v>
      </c>
      <c r="AA186" s="129">
        <v>-4.3396145912755202E-4</v>
      </c>
    </row>
    <row r="187" spans="19:27" x14ac:dyDescent="0.2">
      <c r="S187" s="1"/>
      <c r="T187" s="109"/>
      <c r="W187" s="130" t="str">
        <f t="shared" si="12"/>
        <v>1D</v>
      </c>
      <c r="X187" s="128">
        <f>_xll.qlCalendarAdvance(Calendar,X186,W187,"f",FALSE)</f>
        <v>42496</v>
      </c>
      <c r="Y187" s="131">
        <f>_xll.qlCalendarAdvance(Calendar,X187,NDays&amp;"D")</f>
        <v>42500</v>
      </c>
      <c r="Z187" s="132">
        <v>-3.412302462825539E-4</v>
      </c>
      <c r="AA187" s="129">
        <v>-4.3438223646052876E-4</v>
      </c>
    </row>
    <row r="188" spans="19:27" x14ac:dyDescent="0.2">
      <c r="S188" s="1"/>
      <c r="T188" s="109"/>
      <c r="W188" s="130" t="str">
        <f t="shared" si="12"/>
        <v>1D</v>
      </c>
      <c r="X188" s="128">
        <f>_xll.qlCalendarAdvance(Calendar,X187,W188,"f",FALSE)</f>
        <v>42499</v>
      </c>
      <c r="Y188" s="131">
        <f>_xll.qlCalendarAdvance(Calendar,X188,NDays&amp;"D")</f>
        <v>42501</v>
      </c>
      <c r="Z188" s="132">
        <v>-3.4098954562314984E-4</v>
      </c>
      <c r="AA188" s="129">
        <v>-4.3480949221130771E-4</v>
      </c>
    </row>
    <row r="189" spans="19:27" x14ac:dyDescent="0.2">
      <c r="S189" s="1"/>
      <c r="T189" s="109"/>
      <c r="W189" s="130" t="str">
        <f t="shared" si="12"/>
        <v>1D</v>
      </c>
      <c r="X189" s="128">
        <f>_xll.qlCalendarAdvance(Calendar,X188,W189,"f",FALSE)</f>
        <v>42500</v>
      </c>
      <c r="Y189" s="131">
        <f>_xll.qlCalendarAdvance(Calendar,X189,NDays&amp;"D")</f>
        <v>42502</v>
      </c>
      <c r="Z189" s="132">
        <v>-3.4072032044447741E-4</v>
      </c>
      <c r="AA189" s="129">
        <v>-4.3524322693944129E-4</v>
      </c>
    </row>
    <row r="190" spans="19:27" x14ac:dyDescent="0.2">
      <c r="S190" s="1"/>
      <c r="T190" s="109"/>
      <c r="W190" s="130" t="str">
        <f t="shared" si="12"/>
        <v>1D</v>
      </c>
      <c r="X190" s="128">
        <f>_xll.qlCalendarAdvance(Calendar,X189,W190,"f",FALSE)</f>
        <v>42501</v>
      </c>
      <c r="Y190" s="131">
        <f>_xll.qlCalendarAdvance(Calendar,X190,NDays&amp;"D")</f>
        <v>42503</v>
      </c>
      <c r="Z190" s="132">
        <v>-3.4178063933701667E-4</v>
      </c>
      <c r="AA190" s="129">
        <v>-4.3613176402335085E-4</v>
      </c>
    </row>
    <row r="191" spans="19:27" x14ac:dyDescent="0.2">
      <c r="S191" s="1"/>
      <c r="T191" s="109"/>
      <c r="W191" s="130" t="str">
        <f t="shared" si="12"/>
        <v>1D</v>
      </c>
      <c r="X191" s="128">
        <f>_xll.qlCalendarAdvance(Calendar,X190,W191,"f",FALSE)</f>
        <v>42502</v>
      </c>
      <c r="Y191" s="131">
        <f>_xll.qlCalendarAdvance(Calendar,X191,NDays&amp;"D")</f>
        <v>42506</v>
      </c>
      <c r="Z191" s="132">
        <v>-3.3934567339220247E-4</v>
      </c>
      <c r="AA191" s="129">
        <v>-4.3704295382696046E-4</v>
      </c>
    </row>
    <row r="192" spans="19:27" x14ac:dyDescent="0.2">
      <c r="S192" s="1"/>
      <c r="T192" s="109"/>
      <c r="W192" s="130" t="str">
        <f t="shared" si="12"/>
        <v>1D</v>
      </c>
      <c r="X192" s="128">
        <f>_xll.qlCalendarAdvance(Calendar,X191,W192,"f",FALSE)</f>
        <v>42503</v>
      </c>
      <c r="Y192" s="131">
        <f>_xll.qlCalendarAdvance(Calendar,X192,NDays&amp;"D")</f>
        <v>42507</v>
      </c>
      <c r="Z192" s="132">
        <v>-3.3892444975883781E-4</v>
      </c>
      <c r="AA192" s="129">
        <v>-4.375090824426664E-4</v>
      </c>
    </row>
    <row r="193" spans="19:27" x14ac:dyDescent="0.2">
      <c r="S193" s="1"/>
      <c r="T193" s="109"/>
      <c r="W193" s="130" t="str">
        <f t="shared" si="12"/>
        <v>1D</v>
      </c>
      <c r="X193" s="128">
        <f>_xll.qlCalendarAdvance(Calendar,X192,W193,"f",FALSE)</f>
        <v>42506</v>
      </c>
      <c r="Y193" s="131">
        <f>_xll.qlCalendarAdvance(Calendar,X193,NDays&amp;"D")</f>
        <v>42508</v>
      </c>
      <c r="Z193" s="132">
        <v>-3.3847095126225631E-4</v>
      </c>
      <c r="AA193" s="129">
        <v>-4.3798168983588681E-4</v>
      </c>
    </row>
    <row r="194" spans="19:27" x14ac:dyDescent="0.2">
      <c r="S194" s="1"/>
      <c r="T194" s="109"/>
      <c r="W194" s="130" t="str">
        <f t="shared" si="12"/>
        <v>1D</v>
      </c>
      <c r="X194" s="128">
        <f>_xll.qlCalendarAdvance(Calendar,X193,W194,"f",FALSE)</f>
        <v>42507</v>
      </c>
      <c r="Y194" s="131">
        <f>_xll.qlCalendarAdvance(Calendar,X194,NDays&amp;"D")</f>
        <v>42509</v>
      </c>
      <c r="Z194" s="132">
        <v>-3.3798455284028212E-4</v>
      </c>
      <c r="AA194" s="129">
        <v>-4.3846077612652579E-4</v>
      </c>
    </row>
    <row r="195" spans="19:27" x14ac:dyDescent="0.2">
      <c r="S195" s="1"/>
      <c r="T195" s="109"/>
      <c r="W195" s="130" t="str">
        <f t="shared" si="12"/>
        <v>1D</v>
      </c>
      <c r="X195" s="128">
        <f>_xll.qlCalendarAdvance(Calendar,X194,W195,"f",FALSE)</f>
        <v>42508</v>
      </c>
      <c r="Y195" s="131">
        <f>_xll.qlCalendarAdvance(Calendar,X195,NDays&amp;"D")</f>
        <v>42510</v>
      </c>
      <c r="Z195" s="132">
        <v>-3.3850963589954441E-4</v>
      </c>
      <c r="AA195" s="129">
        <v>-4.3944000814200024E-4</v>
      </c>
    </row>
    <row r="196" spans="19:27" x14ac:dyDescent="0.2">
      <c r="S196" s="1"/>
      <c r="T196" s="109"/>
      <c r="W196" s="130" t="str">
        <f t="shared" si="12"/>
        <v>1D</v>
      </c>
      <c r="X196" s="128">
        <f>_xll.qlCalendarAdvance(Calendar,X195,W196,"f",FALSE)</f>
        <v>42509</v>
      </c>
      <c r="Y196" s="131">
        <f>_xll.qlCalendarAdvance(Calendar,X196,NDays&amp;"D")</f>
        <v>42513</v>
      </c>
      <c r="Z196" s="132">
        <v>-3.3569745864060334E-4</v>
      </c>
      <c r="AA196" s="129">
        <v>-4.4044190906422642E-4</v>
      </c>
    </row>
    <row r="197" spans="19:27" x14ac:dyDescent="0.2">
      <c r="S197" s="1"/>
      <c r="T197" s="109"/>
      <c r="W197" s="130" t="str">
        <f t="shared" si="12"/>
        <v>1D</v>
      </c>
      <c r="X197" s="128">
        <f>_xll.qlCalendarAdvance(Calendar,X196,W197,"f",FALSE)</f>
        <v>42510</v>
      </c>
      <c r="Y197" s="131">
        <f>_xll.qlCalendarAdvance(Calendar,X197,NDays&amp;"D")</f>
        <v>42514</v>
      </c>
      <c r="Z197" s="132">
        <v>-3.3503718463860817E-4</v>
      </c>
      <c r="AA197" s="129">
        <v>-4.4095338920246974E-4</v>
      </c>
    </row>
    <row r="198" spans="19:27" x14ac:dyDescent="0.2">
      <c r="S198" s="1"/>
      <c r="T198" s="109"/>
      <c r="W198" s="130" t="str">
        <f t="shared" si="12"/>
        <v>1D</v>
      </c>
      <c r="X198" s="128">
        <f>_xll.qlCalendarAdvance(Calendar,X197,W198,"f",FALSE)</f>
        <v>42513</v>
      </c>
      <c r="Y198" s="131">
        <f>_xll.qlCalendarAdvance(Calendar,X198,NDays&amp;"D")</f>
        <v>42515</v>
      </c>
      <c r="Z198" s="132">
        <v>-3.3434026032209063E-4</v>
      </c>
      <c r="AA198" s="129">
        <v>-4.4147134823813161E-4</v>
      </c>
    </row>
    <row r="199" spans="19:27" x14ac:dyDescent="0.2">
      <c r="S199" s="1"/>
      <c r="T199" s="109"/>
      <c r="W199" s="130" t="str">
        <f t="shared" si="12"/>
        <v>1D</v>
      </c>
      <c r="X199" s="128">
        <f>_xll.qlCalendarAdvance(Calendar,X198,W199,"f",FALSE)</f>
        <v>42514</v>
      </c>
      <c r="Y199" s="131">
        <f>_xll.qlCalendarAdvance(Calendar,X199,NDays&amp;"D")</f>
        <v>42516</v>
      </c>
      <c r="Z199" s="132">
        <v>-3.3360606062018603E-4</v>
      </c>
      <c r="AA199" s="129">
        <v>-4.4199578585146782E-4</v>
      </c>
    </row>
    <row r="200" spans="19:27" x14ac:dyDescent="0.2">
      <c r="S200" s="1"/>
      <c r="T200" s="109"/>
      <c r="W200" s="130" t="str">
        <f t="shared" si="12"/>
        <v>1D</v>
      </c>
      <c r="X200" s="128">
        <f>_xll.qlCalendarAdvance(Calendar,X199,W200,"f",FALSE)</f>
        <v>42515</v>
      </c>
      <c r="Y200" s="131">
        <f>_xll.qlCalendarAdvance(Calendar,X200,NDays&amp;"D")</f>
        <v>42517</v>
      </c>
      <c r="Z200" s="132">
        <v>-3.3354768815281745E-4</v>
      </c>
      <c r="AA200" s="129">
        <v>-4.4306571213237333E-4</v>
      </c>
    </row>
    <row r="201" spans="19:27" x14ac:dyDescent="0.2">
      <c r="S201" s="1"/>
      <c r="T201" s="109"/>
      <c r="W201" s="130" t="str">
        <f t="shared" si="12"/>
        <v>1D</v>
      </c>
      <c r="X201" s="128">
        <f>_xll.qlCalendarAdvance(Calendar,X200,W201,"f",FALSE)</f>
        <v>42516</v>
      </c>
      <c r="Y201" s="131">
        <f>_xll.qlCalendarAdvance(Calendar,X201,NDays&amp;"D")</f>
        <v>42520</v>
      </c>
      <c r="Z201" s="132">
        <v>-3.3028400652228951E-4</v>
      </c>
      <c r="AA201" s="129">
        <v>-4.44158324959254E-4</v>
      </c>
    </row>
    <row r="202" spans="19:27" x14ac:dyDescent="0.2">
      <c r="S202" s="1"/>
      <c r="T202" s="109"/>
      <c r="W202" s="130" t="str">
        <f t="shared" si="12"/>
        <v>1D</v>
      </c>
      <c r="X202" s="128">
        <f>_xll.qlCalendarAdvance(Calendar,X201,W202,"f",FALSE)</f>
        <v>42517</v>
      </c>
      <c r="Y202" s="131">
        <f>_xll.qlCalendarAdvance(Calendar,X202,NDays&amp;"D")</f>
        <v>42521</v>
      </c>
      <c r="Z202" s="132">
        <v>-3.2935405379702875E-4</v>
      </c>
      <c r="AA202" s="129">
        <v>9.2328835185284674E-4</v>
      </c>
    </row>
    <row r="203" spans="19:27" x14ac:dyDescent="0.2">
      <c r="S203" s="1"/>
      <c r="T203" s="109"/>
      <c r="W203" s="130" t="str">
        <f t="shared" si="12"/>
        <v>1D</v>
      </c>
      <c r="X203" s="128">
        <f>_xll.qlCalendarAdvance(Calendar,X202,W203,"f",FALSE)</f>
        <v>42520</v>
      </c>
      <c r="Y203" s="131">
        <f>_xll.qlCalendarAdvance(Calendar,X203,NDays&amp;"D")</f>
        <v>42522</v>
      </c>
      <c r="Z203" s="132">
        <v>-3.4325139259721416E-4</v>
      </c>
      <c r="AA203" s="129">
        <v>-4.4527846717823394E-4</v>
      </c>
    </row>
    <row r="204" spans="19:27" x14ac:dyDescent="0.2">
      <c r="S204" s="1"/>
      <c r="T204" s="109"/>
      <c r="W204" s="130" t="str">
        <f t="shared" si="12"/>
        <v>1D</v>
      </c>
      <c r="X204" s="128">
        <f>_xll.qlCalendarAdvance(Calendar,X203,W204,"f",FALSE)</f>
        <v>42521</v>
      </c>
      <c r="Y204" s="131">
        <f>_xll.qlCalendarAdvance(Calendar,X204,NDays&amp;"D")</f>
        <v>42523</v>
      </c>
      <c r="Z204" s="132">
        <v>-3.4223876696343436E-4</v>
      </c>
      <c r="AA204" s="129">
        <v>-4.4584825639404357E-4</v>
      </c>
    </row>
    <row r="205" spans="19:27" x14ac:dyDescent="0.2">
      <c r="S205" s="1"/>
      <c r="T205" s="109"/>
      <c r="W205" s="130" t="str">
        <f t="shared" si="12"/>
        <v>1D</v>
      </c>
      <c r="X205" s="128">
        <f>_xll.qlCalendarAdvance(Calendar,X204,W205,"f",FALSE)</f>
        <v>42522</v>
      </c>
      <c r="Y205" s="131">
        <f>_xll.qlCalendarAdvance(Calendar,X205,NDays&amp;"D")</f>
        <v>42524</v>
      </c>
      <c r="Z205" s="132">
        <v>-3.4123690898095796E-4</v>
      </c>
      <c r="AA205" s="129">
        <v>-4.4700887592785676E-4</v>
      </c>
    </row>
    <row r="206" spans="19:27" x14ac:dyDescent="0.2">
      <c r="S206" s="1"/>
      <c r="T206" s="109"/>
      <c r="W206" s="130" t="str">
        <f t="shared" si="12"/>
        <v>1D</v>
      </c>
      <c r="X206" s="128">
        <f>_xll.qlCalendarAdvance(Calendar,X205,W206,"f",FALSE)</f>
        <v>42523</v>
      </c>
      <c r="Y206" s="131">
        <f>_xll.qlCalendarAdvance(Calendar,X206,NDays&amp;"D")</f>
        <v>42527</v>
      </c>
      <c r="Z206" s="132">
        <v>-3.3775925517888559E-4</v>
      </c>
      <c r="AA206" s="129">
        <v>-4.4819220155201123E-4</v>
      </c>
    </row>
    <row r="207" spans="19:27" x14ac:dyDescent="0.2">
      <c r="S207" s="1"/>
      <c r="T207" s="109"/>
      <c r="W207" s="130" t="str">
        <f t="shared" si="12"/>
        <v>1D</v>
      </c>
      <c r="X207" s="128">
        <f>_xll.qlCalendarAdvance(Calendar,X206,W207,"f",FALSE)</f>
        <v>42524</v>
      </c>
      <c r="Y207" s="131">
        <f>_xll.qlCalendarAdvance(Calendar,X207,NDays&amp;"D")</f>
        <v>42528</v>
      </c>
      <c r="Z207" s="132">
        <v>-3.3652899948504567E-4</v>
      </c>
      <c r="AA207" s="129">
        <v>-4.4879438477529732E-4</v>
      </c>
    </row>
    <row r="208" spans="19:27" x14ac:dyDescent="0.2">
      <c r="S208" s="1"/>
      <c r="T208" s="109"/>
      <c r="W208" s="130" t="str">
        <f t="shared" si="12"/>
        <v>1D</v>
      </c>
      <c r="X208" s="128">
        <f>_xll.qlCalendarAdvance(Calendar,X207,W208,"f",FALSE)</f>
        <v>42527</v>
      </c>
      <c r="Y208" s="131">
        <f>_xll.qlCalendarAdvance(Calendar,X208,NDays&amp;"D")</f>
        <v>42529</v>
      </c>
      <c r="Z208" s="132">
        <v>-3.3525334251194793E-4</v>
      </c>
      <c r="AA208" s="129">
        <v>-4.4940304673612985E-4</v>
      </c>
    </row>
    <row r="209" spans="19:27" x14ac:dyDescent="0.2">
      <c r="S209" s="1"/>
      <c r="T209" s="109"/>
      <c r="W209" s="130" t="str">
        <f t="shared" si="12"/>
        <v>1D</v>
      </c>
      <c r="X209" s="128">
        <f>_xll.qlCalendarAdvance(Calendar,X208,W209,"f",FALSE)</f>
        <v>42528</v>
      </c>
      <c r="Y209" s="131">
        <f>_xll.qlCalendarAdvance(Calendar,X209,NDays&amp;"D")</f>
        <v>42530</v>
      </c>
      <c r="Z209" s="132">
        <v>-3.339316591670059E-4</v>
      </c>
      <c r="AA209" s="129">
        <v>-4.5001818755441292E-4</v>
      </c>
    </row>
    <row r="210" spans="19:27" x14ac:dyDescent="0.2">
      <c r="S210" s="1"/>
      <c r="T210" s="109"/>
      <c r="W210" s="130" t="str">
        <f t="shared" si="12"/>
        <v>1D</v>
      </c>
      <c r="X210" s="128">
        <f>_xll.qlCalendarAdvance(Calendar,X209,W210,"f",FALSE)</f>
        <v>42529</v>
      </c>
      <c r="Y210" s="131">
        <f>_xll.qlCalendarAdvance(Calendar,X210,NDays&amp;"D")</f>
        <v>42531</v>
      </c>
      <c r="Z210" s="132">
        <v>-3.3226359096933896E-4</v>
      </c>
      <c r="AA210" s="129">
        <v>-4.5126949952845052E-4</v>
      </c>
    </row>
    <row r="211" spans="19:27" x14ac:dyDescent="0.2">
      <c r="S211" s="1"/>
      <c r="T211" s="109"/>
      <c r="W211" s="130" t="str">
        <f t="shared" si="12"/>
        <v>1D</v>
      </c>
      <c r="X211" s="128">
        <f>_xll.qlCalendarAdvance(Calendar,X210,W211,"f",FALSE)</f>
        <v>42530</v>
      </c>
      <c r="Y211" s="131">
        <f>_xll.qlCalendarAdvance(Calendar,X211,NDays&amp;"D")</f>
        <v>42534</v>
      </c>
      <c r="Z211" s="132">
        <v>-3.2817216006849085E-4</v>
      </c>
      <c r="AA211" s="129">
        <v>-4.5254353868262598E-4</v>
      </c>
    </row>
    <row r="212" spans="19:27" x14ac:dyDescent="0.2">
      <c r="S212" s="1"/>
      <c r="T212" s="109"/>
      <c r="W212" s="130" t="str">
        <f t="shared" si="12"/>
        <v>1D</v>
      </c>
      <c r="X212" s="128">
        <f>_xll.qlCalendarAdvance(Calendar,X211,W212,"f",FALSE)</f>
        <v>42531</v>
      </c>
      <c r="Y212" s="131">
        <f>_xll.qlCalendarAdvance(Calendar,X212,NDays&amp;"D")</f>
        <v>42535</v>
      </c>
      <c r="Z212" s="132">
        <v>-3.2661096834954564E-4</v>
      </c>
      <c r="AA212" s="129">
        <v>-4.5319107354835353E-4</v>
      </c>
    </row>
    <row r="213" spans="19:27" x14ac:dyDescent="0.2">
      <c r="S213" s="1"/>
      <c r="T213" s="109"/>
      <c r="W213" s="130" t="str">
        <f t="shared" ref="W213:W276" si="13">W212</f>
        <v>1D</v>
      </c>
      <c r="X213" s="128">
        <f>_xll.qlCalendarAdvance(Calendar,X212,W213,"f",FALSE)</f>
        <v>42534</v>
      </c>
      <c r="Y213" s="131">
        <f>_xll.qlCalendarAdvance(Calendar,X213,NDays&amp;"D")</f>
        <v>42536</v>
      </c>
      <c r="Z213" s="132">
        <v>-3.2499999963372819E-4</v>
      </c>
      <c r="AA213" s="129">
        <v>-4.538450871116595E-4</v>
      </c>
    </row>
    <row r="214" spans="19:27" x14ac:dyDescent="0.2">
      <c r="S214" s="1"/>
      <c r="T214" s="109"/>
      <c r="W214" s="130" t="str">
        <f t="shared" si="13"/>
        <v>1D</v>
      </c>
      <c r="X214" s="128">
        <f>_xll.qlCalendarAdvance(Calendar,X213,W214,"f",FALSE)</f>
        <v>42535</v>
      </c>
      <c r="Y214" s="131">
        <f>_xll.qlCalendarAdvance(Calendar,X214,NDays&amp;"D")</f>
        <v>42537</v>
      </c>
      <c r="Z214" s="132">
        <v>-3.2333880488414398E-4</v>
      </c>
      <c r="AA214" s="129">
        <v>-4.5449599447966449E-4</v>
      </c>
    </row>
    <row r="215" spans="19:27" x14ac:dyDescent="0.2">
      <c r="S215" s="1"/>
      <c r="T215" s="109"/>
      <c r="W215" s="130" t="str">
        <f t="shared" si="13"/>
        <v>1D</v>
      </c>
      <c r="X215" s="128">
        <f>_xll.qlCalendarAdvance(Calendar,X214,W215,"f",FALSE)</f>
        <v>42536</v>
      </c>
      <c r="Y215" s="131">
        <f>_xll.qlCalendarAdvance(Calendar,X215,NDays&amp;"D")</f>
        <v>42538</v>
      </c>
      <c r="Z215" s="132">
        <v>-3.2098094320518795E-4</v>
      </c>
      <c r="AA215" s="129">
        <v>-4.5564630030359154E-4</v>
      </c>
    </row>
    <row r="216" spans="19:27" x14ac:dyDescent="0.2">
      <c r="S216" s="1"/>
      <c r="T216" s="109"/>
      <c r="W216" s="130" t="str">
        <f t="shared" si="13"/>
        <v>1D</v>
      </c>
      <c r="X216" s="128">
        <f>_xll.qlCalendarAdvance(Calendar,X215,W216,"f",FALSE)</f>
        <v>42537</v>
      </c>
      <c r="Y216" s="131">
        <f>_xll.qlCalendarAdvance(Calendar,X216,NDays&amp;"D")</f>
        <v>42541</v>
      </c>
      <c r="Z216" s="132">
        <v>-3.16205298474223E-4</v>
      </c>
      <c r="AA216" s="129">
        <v>-4.5662765732590316E-4</v>
      </c>
    </row>
    <row r="217" spans="19:27" x14ac:dyDescent="0.2">
      <c r="S217" s="1"/>
      <c r="T217" s="109"/>
      <c r="W217" s="130" t="str">
        <f t="shared" si="13"/>
        <v>1D</v>
      </c>
      <c r="X217" s="128">
        <f>_xll.qlCalendarAdvance(Calendar,X216,W217,"f",FALSE)</f>
        <v>42538</v>
      </c>
      <c r="Y217" s="131">
        <f>_xll.qlCalendarAdvance(Calendar,X217,NDays&amp;"D")</f>
        <v>42542</v>
      </c>
      <c r="Z217" s="132">
        <v>-3.1430491771190365E-4</v>
      </c>
      <c r="AA217" s="129">
        <v>-4.5703299644817008E-4</v>
      </c>
    </row>
    <row r="218" spans="19:27" x14ac:dyDescent="0.2">
      <c r="S218" s="1"/>
      <c r="T218" s="109"/>
      <c r="W218" s="130" t="str">
        <f t="shared" si="13"/>
        <v>1D</v>
      </c>
      <c r="X218" s="128">
        <f>_xll.qlCalendarAdvance(Calendar,X217,W218,"f",FALSE)</f>
        <v>42541</v>
      </c>
      <c r="Y218" s="131">
        <f>_xll.qlCalendarAdvance(Calendar,X218,NDays&amp;"D")</f>
        <v>42543</v>
      </c>
      <c r="Z218" s="132">
        <v>-3.1235984803484163E-4</v>
      </c>
      <c r="AA218" s="129">
        <v>-4.5738730487077106E-4</v>
      </c>
    </row>
    <row r="219" spans="19:27" x14ac:dyDescent="0.2">
      <c r="S219" s="1"/>
      <c r="T219" s="109"/>
      <c r="W219" s="130" t="str">
        <f t="shared" si="13"/>
        <v>1D</v>
      </c>
      <c r="X219" s="128">
        <f>_xll.qlCalendarAdvance(Calendar,X218,W219,"f",FALSE)</f>
        <v>42542</v>
      </c>
      <c r="Y219" s="131">
        <f>_xll.qlCalendarAdvance(Calendar,X219,NDays&amp;"D")</f>
        <v>42544</v>
      </c>
      <c r="Z219" s="132">
        <v>-3.1037114581759003E-4</v>
      </c>
      <c r="AA219" s="129">
        <v>-4.5769058267364215E-4</v>
      </c>
    </row>
    <row r="220" spans="19:27" x14ac:dyDescent="0.2">
      <c r="S220" s="1"/>
      <c r="T220" s="109"/>
      <c r="W220" s="130" t="str">
        <f t="shared" si="13"/>
        <v>1D</v>
      </c>
      <c r="X220" s="128">
        <f>_xll.qlCalendarAdvance(Calendar,X219,W220,"f",FALSE)</f>
        <v>42543</v>
      </c>
      <c r="Y220" s="131">
        <f>_xll.qlCalendarAdvance(Calendar,X220,NDays&amp;"D")</f>
        <v>42545</v>
      </c>
      <c r="Z220" s="132">
        <v>-3.074272914332105E-4</v>
      </c>
      <c r="AA220" s="129">
        <v>-4.581264530800766E-4</v>
      </c>
    </row>
    <row r="221" spans="19:27" x14ac:dyDescent="0.2">
      <c r="S221" s="1"/>
      <c r="T221" s="109"/>
      <c r="W221" s="130" t="str">
        <f t="shared" si="13"/>
        <v>1D</v>
      </c>
      <c r="X221" s="128">
        <f>_xll.qlCalendarAdvance(Calendar,X220,W221,"f",FALSE)</f>
        <v>42544</v>
      </c>
      <c r="Y221" s="131">
        <f>_xll.qlCalendarAdvance(Calendar,X221,NDays&amp;"D")</f>
        <v>42548</v>
      </c>
      <c r="Z221" s="132">
        <v>-3.0200113907597885E-4</v>
      </c>
      <c r="AA221" s="129">
        <v>-4.5839338740805147E-4</v>
      </c>
    </row>
    <row r="222" spans="19:27" x14ac:dyDescent="0.2">
      <c r="S222" s="1"/>
      <c r="T222" s="109"/>
      <c r="W222" s="130" t="str">
        <f t="shared" si="13"/>
        <v>1D</v>
      </c>
      <c r="X222" s="128">
        <f>_xll.qlCalendarAdvance(Calendar,X221,W222,"f",FALSE)</f>
        <v>42545</v>
      </c>
      <c r="Y222" s="131">
        <f>_xll.qlCalendarAdvance(Calendar,X222,NDays&amp;"D")</f>
        <v>42549</v>
      </c>
      <c r="Z222" s="132">
        <v>-2.9981011981126417E-4</v>
      </c>
      <c r="AA222" s="129">
        <v>-4.5844151191243299E-4</v>
      </c>
    </row>
    <row r="223" spans="19:27" x14ac:dyDescent="0.2">
      <c r="S223" s="1"/>
      <c r="T223" s="109"/>
      <c r="W223" s="130" t="str">
        <f t="shared" si="13"/>
        <v>1D</v>
      </c>
      <c r="X223" s="128">
        <f>_xll.qlCalendarAdvance(Calendar,X222,W223,"f",FALSE)</f>
        <v>42548</v>
      </c>
      <c r="Y223" s="131">
        <f>_xll.qlCalendarAdvance(Calendar,X223,NDays&amp;"D")</f>
        <v>42550</v>
      </c>
      <c r="Z223" s="132">
        <v>-2.9758180627626889E-4</v>
      </c>
      <c r="AA223" s="129">
        <v>-4.5843860579708462E-4</v>
      </c>
    </row>
    <row r="224" spans="19:27" x14ac:dyDescent="0.2">
      <c r="S224" s="1"/>
      <c r="T224" s="109"/>
      <c r="W224" s="130" t="str">
        <f t="shared" si="13"/>
        <v>1D</v>
      </c>
      <c r="X224" s="128">
        <f>_xll.qlCalendarAdvance(Calendar,X223,W224,"f",FALSE)</f>
        <v>42549</v>
      </c>
      <c r="Y224" s="131">
        <f>_xll.qlCalendarAdvance(Calendar,X224,NDays&amp;"D")</f>
        <v>42551</v>
      </c>
      <c r="Z224" s="132">
        <v>-2.9531725485249687E-4</v>
      </c>
      <c r="AA224" s="129">
        <v>4.2576711063180284E-3</v>
      </c>
    </row>
    <row r="225" spans="19:27" x14ac:dyDescent="0.2">
      <c r="S225" s="1"/>
      <c r="T225" s="109"/>
      <c r="W225" s="130" t="str">
        <f t="shared" si="13"/>
        <v>1D</v>
      </c>
      <c r="X225" s="128">
        <f>_xll.qlCalendarAdvance(Calendar,X224,W225,"f",FALSE)</f>
        <v>42550</v>
      </c>
      <c r="Y225" s="131">
        <f>_xll.qlCalendarAdvance(Calendar,X225,NDays&amp;"D")</f>
        <v>42552</v>
      </c>
      <c r="Z225" s="132">
        <v>-3.4209697477953819E-4</v>
      </c>
      <c r="AA225" s="129">
        <v>-4.581061104591555E-4</v>
      </c>
    </row>
    <row r="226" spans="19:27" x14ac:dyDescent="0.2">
      <c r="S226" s="1"/>
      <c r="T226" s="109"/>
      <c r="W226" s="130" t="str">
        <f t="shared" si="13"/>
        <v>1D</v>
      </c>
      <c r="X226" s="128">
        <f>_xll.qlCalendarAdvance(Calendar,X225,W226,"f",FALSE)</f>
        <v>42551</v>
      </c>
      <c r="Y226" s="131">
        <f>_xll.qlCalendarAdvance(Calendar,X226,NDays&amp;"D")</f>
        <v>42555</v>
      </c>
      <c r="Z226" s="132">
        <v>-3.3717492199704445E-4</v>
      </c>
      <c r="AA226" s="129">
        <v>-4.5765861564461829E-4</v>
      </c>
    </row>
    <row r="227" spans="19:27" x14ac:dyDescent="0.2">
      <c r="S227" s="1"/>
      <c r="T227" s="109"/>
      <c r="W227" s="130" t="str">
        <f t="shared" si="13"/>
        <v>1D</v>
      </c>
      <c r="X227" s="128">
        <f>_xll.qlCalendarAdvance(Calendar,X226,W227,"f",FALSE)</f>
        <v>42552</v>
      </c>
      <c r="Y227" s="131">
        <f>_xll.qlCalendarAdvance(Calendar,X227,NDays&amp;"D")</f>
        <v>42556</v>
      </c>
      <c r="Z227" s="132">
        <v>-3.347450587412231E-4</v>
      </c>
      <c r="AA227" s="129">
        <v>-4.5734952557108244E-4</v>
      </c>
    </row>
    <row r="228" spans="19:27" x14ac:dyDescent="0.2">
      <c r="S228" s="1"/>
      <c r="T228" s="109"/>
      <c r="W228" s="130" t="str">
        <f t="shared" si="13"/>
        <v>1D</v>
      </c>
      <c r="X228" s="128">
        <f>_xll.qlCalendarAdvance(Calendar,X227,W228,"f",FALSE)</f>
        <v>42555</v>
      </c>
      <c r="Y228" s="131">
        <f>_xll.qlCalendarAdvance(Calendar,X228,NDays&amp;"D")</f>
        <v>42557</v>
      </c>
      <c r="Z228" s="132">
        <v>-3.3228529631530544E-4</v>
      </c>
      <c r="AA228" s="129">
        <v>-4.5698940507765684E-4</v>
      </c>
    </row>
    <row r="229" spans="19:27" x14ac:dyDescent="0.2">
      <c r="S229" s="1"/>
      <c r="T229" s="109"/>
      <c r="W229" s="130" t="str">
        <f t="shared" si="13"/>
        <v>1D</v>
      </c>
      <c r="X229" s="128">
        <f>_xll.qlCalendarAdvance(Calendar,X228,W229,"f",FALSE)</f>
        <v>42556</v>
      </c>
      <c r="Y229" s="131">
        <f>_xll.qlCalendarAdvance(Calendar,X229,NDays&amp;"D")</f>
        <v>42558</v>
      </c>
      <c r="Z229" s="132">
        <v>-3.2979669109558233E-4</v>
      </c>
      <c r="AA229" s="129">
        <v>-4.5657825368472515E-4</v>
      </c>
    </row>
    <row r="230" spans="19:27" x14ac:dyDescent="0.2">
      <c r="S230" s="1"/>
      <c r="T230" s="109"/>
      <c r="W230" s="130" t="str">
        <f t="shared" si="13"/>
        <v>1D</v>
      </c>
      <c r="X230" s="128">
        <f>_xll.qlCalendarAdvance(Calendar,X229,W230,"f",FALSE)</f>
        <v>42557</v>
      </c>
      <c r="Y230" s="131">
        <f>_xll.qlCalendarAdvance(Calendar,X230,NDays&amp;"D")</f>
        <v>42559</v>
      </c>
      <c r="Z230" s="132">
        <v>-3.2501206895796386E-4</v>
      </c>
      <c r="AA230" s="129">
        <v>-4.5558527238753754E-4</v>
      </c>
    </row>
    <row r="231" spans="19:27" x14ac:dyDescent="0.2">
      <c r="S231" s="1"/>
      <c r="T231" s="109"/>
      <c r="W231" s="130" t="str">
        <f t="shared" si="13"/>
        <v>1D</v>
      </c>
      <c r="X231" s="128">
        <f>_xll.qlCalendarAdvance(Calendar,X230,W231,"f",FALSE)</f>
        <v>42558</v>
      </c>
      <c r="Y231" s="131">
        <f>_xll.qlCalendarAdvance(Calendar,X231,NDays&amp;"D")</f>
        <v>42562</v>
      </c>
      <c r="Z231" s="132">
        <v>-3.1957496997909345E-4</v>
      </c>
      <c r="AA231" s="129">
        <v>-4.544233421155397E-4</v>
      </c>
    </row>
    <row r="232" spans="19:27" x14ac:dyDescent="0.2">
      <c r="S232" s="1"/>
      <c r="T232" s="109"/>
      <c r="W232" s="130" t="str">
        <f t="shared" si="13"/>
        <v>1D</v>
      </c>
      <c r="X232" s="128">
        <f>_xll.qlCalendarAdvance(Calendar,X231,W232,"f",FALSE)</f>
        <v>42559</v>
      </c>
      <c r="Y232" s="131">
        <f>_xll.qlCalendarAdvance(Calendar,X232,NDays&amp;"D")</f>
        <v>42563</v>
      </c>
      <c r="Z232" s="132">
        <v>-3.1695799657589606E-4</v>
      </c>
      <c r="AA232" s="129">
        <v>-4.5375703754402252E-4</v>
      </c>
    </row>
    <row r="233" spans="19:27" x14ac:dyDescent="0.2">
      <c r="S233" s="1"/>
      <c r="T233" s="109"/>
      <c r="W233" s="130" t="str">
        <f t="shared" si="13"/>
        <v>1D</v>
      </c>
      <c r="X233" s="128">
        <f>_xll.qlCalendarAdvance(Calendar,X232,W233,"f",FALSE)</f>
        <v>42562</v>
      </c>
      <c r="Y233" s="131">
        <f>_xll.qlCalendarAdvance(Calendar,X233,NDays&amp;"D")</f>
        <v>42564</v>
      </c>
      <c r="Z233" s="132">
        <v>-3.1431851870788525E-4</v>
      </c>
      <c r="AA233" s="129">
        <v>-4.5303970231280744E-4</v>
      </c>
    </row>
    <row r="234" spans="19:27" x14ac:dyDescent="0.2">
      <c r="S234" s="1"/>
      <c r="T234" s="109"/>
      <c r="W234" s="130" t="str">
        <f t="shared" si="13"/>
        <v>1D</v>
      </c>
      <c r="X234" s="128">
        <f>_xll.qlCalendarAdvance(Calendar,X233,W234,"f",FALSE)</f>
        <v>42563</v>
      </c>
      <c r="Y234" s="131">
        <f>_xll.qlCalendarAdvance(Calendar,X234,NDays&amp;"D")</f>
        <v>42565</v>
      </c>
      <c r="Z234" s="132">
        <v>-3.1165759277090144E-4</v>
      </c>
      <c r="AA234" s="129">
        <v>-4.5227133650183049E-4</v>
      </c>
    </row>
    <row r="235" spans="19:27" x14ac:dyDescent="0.2">
      <c r="S235" s="1"/>
      <c r="T235" s="109"/>
      <c r="W235" s="130" t="str">
        <f t="shared" si="13"/>
        <v>1D</v>
      </c>
      <c r="X235" s="128">
        <f>_xll.qlCalendarAdvance(Calendar,X234,W235,"f",FALSE)</f>
        <v>42564</v>
      </c>
      <c r="Y235" s="131">
        <f>_xll.qlCalendarAdvance(Calendar,X235,NDays&amp;"D")</f>
        <v>42566</v>
      </c>
      <c r="Z235" s="132">
        <v>-3.0669338767331871E-4</v>
      </c>
      <c r="AA235" s="129">
        <v>-4.5056393874531864E-4</v>
      </c>
    </row>
    <row r="236" spans="19:27" x14ac:dyDescent="0.2">
      <c r="S236" s="1"/>
      <c r="T236" s="109"/>
      <c r="W236" s="130" t="str">
        <f t="shared" si="13"/>
        <v>1D</v>
      </c>
      <c r="X236" s="128">
        <f>_xll.qlCalendarAdvance(Calendar,X235,W236,"f",FALSE)</f>
        <v>42565</v>
      </c>
      <c r="Y236" s="131">
        <f>_xll.qlCalendarAdvance(Calendar,X236,NDays&amp;"D")</f>
        <v>42569</v>
      </c>
      <c r="Z236" s="132">
        <v>-3.0082053632693814E-4</v>
      </c>
      <c r="AA236" s="129">
        <v>-4.4868756666094356E-4</v>
      </c>
    </row>
    <row r="237" spans="19:27" x14ac:dyDescent="0.2">
      <c r="S237" s="1"/>
      <c r="T237" s="109"/>
      <c r="W237" s="130" t="str">
        <f t="shared" si="13"/>
        <v>1D</v>
      </c>
      <c r="X237" s="128">
        <f>_xll.qlCalendarAdvance(Calendar,X236,W237,"f",FALSE)</f>
        <v>42566</v>
      </c>
      <c r="Y237" s="131">
        <f>_xll.qlCalendarAdvance(Calendar,X237,NDays&amp;"D")</f>
        <v>42570</v>
      </c>
      <c r="Z237" s="132">
        <v>-2.9806821606740954E-4</v>
      </c>
      <c r="AA237" s="129">
        <v>-4.4766404755147704E-4</v>
      </c>
    </row>
    <row r="238" spans="19:27" x14ac:dyDescent="0.2">
      <c r="S238" s="1"/>
      <c r="T238" s="109"/>
      <c r="W238" s="130" t="str">
        <f t="shared" si="13"/>
        <v>1D</v>
      </c>
      <c r="X238" s="128">
        <f>_xll.qlCalendarAdvance(Calendar,X237,W238,"f",FALSE)</f>
        <v>42569</v>
      </c>
      <c r="Y238" s="131">
        <f>_xll.qlCalendarAdvance(Calendar,X238,NDays&amp;"D")</f>
        <v>42571</v>
      </c>
      <c r="Z238" s="132">
        <v>-2.9530078616782005E-4</v>
      </c>
      <c r="AA238" s="129">
        <v>-4.4658949774234458E-4</v>
      </c>
    </row>
    <row r="239" spans="19:27" x14ac:dyDescent="0.2">
      <c r="S239" s="1"/>
      <c r="T239" s="109"/>
      <c r="W239" s="130" t="str">
        <f t="shared" si="13"/>
        <v>1D</v>
      </c>
      <c r="X239" s="128">
        <f>_xll.qlCalendarAdvance(Calendar,X238,W239,"f",FALSE)</f>
        <v>42570</v>
      </c>
      <c r="Y239" s="131">
        <f>_xll.qlCalendarAdvance(Calendar,X239,NDays&amp;"D")</f>
        <v>42572</v>
      </c>
      <c r="Z239" s="132">
        <v>-2.9251930304269075E-4</v>
      </c>
      <c r="AA239" s="129">
        <v>-4.4546391747335434E-4</v>
      </c>
    </row>
    <row r="240" spans="19:27" x14ac:dyDescent="0.2">
      <c r="S240" s="1"/>
      <c r="T240" s="109"/>
      <c r="W240" s="130" t="str">
        <f t="shared" si="13"/>
        <v>1D</v>
      </c>
      <c r="X240" s="128">
        <f>_xll.qlCalendarAdvance(Calendar,X239,W240,"f",FALSE)</f>
        <v>42571</v>
      </c>
      <c r="Y240" s="131">
        <f>_xll.qlCalendarAdvance(Calendar,X240,NDays&amp;"D")</f>
        <v>42573</v>
      </c>
      <c r="Z240" s="132">
        <v>-2.8749556448684309E-4</v>
      </c>
      <c r="AA240" s="129">
        <v>-4.430421091861092E-4</v>
      </c>
    </row>
    <row r="241" spans="19:27" x14ac:dyDescent="0.2">
      <c r="S241" s="1"/>
      <c r="T241" s="109"/>
      <c r="W241" s="130" t="str">
        <f t="shared" si="13"/>
        <v>1D</v>
      </c>
      <c r="X241" s="128">
        <f>_xll.qlCalendarAdvance(Calendar,X240,W241,"f",FALSE)</f>
        <v>42572</v>
      </c>
      <c r="Y241" s="131">
        <f>_xll.qlCalendarAdvance(Calendar,X241,NDays&amp;"D")</f>
        <v>42576</v>
      </c>
      <c r="Z241" s="132">
        <v>-2.8127396667711738E-4</v>
      </c>
      <c r="AA241" s="129">
        <v>-4.4045128924086185E-4</v>
      </c>
    </row>
    <row r="242" spans="19:27" x14ac:dyDescent="0.2">
      <c r="S242" s="1"/>
      <c r="T242" s="109"/>
      <c r="W242" s="130" t="str">
        <f t="shared" si="13"/>
        <v>1D</v>
      </c>
      <c r="X242" s="128">
        <f>_xll.qlCalendarAdvance(Calendar,X241,W242,"f",FALSE)</f>
        <v>42573</v>
      </c>
      <c r="Y242" s="131">
        <f>_xll.qlCalendarAdvance(Calendar,X242,NDays&amp;"D")</f>
        <v>42577</v>
      </c>
      <c r="Z242" s="132">
        <v>-2.784380637433287E-4</v>
      </c>
      <c r="AA242" s="129">
        <v>-4.3907055563341402E-4</v>
      </c>
    </row>
    <row r="243" spans="19:27" x14ac:dyDescent="0.2">
      <c r="S243" s="1"/>
      <c r="T243" s="109"/>
      <c r="W243" s="130" t="str">
        <f t="shared" si="13"/>
        <v>1D</v>
      </c>
      <c r="X243" s="128">
        <f>_xll.qlCalendarAdvance(Calendar,X242,W243,"f",FALSE)</f>
        <v>42576</v>
      </c>
      <c r="Y243" s="131">
        <f>_xll.qlCalendarAdvance(Calendar,X243,NDays&amp;"D")</f>
        <v>42578</v>
      </c>
      <c r="Z243" s="132">
        <v>-2.7559444613020986E-4</v>
      </c>
      <c r="AA243" s="129">
        <v>-4.3763879128633221E-4</v>
      </c>
    </row>
    <row r="244" spans="19:27" x14ac:dyDescent="0.2">
      <c r="S244" s="1"/>
      <c r="T244" s="109"/>
      <c r="W244" s="130" t="str">
        <f t="shared" si="13"/>
        <v>1D</v>
      </c>
      <c r="X244" s="128">
        <f>_xll.qlCalendarAdvance(Calendar,X243,W244,"f",FALSE)</f>
        <v>42577</v>
      </c>
      <c r="Y244" s="131">
        <f>_xll.qlCalendarAdvance(Calendar,X244,NDays&amp;"D")</f>
        <v>42579</v>
      </c>
      <c r="Z244" s="132">
        <v>-2.7274417027574148E-4</v>
      </c>
      <c r="AA244" s="129">
        <v>-4.3615599623958445E-4</v>
      </c>
    </row>
    <row r="245" spans="19:27" x14ac:dyDescent="0.2">
      <c r="S245" s="1"/>
      <c r="T245" s="109"/>
      <c r="W245" s="130" t="str">
        <f t="shared" si="13"/>
        <v>1D</v>
      </c>
      <c r="X245" s="128">
        <f>_xll.qlCalendarAdvance(Calendar,X244,W245,"f",FALSE)</f>
        <v>42578</v>
      </c>
      <c r="Y245" s="131">
        <f>_xll.qlCalendarAdvance(Calendar,X245,NDays&amp;"D")</f>
        <v>42580</v>
      </c>
      <c r="Z245" s="132">
        <v>-2.6777323927600159E-4</v>
      </c>
      <c r="AA245" s="129">
        <v>7.3098730729803663E-4</v>
      </c>
    </row>
    <row r="246" spans="19:27" x14ac:dyDescent="0.2">
      <c r="S246" s="1"/>
      <c r="T246" s="109"/>
      <c r="W246" s="130" t="str">
        <f t="shared" si="13"/>
        <v>1D</v>
      </c>
      <c r="X246" s="128">
        <f>_xll.qlCalendarAdvance(Calendar,X245,W246,"f",FALSE)</f>
        <v>42579</v>
      </c>
      <c r="Y246" s="131">
        <f>_xll.qlCalendarAdvance(Calendar,X246,NDays&amp;"D")</f>
        <v>42583</v>
      </c>
      <c r="Z246" s="132">
        <v>-2.9925160039446158E-4</v>
      </c>
      <c r="AA246" s="129">
        <v>-4.2971450977535852E-4</v>
      </c>
    </row>
    <row r="247" spans="19:27" x14ac:dyDescent="0.2">
      <c r="S247" s="1"/>
      <c r="T247" s="109"/>
      <c r="W247" s="130" t="str">
        <f t="shared" si="13"/>
        <v>1D</v>
      </c>
      <c r="X247" s="128">
        <f>_xll.qlCalendarAdvance(Calendar,X246,W247,"f",FALSE)</f>
        <v>42580</v>
      </c>
      <c r="Y247" s="131">
        <f>_xll.qlCalendarAdvance(Calendar,X247,NDays&amp;"D")</f>
        <v>42584</v>
      </c>
      <c r="Z247" s="132">
        <v>-2.9638390777761306E-4</v>
      </c>
      <c r="AA247" s="129">
        <v>-4.2797656147008922E-4</v>
      </c>
    </row>
    <row r="248" spans="19:27" x14ac:dyDescent="0.2">
      <c r="S248" s="1"/>
      <c r="T248" s="109"/>
      <c r="W248" s="130" t="str">
        <f t="shared" si="13"/>
        <v>1D</v>
      </c>
      <c r="X248" s="128">
        <f>_xll.qlCalendarAdvance(Calendar,X247,W248,"f",FALSE)</f>
        <v>42583</v>
      </c>
      <c r="Y248" s="131">
        <f>_xll.qlCalendarAdvance(Calendar,X248,NDays&amp;"D")</f>
        <v>42585</v>
      </c>
      <c r="Z248" s="132">
        <v>-2.9351589559682402E-4</v>
      </c>
      <c r="AA248" s="129">
        <v>-4.2618758246515398E-4</v>
      </c>
    </row>
    <row r="249" spans="19:27" x14ac:dyDescent="0.2">
      <c r="S249" s="1"/>
      <c r="T249" s="109"/>
      <c r="W249" s="130" t="str">
        <f t="shared" si="13"/>
        <v>1D</v>
      </c>
      <c r="X249" s="128">
        <f>_xll.qlCalendarAdvance(Calendar,X248,W249,"f",FALSE)</f>
        <v>42584</v>
      </c>
      <c r="Y249" s="131">
        <f>_xll.qlCalendarAdvance(Calendar,X249,NDays&amp;"D")</f>
        <v>42586</v>
      </c>
      <c r="Z249" s="132">
        <v>-2.9064862029832926E-4</v>
      </c>
      <c r="AA249" s="129">
        <v>-4.2434757296039294E-4</v>
      </c>
    </row>
    <row r="250" spans="19:27" x14ac:dyDescent="0.2">
      <c r="S250" s="1"/>
      <c r="T250" s="109"/>
      <c r="W250" s="130" t="str">
        <f t="shared" si="13"/>
        <v>1D</v>
      </c>
      <c r="X250" s="128">
        <f>_xll.qlCalendarAdvance(Calendar,X249,W250,"f",FALSE)</f>
        <v>42585</v>
      </c>
      <c r="Y250" s="131">
        <f>_xll.qlCalendarAdvance(Calendar,X250,NDays&amp;"D")</f>
        <v>42587</v>
      </c>
      <c r="Z250" s="132">
        <v>-2.8502759059776013E-4</v>
      </c>
      <c r="AA250" s="129">
        <v>-4.2049696035828532E-4</v>
      </c>
    </row>
    <row r="251" spans="19:27" x14ac:dyDescent="0.2">
      <c r="S251" s="1"/>
      <c r="T251" s="109"/>
      <c r="W251" s="130" t="str">
        <f t="shared" si="13"/>
        <v>1D</v>
      </c>
      <c r="X251" s="128">
        <f>_xll.qlCalendarAdvance(Calendar,X250,W251,"f",FALSE)</f>
        <v>42586</v>
      </c>
      <c r="Y251" s="131">
        <f>_xll.qlCalendarAdvance(Calendar,X251,NDays&amp;"D")</f>
        <v>42590</v>
      </c>
      <c r="Z251" s="132">
        <v>-2.7920801695755794E-4</v>
      </c>
      <c r="AA251" s="129">
        <v>-4.1647722778481722E-4</v>
      </c>
    </row>
    <row r="252" spans="19:27" x14ac:dyDescent="0.2">
      <c r="S252" s="1"/>
      <c r="T252" s="109"/>
      <c r="W252" s="130" t="str">
        <f t="shared" si="13"/>
        <v>1D</v>
      </c>
      <c r="X252" s="128">
        <f>_xll.qlCalendarAdvance(Calendar,X251,W252,"f",FALSE)</f>
        <v>42587</v>
      </c>
      <c r="Y252" s="131">
        <f>_xll.qlCalendarAdvance(Calendar,X252,NDays&amp;"D")</f>
        <v>42591</v>
      </c>
      <c r="Z252" s="132">
        <v>-2.7636027287353504E-4</v>
      </c>
      <c r="AA252" s="129">
        <v>-4.143820649815666E-4</v>
      </c>
    </row>
    <row r="253" spans="19:27" x14ac:dyDescent="0.2">
      <c r="S253" s="1"/>
      <c r="T253" s="109"/>
      <c r="W253" s="130" t="str">
        <f t="shared" si="13"/>
        <v>1D</v>
      </c>
      <c r="X253" s="128">
        <f>_xll.qlCalendarAdvance(Calendar,X252,W253,"f",FALSE)</f>
        <v>42590</v>
      </c>
      <c r="Y253" s="131">
        <f>_xll.qlCalendarAdvance(Calendar,X253,NDays&amp;"D")</f>
        <v>42592</v>
      </c>
      <c r="Z253" s="132">
        <v>-2.7351960441351187E-4</v>
      </c>
      <c r="AA253" s="129">
        <v>-4.122358712788099E-4</v>
      </c>
    </row>
    <row r="254" spans="19:27" x14ac:dyDescent="0.2">
      <c r="S254" s="1"/>
      <c r="T254" s="109"/>
      <c r="W254" s="130" t="str">
        <f t="shared" si="13"/>
        <v>1D</v>
      </c>
      <c r="X254" s="128">
        <f>_xll.qlCalendarAdvance(Calendar,X253,W254,"f",FALSE)</f>
        <v>42591</v>
      </c>
      <c r="Y254" s="131">
        <f>_xll.qlCalendarAdvance(Calendar,X254,NDays&amp;"D")</f>
        <v>42593</v>
      </c>
      <c r="Z254" s="132">
        <v>-2.7068706804718278E-4</v>
      </c>
      <c r="AA254" s="129">
        <v>-4.1003864711619542E-4</v>
      </c>
    </row>
    <row r="255" spans="19:27" x14ac:dyDescent="0.2">
      <c r="S255" s="1"/>
      <c r="T255" s="109"/>
      <c r="W255" s="130" t="str">
        <f t="shared" si="13"/>
        <v>1D</v>
      </c>
      <c r="X255" s="128">
        <f>_xll.qlCalendarAdvance(Calendar,X254,W255,"f",FALSE)</f>
        <v>42592</v>
      </c>
      <c r="Y255" s="131">
        <f>_xll.qlCalendarAdvance(Calendar,X255,NDays&amp;"D")</f>
        <v>42594</v>
      </c>
      <c r="Z255" s="132">
        <v>-2.6532040028578476E-4</v>
      </c>
      <c r="AA255" s="129">
        <v>-4.0547363961085381E-4</v>
      </c>
    </row>
    <row r="256" spans="19:27" x14ac:dyDescent="0.2">
      <c r="S256" s="1"/>
      <c r="T256" s="109"/>
      <c r="W256" s="130" t="str">
        <f t="shared" si="13"/>
        <v>1D</v>
      </c>
      <c r="X256" s="128">
        <f>_xll.qlCalendarAdvance(Calendar,X255,W256,"f",FALSE)</f>
        <v>42593</v>
      </c>
      <c r="Y256" s="131">
        <f>_xll.qlCalendarAdvance(Calendar,X256,NDays&amp;"D")</f>
        <v>42597</v>
      </c>
      <c r="Z256" s="132">
        <v>-2.5945937297177718E-4</v>
      </c>
      <c r="AA256" s="129">
        <v>-4.0073944330920597E-4</v>
      </c>
    </row>
    <row r="257" spans="19:27" x14ac:dyDescent="0.2">
      <c r="S257" s="1"/>
      <c r="T257" s="109"/>
      <c r="W257" s="130" t="str">
        <f t="shared" si="13"/>
        <v>1D</v>
      </c>
      <c r="X257" s="128">
        <f>_xll.qlCalendarAdvance(Calendar,X256,W257,"f",FALSE)</f>
        <v>42594</v>
      </c>
      <c r="Y257" s="131">
        <f>_xll.qlCalendarAdvance(Calendar,X257,NDays&amp;"D")</f>
        <v>42598</v>
      </c>
      <c r="Z257" s="132">
        <v>-2.566833441923187E-4</v>
      </c>
      <c r="AA257" s="129">
        <v>-3.9828706564826177E-4</v>
      </c>
    </row>
    <row r="258" spans="19:27" x14ac:dyDescent="0.2">
      <c r="S258" s="1"/>
      <c r="T258" s="109"/>
      <c r="W258" s="130" t="str">
        <f t="shared" si="13"/>
        <v>1D</v>
      </c>
      <c r="X258" s="128">
        <f>_xll.qlCalendarAdvance(Calendar,X257,W258,"f",FALSE)</f>
        <v>42597</v>
      </c>
      <c r="Y258" s="131">
        <f>_xll.qlCalendarAdvance(Calendar,X258,NDays&amp;"D")</f>
        <v>42599</v>
      </c>
      <c r="Z258" s="132">
        <v>-2.5392178637598364E-4</v>
      </c>
      <c r="AA258" s="129">
        <v>-3.9578365744752375E-4</v>
      </c>
    </row>
    <row r="259" spans="19:27" x14ac:dyDescent="0.2">
      <c r="S259" s="1"/>
      <c r="T259" s="109"/>
      <c r="W259" s="130" t="str">
        <f t="shared" si="13"/>
        <v>1D</v>
      </c>
      <c r="X259" s="128">
        <f>_xll.qlCalendarAdvance(Calendar,X258,W259,"f",FALSE)</f>
        <v>42598</v>
      </c>
      <c r="Y259" s="131">
        <f>_xll.qlCalendarAdvance(Calendar,X259,NDays&amp;"D")</f>
        <v>42600</v>
      </c>
      <c r="Z259" s="132">
        <v>-2.5117575601027816E-4</v>
      </c>
      <c r="AA259" s="129">
        <v>-3.932292184272157E-4</v>
      </c>
    </row>
    <row r="260" spans="19:27" x14ac:dyDescent="0.2">
      <c r="S260" s="1"/>
      <c r="T260" s="109"/>
      <c r="W260" s="130" t="str">
        <f t="shared" si="13"/>
        <v>1D</v>
      </c>
      <c r="X260" s="128">
        <f>_xll.qlCalendarAdvance(Calendar,X259,W260,"f",FALSE)</f>
        <v>42599</v>
      </c>
      <c r="Y260" s="131">
        <f>_xll.qlCalendarAdvance(Calendar,X260,NDays&amp;"D")</f>
        <v>42601</v>
      </c>
      <c r="Z260" s="132">
        <v>-2.4615266506164353E-4</v>
      </c>
      <c r="AA260" s="129">
        <v>-3.8794982018863777E-4</v>
      </c>
    </row>
    <row r="261" spans="19:27" x14ac:dyDescent="0.2">
      <c r="S261" s="1"/>
      <c r="T261" s="109"/>
      <c r="W261" s="130" t="str">
        <f t="shared" si="13"/>
        <v>1D</v>
      </c>
      <c r="X261" s="128">
        <f>_xll.qlCalendarAdvance(Calendar,X260,W261,"f",FALSE)</f>
        <v>42600</v>
      </c>
      <c r="Y261" s="131">
        <f>_xll.qlCalendarAdvance(Calendar,X261,NDays&amp;"D")</f>
        <v>42604</v>
      </c>
      <c r="Z261" s="132">
        <v>-2.4036803892378013E-4</v>
      </c>
      <c r="AA261" s="129">
        <v>-3.8250115574900434E-4</v>
      </c>
    </row>
    <row r="262" spans="19:27" x14ac:dyDescent="0.2">
      <c r="S262" s="1"/>
      <c r="T262" s="109"/>
      <c r="W262" s="130" t="str">
        <f t="shared" si="13"/>
        <v>1D</v>
      </c>
      <c r="X262" s="128">
        <f>_xll.qlCalendarAdvance(Calendar,X261,W262,"f",FALSE)</f>
        <v>42601</v>
      </c>
      <c r="Y262" s="131">
        <f>_xll.qlCalendarAdvance(Calendar,X262,NDays&amp;"D")</f>
        <v>42605</v>
      </c>
      <c r="Z262" s="132">
        <v>-2.3771549323546522E-4</v>
      </c>
      <c r="AA262" s="129">
        <v>-3.7969156351014277E-4</v>
      </c>
    </row>
    <row r="263" spans="19:27" x14ac:dyDescent="0.2">
      <c r="S263" s="1"/>
      <c r="T263" s="109"/>
      <c r="W263" s="130" t="str">
        <f t="shared" si="13"/>
        <v>1D</v>
      </c>
      <c r="X263" s="128">
        <f>_xll.qlCalendarAdvance(Calendar,X262,W263,"f",FALSE)</f>
        <v>42604</v>
      </c>
      <c r="Y263" s="131">
        <f>_xll.qlCalendarAdvance(Calendar,X263,NDays&amp;"D")</f>
        <v>42606</v>
      </c>
      <c r="Z263" s="132">
        <v>-2.3508481398363789E-4</v>
      </c>
      <c r="AA263" s="129">
        <v>-3.7683094037177511E-4</v>
      </c>
    </row>
    <row r="264" spans="19:27" x14ac:dyDescent="0.2">
      <c r="S264" s="1"/>
      <c r="T264" s="109"/>
      <c r="W264" s="130" t="str">
        <f t="shared" si="13"/>
        <v>1D</v>
      </c>
      <c r="X264" s="128">
        <f>_xll.qlCalendarAdvance(Calendar,X263,W264,"f",FALSE)</f>
        <v>42605</v>
      </c>
      <c r="Y264" s="131">
        <f>_xll.qlCalendarAdvance(Calendar,X264,NDays&amp;"D")</f>
        <v>42607</v>
      </c>
      <c r="Z264" s="132">
        <v>-2.3247705767926382E-4</v>
      </c>
      <c r="AA264" s="129">
        <v>-3.7391928669361363E-4</v>
      </c>
    </row>
    <row r="265" spans="19:27" x14ac:dyDescent="0.2">
      <c r="S265" s="1"/>
      <c r="T265" s="109"/>
      <c r="W265" s="130" t="str">
        <f t="shared" si="13"/>
        <v>1D</v>
      </c>
      <c r="X265" s="128">
        <f>_xll.qlCalendarAdvance(Calendar,X264,W265,"f",FALSE)</f>
        <v>42606</v>
      </c>
      <c r="Y265" s="131">
        <f>_xll.qlCalendarAdvance(Calendar,X265,NDays&amp;"D")</f>
        <v>42608</v>
      </c>
      <c r="Z265" s="132">
        <v>-2.2787904981555886E-4</v>
      </c>
      <c r="AA265" s="129">
        <v>-3.679255009192417E-4</v>
      </c>
    </row>
    <row r="266" spans="19:27" x14ac:dyDescent="0.2">
      <c r="S266" s="1"/>
      <c r="T266" s="109"/>
      <c r="W266" s="130" t="str">
        <f t="shared" si="13"/>
        <v>1D</v>
      </c>
      <c r="X266" s="128">
        <f>_xll.qlCalendarAdvance(Calendar,X265,W266,"f",FALSE)</f>
        <v>42607</v>
      </c>
      <c r="Y266" s="131">
        <f>_xll.qlCalendarAdvance(Calendar,X266,NDays&amp;"D")</f>
        <v>42611</v>
      </c>
      <c r="Z266" s="132">
        <v>-2.2229639213258834E-4</v>
      </c>
      <c r="AA266" s="129">
        <v>-3.6176236498430825E-4</v>
      </c>
    </row>
    <row r="267" spans="19:27" x14ac:dyDescent="0.2">
      <c r="S267" s="1"/>
      <c r="T267" s="109"/>
      <c r="W267" s="130" t="str">
        <f t="shared" si="13"/>
        <v>1D</v>
      </c>
      <c r="X267" s="128">
        <f>_xll.qlCalendarAdvance(Calendar,X266,W267,"f",FALSE)</f>
        <v>42608</v>
      </c>
      <c r="Y267" s="131">
        <f>_xll.qlCalendarAdvance(Calendar,X267,NDays&amp;"D")</f>
        <v>42612</v>
      </c>
      <c r="Z267" s="132">
        <v>-2.1981909823908872E-4</v>
      </c>
      <c r="AA267" s="129">
        <v>-3.5859555776784902E-4</v>
      </c>
    </row>
    <row r="268" spans="19:27" x14ac:dyDescent="0.2">
      <c r="S268" s="1"/>
      <c r="T268" s="109"/>
      <c r="W268" s="130" t="str">
        <f t="shared" si="13"/>
        <v>1D</v>
      </c>
      <c r="X268" s="128">
        <f>_xll.qlCalendarAdvance(Calendar,X267,W268,"f",FALSE)</f>
        <v>42611</v>
      </c>
      <c r="Y268" s="131">
        <f>_xll.qlCalendarAdvance(Calendar,X268,NDays&amp;"D")</f>
        <v>42613</v>
      </c>
      <c r="Z268" s="132">
        <v>-2.1829429964307821E-4</v>
      </c>
      <c r="AA268" s="129">
        <v>-3.5537771997162793E-4</v>
      </c>
    </row>
    <row r="269" spans="19:27" x14ac:dyDescent="0.2">
      <c r="S269" s="1"/>
      <c r="T269" s="109"/>
      <c r="W269" s="130" t="str">
        <f t="shared" si="13"/>
        <v>1D</v>
      </c>
      <c r="X269" s="128">
        <f>_xll.qlCalendarAdvance(Calendar,X268,W269,"f",FALSE)</f>
        <v>42612</v>
      </c>
      <c r="Y269" s="131">
        <f>_xll.qlCalendarAdvance(Calendar,X269,NDays&amp;"D")</f>
        <v>42614</v>
      </c>
      <c r="Z269" s="132">
        <v>-2.1585472283130588E-4</v>
      </c>
      <c r="AA269" s="129">
        <v>-3.5210885127590075E-4</v>
      </c>
    </row>
    <row r="270" spans="19:27" x14ac:dyDescent="0.2">
      <c r="S270" s="1"/>
      <c r="T270" s="109"/>
      <c r="W270" s="130" t="str">
        <f t="shared" si="13"/>
        <v>1D</v>
      </c>
      <c r="X270" s="128">
        <f>_xll.qlCalendarAdvance(Calendar,X269,W270,"f",FALSE)</f>
        <v>42613</v>
      </c>
      <c r="Y270" s="131">
        <f>_xll.qlCalendarAdvance(Calendar,X270,NDays&amp;"D")</f>
        <v>42615</v>
      </c>
      <c r="Z270" s="132">
        <v>-2.1344635857119769E-4</v>
      </c>
      <c r="AA270" s="129">
        <v>-3.454006806169474E-4</v>
      </c>
    </row>
    <row r="271" spans="19:27" x14ac:dyDescent="0.2">
      <c r="S271" s="1"/>
      <c r="T271" s="109"/>
      <c r="W271" s="130" t="str">
        <f t="shared" si="13"/>
        <v>1D</v>
      </c>
      <c r="X271" s="128">
        <f>_xll.qlCalendarAdvance(Calendar,X270,W271,"f",FALSE)</f>
        <v>42614</v>
      </c>
      <c r="Y271" s="131">
        <f>_xll.qlCalendarAdvance(Calendar,X271,NDays&amp;"D")</f>
        <v>42618</v>
      </c>
      <c r="Z271" s="132">
        <v>-2.0641922244853255E-4</v>
      </c>
      <c r="AA271" s="129">
        <v>-3.3852307029569317E-4</v>
      </c>
    </row>
    <row r="272" spans="19:27" x14ac:dyDescent="0.2">
      <c r="S272" s="1"/>
      <c r="T272" s="109"/>
      <c r="W272" s="130" t="str">
        <f t="shared" si="13"/>
        <v>1D</v>
      </c>
      <c r="X272" s="128">
        <f>_xll.qlCalendarAdvance(Calendar,X271,W272,"f",FALSE)</f>
        <v>42615</v>
      </c>
      <c r="Y272" s="131">
        <f>_xll.qlCalendarAdvance(Calendar,X272,NDays&amp;"D")</f>
        <v>42619</v>
      </c>
      <c r="Z272" s="132">
        <v>-2.0414638975856699E-4</v>
      </c>
      <c r="AA272" s="129">
        <v>-3.3499904822154036E-4</v>
      </c>
    </row>
    <row r="273" spans="19:27" x14ac:dyDescent="0.2">
      <c r="S273" s="1"/>
      <c r="T273" s="109"/>
      <c r="W273" s="130" t="str">
        <f t="shared" si="13"/>
        <v>1D</v>
      </c>
      <c r="X273" s="128">
        <f>_xll.qlCalendarAdvance(Calendar,X272,W273,"f",FALSE)</f>
        <v>42618</v>
      </c>
      <c r="Y273" s="131">
        <f>_xll.qlCalendarAdvance(Calendar,X273,NDays&amp;"D")</f>
        <v>42620</v>
      </c>
      <c r="Z273" s="132">
        <v>-2.0191011031518485E-4</v>
      </c>
      <c r="AA273" s="129">
        <v>-3.3142399548768964E-4</v>
      </c>
    </row>
    <row r="274" spans="19:27" x14ac:dyDescent="0.2">
      <c r="S274" s="1"/>
      <c r="T274" s="109"/>
      <c r="W274" s="130" t="str">
        <f t="shared" si="13"/>
        <v>1D</v>
      </c>
      <c r="X274" s="128">
        <f>_xll.qlCalendarAdvance(Calendar,X273,W274,"f",FALSE)</f>
        <v>42619</v>
      </c>
      <c r="Y274" s="131">
        <f>_xll.qlCalendarAdvance(Calendar,X274,NDays&amp;"D")</f>
        <v>42621</v>
      </c>
      <c r="Z274" s="132">
        <v>-1.9971145225956605E-4</v>
      </c>
      <c r="AA274" s="129">
        <v>-3.2779791217407706E-4</v>
      </c>
    </row>
    <row r="275" spans="19:27" x14ac:dyDescent="0.2">
      <c r="S275" s="1"/>
      <c r="T275" s="109"/>
      <c r="W275" s="130" t="str">
        <f t="shared" si="13"/>
        <v>1D</v>
      </c>
      <c r="X275" s="128">
        <f>_xll.qlCalendarAdvance(Calendar,X274,W275,"f",FALSE)</f>
        <v>42620</v>
      </c>
      <c r="Y275" s="131">
        <f>_xll.qlCalendarAdvance(Calendar,X275,NDays&amp;"D")</f>
        <v>42622</v>
      </c>
      <c r="Z275" s="132">
        <v>-1.9755148373816098E-4</v>
      </c>
      <c r="AA275" s="129">
        <v>-3.2037535781626048E-4</v>
      </c>
    </row>
    <row r="276" spans="19:27" x14ac:dyDescent="0.2">
      <c r="S276" s="1"/>
      <c r="T276" s="109"/>
      <c r="W276" s="130" t="str">
        <f t="shared" si="13"/>
        <v>1D</v>
      </c>
      <c r="X276" s="128">
        <f>_xll.qlCalendarAdvance(Calendar,X275,W276,"f",FALSE)</f>
        <v>42621</v>
      </c>
      <c r="Y276" s="131">
        <f>_xll.qlCalendarAdvance(Calendar,X276,NDays&amp;"D")</f>
        <v>42625</v>
      </c>
      <c r="Z276" s="132">
        <v>-1.9131439684724597E-4</v>
      </c>
      <c r="AA276" s="129">
        <v>-3.1278327132344685E-4</v>
      </c>
    </row>
    <row r="277" spans="19:27" x14ac:dyDescent="0.2">
      <c r="S277" s="1"/>
      <c r="T277" s="109"/>
      <c r="W277" s="130" t="str">
        <f t="shared" ref="W277:W340" si="14">W276</f>
        <v>1D</v>
      </c>
      <c r="X277" s="128">
        <f>_xll.qlCalendarAdvance(Calendar,X276,W277,"f",FALSE)</f>
        <v>42622</v>
      </c>
      <c r="Y277" s="131">
        <f>_xll.qlCalendarAdvance(Calendar,X277,NDays&amp;"D")</f>
        <v>42626</v>
      </c>
      <c r="Z277" s="132">
        <v>-1.8931986793598415E-4</v>
      </c>
      <c r="AA277" s="129">
        <v>-3.089020344315685E-4</v>
      </c>
    </row>
    <row r="278" spans="19:27" x14ac:dyDescent="0.2">
      <c r="S278" s="1"/>
      <c r="T278" s="109"/>
      <c r="W278" s="130" t="str">
        <f t="shared" si="14"/>
        <v>1D</v>
      </c>
      <c r="X278" s="128">
        <f>_xll.qlCalendarAdvance(Calendar,X277,W278,"f",FALSE)</f>
        <v>42625</v>
      </c>
      <c r="Y278" s="131">
        <f>_xll.qlCalendarAdvance(Calendar,X278,NDays&amp;"D")</f>
        <v>42627</v>
      </c>
      <c r="Z278" s="132">
        <v>-1.8736936930041149E-4</v>
      </c>
      <c r="AA278" s="129">
        <v>-3.0496976660021602E-4</v>
      </c>
    </row>
    <row r="279" spans="19:27" x14ac:dyDescent="0.2">
      <c r="S279" s="1"/>
      <c r="T279" s="109"/>
      <c r="W279" s="130" t="str">
        <f t="shared" si="14"/>
        <v>1D</v>
      </c>
      <c r="X279" s="128">
        <f>_xll.qlCalendarAdvance(Calendar,X278,W279,"f",FALSE)</f>
        <v>42626</v>
      </c>
      <c r="Y279" s="131">
        <f>_xll.qlCalendarAdvance(Calendar,X279,NDays&amp;"D")</f>
        <v>42628</v>
      </c>
      <c r="Z279" s="132">
        <v>-1.8546396909224894E-4</v>
      </c>
      <c r="AA279" s="129">
        <v>-3.0100266839028222E-4</v>
      </c>
    </row>
    <row r="280" spans="19:27" x14ac:dyDescent="0.2">
      <c r="S280" s="1"/>
      <c r="T280" s="109"/>
      <c r="W280" s="130" t="str">
        <f t="shared" si="14"/>
        <v>1D</v>
      </c>
      <c r="X280" s="128">
        <f>_xll.qlCalendarAdvance(Calendar,X279,W280,"f",FALSE)</f>
        <v>42627</v>
      </c>
      <c r="Y280" s="131">
        <f>_xll.qlCalendarAdvance(Calendar,X280,NDays&amp;"D")</f>
        <v>42629</v>
      </c>
      <c r="Z280" s="132">
        <v>-1.8360455744737358E-4</v>
      </c>
      <c r="AA280" s="129">
        <v>-2.9318973135961102E-4</v>
      </c>
    </row>
    <row r="281" spans="19:27" x14ac:dyDescent="0.2">
      <c r="S281" s="1"/>
      <c r="T281" s="109"/>
      <c r="W281" s="130" t="str">
        <f t="shared" si="14"/>
        <v>1D</v>
      </c>
      <c r="X281" s="128">
        <f>_xll.qlCalendarAdvance(Calendar,X280,W281,"f",FALSE)</f>
        <v>42628</v>
      </c>
      <c r="Y281" s="131">
        <f>_xll.qlCalendarAdvance(Calendar,X281,NDays&amp;"D")</f>
        <v>42632</v>
      </c>
      <c r="Z281" s="132">
        <v>-1.7830332261955555E-4</v>
      </c>
      <c r="AA281" s="129">
        <v>-2.85531170467479E-4</v>
      </c>
    </row>
    <row r="282" spans="19:27" x14ac:dyDescent="0.2">
      <c r="S282" s="1"/>
      <c r="T282" s="109"/>
      <c r="W282" s="130" t="str">
        <f t="shared" si="14"/>
        <v>1D</v>
      </c>
      <c r="X282" s="128">
        <f>_xll.qlCalendarAdvance(Calendar,X281,W282,"f",FALSE)</f>
        <v>42629</v>
      </c>
      <c r="Y282" s="131">
        <f>_xll.qlCalendarAdvance(Calendar,X282,NDays&amp;"D")</f>
        <v>42633</v>
      </c>
      <c r="Z282" s="132">
        <v>-1.7662857791883409E-4</v>
      </c>
      <c r="AA282" s="129">
        <v>-2.8177871975731961E-4</v>
      </c>
    </row>
    <row r="283" spans="19:27" x14ac:dyDescent="0.2">
      <c r="S283" s="1"/>
      <c r="T283" s="109"/>
      <c r="W283" s="130" t="str">
        <f t="shared" si="14"/>
        <v>1D</v>
      </c>
      <c r="X283" s="128">
        <f>_xll.qlCalendarAdvance(Calendar,X282,W283,"f",FALSE)</f>
        <v>42632</v>
      </c>
      <c r="Y283" s="131">
        <f>_xll.qlCalendarAdvance(Calendar,X283,NDays&amp;"D")</f>
        <v>42634</v>
      </c>
      <c r="Z283" s="132">
        <v>-1.7500000010732528E-4</v>
      </c>
      <c r="AA283" s="129">
        <v>-2.7807243879518495E-4</v>
      </c>
    </row>
    <row r="284" spans="19:27" x14ac:dyDescent="0.2">
      <c r="S284" s="1"/>
      <c r="T284" s="109"/>
      <c r="W284" s="130" t="str">
        <f t="shared" si="14"/>
        <v>1D</v>
      </c>
      <c r="X284" s="128">
        <f>_xll.qlCalendarAdvance(Calendar,X283,W284,"f",FALSE)</f>
        <v>42633</v>
      </c>
      <c r="Y284" s="131">
        <f>_xll.qlCalendarAdvance(Calendar,X284,NDays&amp;"D")</f>
        <v>42635</v>
      </c>
      <c r="Z284" s="132">
        <v>-1.7341737079532718E-4</v>
      </c>
      <c r="AA284" s="129">
        <v>-2.7441232734126686E-4</v>
      </c>
    </row>
    <row r="285" spans="19:27" x14ac:dyDescent="0.2">
      <c r="S285" s="1"/>
      <c r="T285" s="109"/>
      <c r="W285" s="130" t="str">
        <f t="shared" si="14"/>
        <v>1D</v>
      </c>
      <c r="X285" s="128">
        <f>_xll.qlCalendarAdvance(Calendar,X284,W285,"f",FALSE)</f>
        <v>42634</v>
      </c>
      <c r="Y285" s="131">
        <f>_xll.qlCalendarAdvance(Calendar,X285,NDays&amp;"D")</f>
        <v>42636</v>
      </c>
      <c r="Z285" s="132">
        <v>-1.7187959782307059E-4</v>
      </c>
      <c r="AA285" s="129">
        <v>-2.6724580453940661E-4</v>
      </c>
    </row>
    <row r="286" spans="19:27" x14ac:dyDescent="0.2">
      <c r="S286" s="1"/>
      <c r="T286" s="109"/>
      <c r="W286" s="130" t="str">
        <f t="shared" si="14"/>
        <v>1D</v>
      </c>
      <c r="X286" s="128">
        <f>_xll.qlCalendarAdvance(Calendar,X285,W286,"f",FALSE)</f>
        <v>42635</v>
      </c>
      <c r="Y286" s="131">
        <f>_xll.qlCalendarAdvance(Calendar,X286,NDays&amp;"D")</f>
        <v>42639</v>
      </c>
      <c r="Z286" s="132">
        <v>-1.671733765887372E-4</v>
      </c>
      <c r="AA286" s="129">
        <v>-2.6023357720728058E-4</v>
      </c>
    </row>
    <row r="287" spans="19:27" x14ac:dyDescent="0.2">
      <c r="S287" s="1"/>
      <c r="T287" s="109"/>
      <c r="W287" s="130" t="str">
        <f t="shared" si="14"/>
        <v>1D</v>
      </c>
      <c r="X287" s="128">
        <f>_xll.qlCalendarAdvance(Calendar,X286,W287,"f",FALSE)</f>
        <v>42636</v>
      </c>
      <c r="Y287" s="131">
        <f>_xll.qlCalendarAdvance(Calendar,X287,NDays&amp;"D")</f>
        <v>42640</v>
      </c>
      <c r="Z287" s="132">
        <v>-1.6615085712718409E-4</v>
      </c>
      <c r="AA287" s="129">
        <v>-2.5680431345431742E-4</v>
      </c>
    </row>
    <row r="288" spans="19:27" x14ac:dyDescent="0.2">
      <c r="S288" s="1"/>
      <c r="T288" s="109"/>
      <c r="W288" s="130" t="str">
        <f t="shared" si="14"/>
        <v>1D</v>
      </c>
      <c r="X288" s="128">
        <f>_xll.qlCalendarAdvance(Calendar,X287,W288,"f",FALSE)</f>
        <v>42639</v>
      </c>
      <c r="Y288" s="131">
        <f>_xll.qlCalendarAdvance(Calendar,X288,NDays&amp;"D")</f>
        <v>42641</v>
      </c>
      <c r="Z288" s="132">
        <v>-1.6481770667166039E-4</v>
      </c>
      <c r="AA288" s="129">
        <v>-2.5342121948934704E-4</v>
      </c>
    </row>
    <row r="289" spans="19:27" x14ac:dyDescent="0.2">
      <c r="S289" s="1"/>
      <c r="T289" s="109"/>
      <c r="W289" s="130" t="str">
        <f t="shared" si="14"/>
        <v>1D</v>
      </c>
      <c r="X289" s="128">
        <f>_xll.qlCalendarAdvance(Calendar,X288,W289,"f",FALSE)</f>
        <v>42640</v>
      </c>
      <c r="Y289" s="131">
        <f>_xll.qlCalendarAdvance(Calendar,X289,NDays&amp;"D")</f>
        <v>42642</v>
      </c>
      <c r="Z289" s="132">
        <v>-1.6352154886024948E-4</v>
      </c>
      <c r="AA289" s="129">
        <v>-2.5008429507256125E-4</v>
      </c>
    </row>
    <row r="290" spans="19:27" x14ac:dyDescent="0.2">
      <c r="S290" s="1"/>
      <c r="T290" s="109"/>
      <c r="W290" s="130" t="str">
        <f t="shared" si="14"/>
        <v>1D</v>
      </c>
      <c r="X290" s="128">
        <f>_xll.qlCalendarAdvance(Calendar,X289,W290,"f",FALSE)</f>
        <v>42641</v>
      </c>
      <c r="Y290" s="131">
        <f>_xll.qlCalendarAdvance(Calendar,X290,NDays&amp;"D")</f>
        <v>42643</v>
      </c>
      <c r="Z290" s="132">
        <v>-1.6226107306530099E-4</v>
      </c>
      <c r="AA290" s="129">
        <v>-2.4356417987814183E-4</v>
      </c>
    </row>
    <row r="291" spans="19:27" x14ac:dyDescent="0.2">
      <c r="S291" s="1"/>
      <c r="T291" s="109"/>
      <c r="W291" s="130" t="str">
        <f t="shared" si="14"/>
        <v>1D</v>
      </c>
      <c r="X291" s="128">
        <f>_xll.qlCalendarAdvance(Calendar,X290,W291,"f",FALSE)</f>
        <v>42642</v>
      </c>
      <c r="Y291" s="131">
        <f>_xll.qlCalendarAdvance(Calendar,X291,NDays&amp;"D")</f>
        <v>42646</v>
      </c>
      <c r="Z291" s="132">
        <v>-7.7808326706457052E-5</v>
      </c>
      <c r="AA291" s="129">
        <v>-2.3719829284729599E-4</v>
      </c>
    </row>
    <row r="292" spans="19:27" x14ac:dyDescent="0.2">
      <c r="S292" s="1"/>
      <c r="T292" s="109"/>
      <c r="W292" s="130" t="str">
        <f t="shared" si="14"/>
        <v>1D</v>
      </c>
      <c r="X292" s="128">
        <f>_xll.qlCalendarAdvance(Calendar,X291,W292,"f",FALSE)</f>
        <v>42643</v>
      </c>
      <c r="Y292" s="131">
        <f>_xll.qlCalendarAdvance(Calendar,X292,NDays&amp;"D")</f>
        <v>42647</v>
      </c>
      <c r="Z292" s="132">
        <v>-7.6684793999586673E-5</v>
      </c>
      <c r="AA292" s="129">
        <v>-2.3409221625136922E-4</v>
      </c>
    </row>
    <row r="293" spans="19:27" x14ac:dyDescent="0.2">
      <c r="S293" s="1"/>
      <c r="T293" s="109"/>
      <c r="W293" s="130" t="str">
        <f t="shared" si="14"/>
        <v>1D</v>
      </c>
      <c r="X293" s="128">
        <f>_xll.qlCalendarAdvance(Calendar,X292,W293,"f",FALSE)</f>
        <v>42646</v>
      </c>
      <c r="Y293" s="131">
        <f>_xll.qlCalendarAdvance(Calendar,X293,NDays&amp;"D")</f>
        <v>42648</v>
      </c>
      <c r="Z293" s="132">
        <v>-7.5589279492215908E-5</v>
      </c>
      <c r="AA293" s="129">
        <v>-2.3103230936349917E-4</v>
      </c>
    </row>
    <row r="294" spans="19:27" x14ac:dyDescent="0.2">
      <c r="S294" s="1"/>
      <c r="T294" s="109"/>
      <c r="W294" s="130" t="str">
        <f t="shared" si="14"/>
        <v>1D</v>
      </c>
      <c r="X294" s="128">
        <f>_xll.qlCalendarAdvance(Calendar,X293,W294,"f",FALSE)</f>
        <v>42647</v>
      </c>
      <c r="Y294" s="131">
        <f>_xll.qlCalendarAdvance(Calendar,X294,NDays&amp;"D")</f>
        <v>42649</v>
      </c>
      <c r="Z294" s="132">
        <v>-7.4520486763982404E-5</v>
      </c>
      <c r="AA294" s="129">
        <v>-2.2801857190390962E-4</v>
      </c>
    </row>
    <row r="295" spans="19:27" x14ac:dyDescent="0.2">
      <c r="S295" s="1"/>
      <c r="T295" s="109"/>
      <c r="W295" s="130" t="str">
        <f t="shared" si="14"/>
        <v>1D</v>
      </c>
      <c r="X295" s="128">
        <f>_xll.qlCalendarAdvance(Calendar,X294,W295,"f",FALSE)</f>
        <v>42648</v>
      </c>
      <c r="Y295" s="131">
        <f>_xll.qlCalendarAdvance(Calendar,X295,NDays&amp;"D")</f>
        <v>42650</v>
      </c>
      <c r="Z295" s="132">
        <v>-7.469817026970801E-5</v>
      </c>
      <c r="AA295" s="129">
        <v>-2.2214485858818023E-4</v>
      </c>
    </row>
    <row r="296" spans="19:27" x14ac:dyDescent="0.2">
      <c r="S296" s="1"/>
      <c r="T296" s="109"/>
      <c r="W296" s="130" t="str">
        <f t="shared" si="14"/>
        <v>1D</v>
      </c>
      <c r="X296" s="128">
        <f>_xll.qlCalendarAdvance(Calendar,X295,W296,"f",FALSE)</f>
        <v>42649</v>
      </c>
      <c r="Y296" s="131">
        <f>_xll.qlCalendarAdvance(Calendar,X296,NDays&amp;"D")</f>
        <v>42653</v>
      </c>
      <c r="Z296" s="132">
        <v>-7.0486605146114428E-5</v>
      </c>
      <c r="AA296" s="129">
        <v>-2.1642531814691779E-4</v>
      </c>
    </row>
    <row r="297" spans="19:27" x14ac:dyDescent="0.2">
      <c r="S297" s="1"/>
      <c r="T297" s="109"/>
      <c r="W297" s="130" t="str">
        <f t="shared" si="14"/>
        <v>1D</v>
      </c>
      <c r="X297" s="128">
        <f>_xll.qlCalendarAdvance(Calendar,X296,W297,"f",FALSE)</f>
        <v>42650</v>
      </c>
      <c r="Y297" s="131">
        <f>_xll.qlCalendarAdvance(Calendar,X297,NDays&amp;"D")</f>
        <v>42654</v>
      </c>
      <c r="Z297" s="132">
        <v>-6.9531974926023465E-5</v>
      </c>
      <c r="AA297" s="129">
        <v>-2.1364242854815529E-4</v>
      </c>
    </row>
    <row r="298" spans="19:27" x14ac:dyDescent="0.2">
      <c r="S298" s="1"/>
      <c r="T298" s="109"/>
      <c r="W298" s="130" t="str">
        <f t="shared" si="14"/>
        <v>1D</v>
      </c>
      <c r="X298" s="128">
        <f>_xll.qlCalendarAdvance(Calendar,X297,W298,"f",FALSE)</f>
        <v>42653</v>
      </c>
      <c r="Y298" s="131">
        <f>_xll.qlCalendarAdvance(Calendar,X298,NDays&amp;"D")</f>
        <v>42655</v>
      </c>
      <c r="Z298" s="132">
        <v>-6.8596287917714306E-5</v>
      </c>
      <c r="AA298" s="129">
        <v>-2.1090570869741754E-4</v>
      </c>
    </row>
    <row r="299" spans="19:27" x14ac:dyDescent="0.2">
      <c r="S299" s="1"/>
      <c r="T299" s="109"/>
      <c r="W299" s="130" t="str">
        <f t="shared" si="14"/>
        <v>1D</v>
      </c>
      <c r="X299" s="128">
        <f>_xll.qlCalendarAdvance(Calendar,X298,W299,"f",FALSE)</f>
        <v>42654</v>
      </c>
      <c r="Y299" s="131">
        <f>_xll.qlCalendarAdvance(Calendar,X299,NDays&amp;"D")</f>
        <v>42656</v>
      </c>
      <c r="Z299" s="132">
        <v>-6.7678247689529285E-5</v>
      </c>
      <c r="AA299" s="129">
        <v>-2.0821515847480043E-4</v>
      </c>
    </row>
    <row r="300" spans="19:27" x14ac:dyDescent="0.2">
      <c r="S300" s="1"/>
      <c r="T300" s="109"/>
      <c r="W300" s="130" t="str">
        <f t="shared" si="14"/>
        <v>1D</v>
      </c>
      <c r="X300" s="128">
        <f>_xll.qlCalendarAdvance(Calendar,X299,W300,"f",FALSE)</f>
        <v>42655</v>
      </c>
      <c r="Y300" s="131">
        <f>_xll.qlCalendarAdvance(Calendar,X300,NDays&amp;"D")</f>
        <v>42657</v>
      </c>
      <c r="Z300" s="132">
        <v>-6.797983431023843E-5</v>
      </c>
      <c r="AA300" s="129">
        <v>-2.0298784197514408E-4</v>
      </c>
    </row>
    <row r="301" spans="19:27" x14ac:dyDescent="0.2">
      <c r="S301" s="1"/>
      <c r="T301" s="109"/>
      <c r="W301" s="130" t="str">
        <f t="shared" si="14"/>
        <v>1D</v>
      </c>
      <c r="X301" s="128">
        <f>_xll.qlCalendarAdvance(Calendar,X300,W301,"f",FALSE)</f>
        <v>42656</v>
      </c>
      <c r="Y301" s="131">
        <f>_xll.qlCalendarAdvance(Calendar,X301,NDays&amp;"D")</f>
        <v>42660</v>
      </c>
      <c r="Z301" s="132">
        <v>-6.4156625836268077E-5</v>
      </c>
      <c r="AA301" s="129">
        <v>-1.9791465310614598E-4</v>
      </c>
    </row>
    <row r="302" spans="19:27" x14ac:dyDescent="0.2">
      <c r="S302" s="1"/>
      <c r="T302" s="109"/>
      <c r="W302" s="130" t="str">
        <f t="shared" si="14"/>
        <v>1D</v>
      </c>
      <c r="X302" s="128">
        <f>_xll.qlCalendarAdvance(Calendar,X301,W302,"f",FALSE)</f>
        <v>42657</v>
      </c>
      <c r="Y302" s="131">
        <f>_xll.qlCalendarAdvance(Calendar,X302,NDays&amp;"D")</f>
        <v>42661</v>
      </c>
      <c r="Z302" s="132">
        <v>-6.3307372947385914E-5</v>
      </c>
      <c r="AA302" s="129">
        <v>-1.9545495078432396E-4</v>
      </c>
    </row>
    <row r="303" spans="19:27" x14ac:dyDescent="0.2">
      <c r="S303" s="1"/>
      <c r="T303" s="109"/>
      <c r="W303" s="130" t="str">
        <f t="shared" si="14"/>
        <v>1D</v>
      </c>
      <c r="X303" s="128">
        <f>_xll.qlCalendarAdvance(Calendar,X302,W303,"f",FALSE)</f>
        <v>42660</v>
      </c>
      <c r="Y303" s="131">
        <f>_xll.qlCalendarAdvance(Calendar,X303,NDays&amp;"D")</f>
        <v>42662</v>
      </c>
      <c r="Z303" s="132">
        <v>-6.2467988205672725E-5</v>
      </c>
      <c r="AA303" s="129">
        <v>-1.9304141805065456E-4</v>
      </c>
    </row>
    <row r="304" spans="19:27" x14ac:dyDescent="0.2">
      <c r="S304" s="1"/>
      <c r="T304" s="109"/>
      <c r="W304" s="130" t="str">
        <f t="shared" si="14"/>
        <v>1D</v>
      </c>
      <c r="X304" s="128">
        <f>_xll.qlCalendarAdvance(Calendar,X303,W304,"f",FALSE)</f>
        <v>42661</v>
      </c>
      <c r="Y304" s="131">
        <f>_xll.qlCalendarAdvance(Calendar,X304,NDays&amp;"D")</f>
        <v>42663</v>
      </c>
      <c r="Z304" s="132">
        <v>-6.1637175170782129E-5</v>
      </c>
      <c r="AA304" s="129">
        <v>-1.9067405482520172E-4</v>
      </c>
    </row>
    <row r="305" spans="19:27" x14ac:dyDescent="0.2">
      <c r="S305" s="1"/>
      <c r="T305" s="109"/>
      <c r="W305" s="130" t="str">
        <f t="shared" si="14"/>
        <v>1D</v>
      </c>
      <c r="X305" s="128">
        <f>_xll.qlCalendarAdvance(Calendar,X304,W305,"f",FALSE)</f>
        <v>42662</v>
      </c>
      <c r="Y305" s="131">
        <f>_xll.qlCalendarAdvance(Calendar,X305,NDays&amp;"D")</f>
        <v>42664</v>
      </c>
      <c r="Z305" s="132">
        <v>-6.1907228815612374E-5</v>
      </c>
      <c r="AA305" s="129">
        <v>-1.8609313109152481E-4</v>
      </c>
    </row>
    <row r="306" spans="19:27" x14ac:dyDescent="0.2">
      <c r="S306" s="1"/>
      <c r="T306" s="109"/>
      <c r="W306" s="130" t="str">
        <f t="shared" si="14"/>
        <v>1D</v>
      </c>
      <c r="X306" s="128">
        <f>_xll.qlCalendarAdvance(Calendar,X305,W306,"f",FALSE)</f>
        <v>42663</v>
      </c>
      <c r="Y306" s="131">
        <f>_xll.qlCalendarAdvance(Calendar,X306,NDays&amp;"D")</f>
        <v>42667</v>
      </c>
      <c r="Z306" s="132">
        <v>-5.8373711187384799E-5</v>
      </c>
      <c r="AA306" s="129">
        <v>-1.8166629836446901E-4</v>
      </c>
    </row>
    <row r="307" spans="19:27" x14ac:dyDescent="0.2">
      <c r="S307" s="1"/>
      <c r="T307" s="109"/>
      <c r="W307" s="130" t="str">
        <f t="shared" si="14"/>
        <v>1D</v>
      </c>
      <c r="X307" s="128">
        <f>_xll.qlCalendarAdvance(Calendar,X306,W307,"f",FALSE)</f>
        <v>42664</v>
      </c>
      <c r="Y307" s="131">
        <f>_xll.qlCalendarAdvance(Calendar,X307,NDays&amp;"D")</f>
        <v>42668</v>
      </c>
      <c r="Z307" s="132">
        <v>-5.7566309996696631E-5</v>
      </c>
      <c r="AA307" s="129">
        <v>-1.7952978319968338E-4</v>
      </c>
    </row>
    <row r="308" spans="19:27" x14ac:dyDescent="0.2">
      <c r="S308" s="1"/>
      <c r="T308" s="109"/>
      <c r="W308" s="130" t="str">
        <f t="shared" si="14"/>
        <v>1D</v>
      </c>
      <c r="X308" s="128">
        <f>_xll.qlCalendarAdvance(Calendar,X307,W308,"f",FALSE)</f>
        <v>42667</v>
      </c>
      <c r="Y308" s="131">
        <f>_xll.qlCalendarAdvance(Calendar,X308,NDays&amp;"D")</f>
        <v>42669</v>
      </c>
      <c r="Z308" s="132">
        <v>-5.6759701830784742E-5</v>
      </c>
      <c r="AA308" s="129">
        <v>-1.7743943758308234E-4</v>
      </c>
    </row>
    <row r="309" spans="19:27" x14ac:dyDescent="0.2">
      <c r="S309" s="1"/>
      <c r="T309" s="109"/>
      <c r="W309" s="130" t="str">
        <f t="shared" si="14"/>
        <v>1D</v>
      </c>
      <c r="X309" s="128">
        <f>_xll.qlCalendarAdvance(Calendar,X308,W309,"f",FALSE)</f>
        <v>42668</v>
      </c>
      <c r="Y309" s="131">
        <f>_xll.qlCalendarAdvance(Calendar,X309,NDays&amp;"D")</f>
        <v>42670</v>
      </c>
      <c r="Z309" s="132">
        <v>-5.595259024104849E-5</v>
      </c>
      <c r="AA309" s="129">
        <v>-1.7539526175447406E-4</v>
      </c>
    </row>
    <row r="310" spans="19:27" x14ac:dyDescent="0.2">
      <c r="S310" s="1"/>
      <c r="T310" s="109"/>
      <c r="W310" s="130" t="str">
        <f t="shared" si="14"/>
        <v>1D</v>
      </c>
      <c r="X310" s="128">
        <f>_xll.qlCalendarAdvance(Calendar,X309,W310,"f",FALSE)</f>
        <v>42669</v>
      </c>
      <c r="Y310" s="131">
        <f>_xll.qlCalendarAdvance(Calendar,X310,NDays&amp;"D")</f>
        <v>42671</v>
      </c>
      <c r="Z310" s="132">
        <v>-5.6045135654083543E-5</v>
      </c>
      <c r="AA310" s="129">
        <v>-1.7146072684326441E-4</v>
      </c>
    </row>
    <row r="311" spans="19:27" x14ac:dyDescent="0.2">
      <c r="S311" s="1"/>
      <c r="T311" s="109"/>
      <c r="W311" s="130" t="str">
        <f t="shared" si="14"/>
        <v>1D</v>
      </c>
      <c r="X311" s="128">
        <f>_xll.qlCalendarAdvance(Calendar,X310,W311,"f",FALSE)</f>
        <v>42670</v>
      </c>
      <c r="Y311" s="131">
        <f>_xll.qlCalendarAdvance(Calendar,X311,NDays&amp;"D")</f>
        <v>42674</v>
      </c>
      <c r="Z311" s="132">
        <v>-5.269318057279564E-5</v>
      </c>
      <c r="AA311" s="129">
        <v>-1.6768025408175902E-4</v>
      </c>
    </row>
    <row r="312" spans="19:27" x14ac:dyDescent="0.2">
      <c r="S312" s="1"/>
      <c r="T312" s="109"/>
      <c r="W312" s="130" t="str">
        <f t="shared" si="14"/>
        <v>1D</v>
      </c>
      <c r="X312" s="128">
        <f>_xll.qlCalendarAdvance(Calendar,X311,W312,"f",FALSE)</f>
        <v>42671</v>
      </c>
      <c r="Y312" s="131">
        <f>_xll.qlCalendarAdvance(Calendar,X312,NDays&amp;"D")</f>
        <v>42675</v>
      </c>
      <c r="Z312" s="132">
        <v>-5.1864105057598387E-5</v>
      </c>
      <c r="AA312" s="129">
        <v>-1.6586692607400977E-4</v>
      </c>
    </row>
    <row r="313" spans="19:27" x14ac:dyDescent="0.2">
      <c r="S313" s="1"/>
      <c r="T313" s="109"/>
      <c r="W313" s="130" t="str">
        <f t="shared" si="14"/>
        <v>1D</v>
      </c>
      <c r="X313" s="128">
        <f>_xll.qlCalendarAdvance(Calendar,X312,W313,"f",FALSE)</f>
        <v>42674</v>
      </c>
      <c r="Y313" s="131">
        <f>_xll.qlCalendarAdvance(Calendar,X313,NDays&amp;"D")</f>
        <v>42676</v>
      </c>
      <c r="Z313" s="132">
        <v>-5.1026747391783644E-5</v>
      </c>
      <c r="AA313" s="129">
        <v>-1.6409976781428526E-4</v>
      </c>
    </row>
    <row r="314" spans="19:27" x14ac:dyDescent="0.2">
      <c r="S314" s="1"/>
      <c r="T314" s="109"/>
      <c r="W314" s="130" t="str">
        <f t="shared" si="14"/>
        <v>1D</v>
      </c>
      <c r="X314" s="128">
        <f>_xll.qlCalendarAdvance(Calendar,X313,W314,"f",FALSE)</f>
        <v>42675</v>
      </c>
      <c r="Y314" s="131">
        <f>_xll.qlCalendarAdvance(Calendar,X314,NDays&amp;"D")</f>
        <v>42677</v>
      </c>
      <c r="Z314" s="132">
        <v>-5.0179811115455436E-5</v>
      </c>
      <c r="AA314" s="129">
        <v>-1.6237877906277731E-4</v>
      </c>
    </row>
    <row r="315" spans="19:27" x14ac:dyDescent="0.2">
      <c r="S315" s="1"/>
      <c r="T315" s="109"/>
      <c r="W315" s="130" t="str">
        <f t="shared" si="14"/>
        <v>1D</v>
      </c>
      <c r="X315" s="128">
        <f>_xll.qlCalendarAdvance(Calendar,X314,W315,"f",FALSE)</f>
        <v>42676</v>
      </c>
      <c r="Y315" s="131">
        <f>_xll.qlCalendarAdvance(Calendar,X315,NDays&amp;"D")</f>
        <v>42678</v>
      </c>
      <c r="Z315" s="132">
        <v>-4.9958333902096339E-5</v>
      </c>
      <c r="AA315" s="129">
        <v>-1.5909063013630487E-4</v>
      </c>
    </row>
    <row r="316" spans="19:27" x14ac:dyDescent="0.2">
      <c r="S316" s="1"/>
      <c r="T316" s="109"/>
      <c r="W316" s="130" t="str">
        <f t="shared" si="14"/>
        <v>1D</v>
      </c>
      <c r="X316" s="128">
        <f>_xll.qlCalendarAdvance(Calendar,X315,W316,"f",FALSE)</f>
        <v>42677</v>
      </c>
      <c r="Y316" s="131">
        <f>_xll.qlCalendarAdvance(Calendar,X316,NDays&amp;"D")</f>
        <v>42681</v>
      </c>
      <c r="Z316" s="132">
        <v>-4.6670350705785537E-5</v>
      </c>
      <c r="AA316" s="129">
        <v>-1.5595652049782416E-4</v>
      </c>
    </row>
    <row r="317" spans="19:27" x14ac:dyDescent="0.2">
      <c r="S317" s="1"/>
      <c r="T317" s="109"/>
      <c r="W317" s="130" t="str">
        <f t="shared" si="14"/>
        <v>1D</v>
      </c>
      <c r="X317" s="128">
        <f>_xll.qlCalendarAdvance(Calendar,X316,W317,"f",FALSE)</f>
        <v>42678</v>
      </c>
      <c r="Y317" s="131">
        <f>_xll.qlCalendarAdvance(Calendar,X317,NDays&amp;"D")</f>
        <v>42682</v>
      </c>
      <c r="Z317" s="132">
        <v>-4.5756074463679851E-5</v>
      </c>
      <c r="AA317" s="129">
        <v>-1.5446637988691947E-4</v>
      </c>
    </row>
    <row r="318" spans="19:27" x14ac:dyDescent="0.2">
      <c r="S318" s="1"/>
      <c r="T318" s="109"/>
      <c r="W318" s="130" t="str">
        <f t="shared" si="14"/>
        <v>1D</v>
      </c>
      <c r="X318" s="128">
        <f>_xll.qlCalendarAdvance(Calendar,X317,W318,"f",FALSE)</f>
        <v>42681</v>
      </c>
      <c r="Y318" s="131">
        <f>_xll.qlCalendarAdvance(Calendar,X318,NDays&amp;"D")</f>
        <v>42683</v>
      </c>
      <c r="Z318" s="132">
        <v>-4.4824440835176411E-5</v>
      </c>
      <c r="AA318" s="129">
        <v>-1.5302240882419937E-4</v>
      </c>
    </row>
    <row r="319" spans="19:27" x14ac:dyDescent="0.2">
      <c r="S319" s="1"/>
      <c r="T319" s="109"/>
      <c r="W319" s="130" t="str">
        <f t="shared" si="14"/>
        <v>1D</v>
      </c>
      <c r="X319" s="128">
        <f>_xll.qlCalendarAdvance(Calendar,X318,W319,"f",FALSE)</f>
        <v>42682</v>
      </c>
      <c r="Y319" s="131">
        <f>_xll.qlCalendarAdvance(Calendar,X319,NDays&amp;"D")</f>
        <v>42684</v>
      </c>
      <c r="Z319" s="132">
        <v>-4.3874153353862731E-5</v>
      </c>
      <c r="AA319" s="129">
        <v>-1.5162460742956796E-4</v>
      </c>
    </row>
    <row r="320" spans="19:27" x14ac:dyDescent="0.2">
      <c r="S320" s="1"/>
      <c r="T320" s="109"/>
      <c r="W320" s="130" t="str">
        <f t="shared" si="14"/>
        <v>1D</v>
      </c>
      <c r="X320" s="128">
        <f>_xll.qlCalendarAdvance(Calendar,X319,W320,"f",FALSE)</f>
        <v>42683</v>
      </c>
      <c r="Y320" s="131">
        <f>_xll.qlCalendarAdvance(Calendar,X320,NDays&amp;"D")</f>
        <v>42685</v>
      </c>
      <c r="Z320" s="132">
        <v>-4.3211599828128509E-5</v>
      </c>
      <c r="AA320" s="129">
        <v>-1.4898284161013464E-4</v>
      </c>
    </row>
    <row r="321" spans="19:27" x14ac:dyDescent="0.2">
      <c r="S321" s="1"/>
      <c r="T321" s="109"/>
      <c r="W321" s="130" t="str">
        <f t="shared" si="14"/>
        <v>1D</v>
      </c>
      <c r="X321" s="128">
        <f>_xll.qlCalendarAdvance(Calendar,X320,W321,"f",FALSE)</f>
        <v>42684</v>
      </c>
      <c r="Y321" s="131">
        <f>_xll.qlCalendarAdvance(Calendar,X321,NDays&amp;"D")</f>
        <v>42688</v>
      </c>
      <c r="Z321" s="132">
        <v>-3.9860535494492005E-5</v>
      </c>
      <c r="AA321" s="129">
        <v>-1.464950979723767E-4</v>
      </c>
    </row>
    <row r="322" spans="19:27" x14ac:dyDescent="0.2">
      <c r="S322" s="1"/>
      <c r="T322" s="109"/>
      <c r="W322" s="130" t="str">
        <f t="shared" si="14"/>
        <v>1D</v>
      </c>
      <c r="X322" s="128">
        <f>_xll.qlCalendarAdvance(Calendar,X321,W322,"f",FALSE)</f>
        <v>42685</v>
      </c>
      <c r="Y322" s="131">
        <f>_xll.qlCalendarAdvance(Calendar,X322,NDays&amp;"D")</f>
        <v>42689</v>
      </c>
      <c r="Z322" s="132">
        <v>-3.879753168038917E-5</v>
      </c>
      <c r="AA322" s="129">
        <v>-1.453281445185084E-4</v>
      </c>
    </row>
    <row r="323" spans="19:27" x14ac:dyDescent="0.2">
      <c r="S323" s="1"/>
      <c r="T323" s="109"/>
      <c r="W323" s="130" t="str">
        <f t="shared" si="14"/>
        <v>1D</v>
      </c>
      <c r="X323" s="128">
        <f>_xll.qlCalendarAdvance(Calendar,X322,W323,"f",FALSE)</f>
        <v>42688</v>
      </c>
      <c r="Y323" s="131">
        <f>_xll.qlCalendarAdvance(Calendar,X323,NDays&amp;"D")</f>
        <v>42690</v>
      </c>
      <c r="Z323" s="132">
        <v>-3.7708095174164271E-5</v>
      </c>
      <c r="AA323" s="129">
        <v>-1.4420736081266483E-4</v>
      </c>
    </row>
    <row r="324" spans="19:27" x14ac:dyDescent="0.2">
      <c r="S324" s="1"/>
      <c r="T324" s="109"/>
      <c r="W324" s="130" t="str">
        <f t="shared" si="14"/>
        <v>1D</v>
      </c>
      <c r="X324" s="128">
        <f>_xll.qlCalendarAdvance(Calendar,X323,W324,"f",FALSE)</f>
        <v>42689</v>
      </c>
      <c r="Y324" s="131">
        <f>_xll.qlCalendarAdvance(Calendar,X324,NDays&amp;"D")</f>
        <v>42691</v>
      </c>
      <c r="Z324" s="132">
        <v>-3.6590929497240644E-5</v>
      </c>
      <c r="AA324" s="129">
        <v>-1.4313274673494192E-4</v>
      </c>
    </row>
    <row r="325" spans="19:27" x14ac:dyDescent="0.2">
      <c r="S325" s="1"/>
      <c r="T325" s="109"/>
      <c r="W325" s="130" t="str">
        <f t="shared" si="14"/>
        <v>1D</v>
      </c>
      <c r="X325" s="128">
        <f>_xll.qlCalendarAdvance(Calendar,X324,W325,"f",FALSE)</f>
        <v>42690</v>
      </c>
      <c r="Y325" s="131">
        <f>_xll.qlCalendarAdvance(Calendar,X325,NDays&amp;"D")</f>
        <v>42692</v>
      </c>
      <c r="Z325" s="132">
        <v>-3.5369706394791585E-5</v>
      </c>
      <c r="AA325" s="129">
        <v>-1.411373619042422E-4</v>
      </c>
    </row>
    <row r="326" spans="19:27" x14ac:dyDescent="0.2">
      <c r="S326" s="1"/>
      <c r="T326" s="109"/>
      <c r="W326" s="130" t="str">
        <f t="shared" si="14"/>
        <v>1D</v>
      </c>
      <c r="X326" s="128">
        <f>_xll.qlCalendarAdvance(Calendar,X325,W326,"f",FALSE)</f>
        <v>42691</v>
      </c>
      <c r="Y326" s="131">
        <f>_xll.qlCalendarAdvance(Calendar,X326,NDays&amp;"D")</f>
        <v>42695</v>
      </c>
      <c r="Z326" s="132">
        <v>-3.1819045409802086E-5</v>
      </c>
      <c r="AA326" s="129">
        <v>-1.3929598654538466E-4</v>
      </c>
    </row>
    <row r="327" spans="19:27" x14ac:dyDescent="0.2">
      <c r="S327" s="1"/>
      <c r="T327" s="109"/>
      <c r="W327" s="130" t="str">
        <f t="shared" si="14"/>
        <v>1D</v>
      </c>
      <c r="X327" s="128">
        <f>_xll.qlCalendarAdvance(Calendar,X326,W327,"f",FALSE)</f>
        <v>42692</v>
      </c>
      <c r="Y327" s="131">
        <f>_xll.qlCalendarAdvance(Calendar,X327,NDays&amp;"D")</f>
        <v>42696</v>
      </c>
      <c r="Z327" s="132">
        <v>-3.0543786606462362E-5</v>
      </c>
      <c r="AA327" s="129">
        <v>-1.3845222044839289E-4</v>
      </c>
    </row>
    <row r="328" spans="19:27" x14ac:dyDescent="0.2">
      <c r="S328" s="1"/>
      <c r="T328" s="109"/>
      <c r="W328" s="130" t="str">
        <f t="shared" si="14"/>
        <v>1D</v>
      </c>
      <c r="X328" s="128">
        <f>_xll.qlCalendarAdvance(Calendar,X327,W328,"f",FALSE)</f>
        <v>42695</v>
      </c>
      <c r="Y328" s="131">
        <f>_xll.qlCalendarAdvance(Calendar,X328,NDays&amp;"D")</f>
        <v>42697</v>
      </c>
      <c r="Z328" s="132">
        <v>-2.9233019708831676E-5</v>
      </c>
      <c r="AA328" s="129">
        <v>-1.3765462397952177E-4</v>
      </c>
    </row>
    <row r="329" spans="19:27" x14ac:dyDescent="0.2">
      <c r="S329" s="1"/>
      <c r="T329" s="109"/>
      <c r="W329" s="130" t="str">
        <f t="shared" si="14"/>
        <v>1D</v>
      </c>
      <c r="X329" s="128">
        <f>_xll.qlCalendarAdvance(Calendar,X328,W329,"f",FALSE)</f>
        <v>42696</v>
      </c>
      <c r="Y329" s="131">
        <f>_xll.qlCalendarAdvance(Calendar,X329,NDays&amp;"D")</f>
        <v>42698</v>
      </c>
      <c r="Z329" s="132">
        <v>-2.7885448220087092E-5</v>
      </c>
      <c r="AA329" s="129">
        <v>-1.3690319729864342E-4</v>
      </c>
    </row>
    <row r="330" spans="19:27" x14ac:dyDescent="0.2">
      <c r="S330" s="1"/>
      <c r="T330" s="109"/>
      <c r="W330" s="130" t="str">
        <f t="shared" si="14"/>
        <v>1D</v>
      </c>
      <c r="X330" s="128">
        <f>_xll.qlCalendarAdvance(Calendar,X329,W330,"f",FALSE)</f>
        <v>42697</v>
      </c>
      <c r="Y330" s="131">
        <f>_xll.qlCalendarAdvance(Calendar,X330,NDays&amp;"D")</f>
        <v>42699</v>
      </c>
      <c r="Z330" s="132">
        <v>-2.599742225963016E-5</v>
      </c>
      <c r="AA330" s="129">
        <v>-1.3555419137833979E-4</v>
      </c>
    </row>
    <row r="331" spans="19:27" x14ac:dyDescent="0.2">
      <c r="S331" s="1"/>
      <c r="T331" s="109"/>
      <c r="W331" s="130" t="str">
        <f t="shared" si="14"/>
        <v>1D</v>
      </c>
      <c r="X331" s="128">
        <f>_xll.qlCalendarAdvance(Calendar,X330,W331,"f",FALSE)</f>
        <v>42698</v>
      </c>
      <c r="Y331" s="131">
        <f>_xll.qlCalendarAdvance(Calendar,X331,NDays&amp;"D")</f>
        <v>42702</v>
      </c>
      <c r="Z331" s="132">
        <v>-2.2101186329754984E-5</v>
      </c>
      <c r="AA331" s="129">
        <v>-1.3435918637672017E-4</v>
      </c>
    </row>
    <row r="332" spans="19:27" x14ac:dyDescent="0.2">
      <c r="S332" s="1"/>
      <c r="T332" s="109"/>
      <c r="W332" s="130" t="str">
        <f t="shared" si="14"/>
        <v>1D</v>
      </c>
      <c r="X332" s="128">
        <f>_xll.qlCalendarAdvance(Calendar,X331,W332,"f",FALSE)</f>
        <v>42699</v>
      </c>
      <c r="Y332" s="131">
        <f>_xll.qlCalendarAdvance(Calendar,X332,NDays&amp;"D")</f>
        <v>42703</v>
      </c>
      <c r="Z332" s="132">
        <v>-2.0867589721690401E-5</v>
      </c>
      <c r="AA332" s="129">
        <v>-1.3383860767657296E-4</v>
      </c>
    </row>
    <row r="333" spans="19:27" x14ac:dyDescent="0.2">
      <c r="S333" s="1"/>
      <c r="T333" s="109"/>
      <c r="W333" s="130" t="str">
        <f t="shared" si="14"/>
        <v>1D</v>
      </c>
      <c r="X333" s="128">
        <f>_xll.qlCalendarAdvance(Calendar,X332,W333,"f",FALSE)</f>
        <v>42702</v>
      </c>
      <c r="Y333" s="131">
        <f>_xll.qlCalendarAdvance(Calendar,X333,NDays&amp;"D")</f>
        <v>42704</v>
      </c>
      <c r="Z333" s="132">
        <v>-1.9612363480359107E-5</v>
      </c>
      <c r="AA333" s="129">
        <v>-1.3336419856457837E-4</v>
      </c>
    </row>
    <row r="334" spans="19:27" x14ac:dyDescent="0.2">
      <c r="S334" s="1"/>
      <c r="T334" s="109"/>
      <c r="W334" s="130" t="str">
        <f t="shared" si="14"/>
        <v>1D</v>
      </c>
      <c r="X334" s="128">
        <f>_xll.qlCalendarAdvance(Calendar,X333,W334,"f",FALSE)</f>
        <v>42703</v>
      </c>
      <c r="Y334" s="131">
        <f>_xll.qlCalendarAdvance(Calendar,X334,NDays&amp;"D")</f>
        <v>42705</v>
      </c>
      <c r="Z334" s="132">
        <v>-1.8037908085410947E-5</v>
      </c>
      <c r="AA334" s="129">
        <v>-1.3293595916064049E-4</v>
      </c>
    </row>
    <row r="335" spans="19:27" x14ac:dyDescent="0.2">
      <c r="S335" s="1"/>
      <c r="T335" s="109"/>
      <c r="W335" s="130" t="str">
        <f t="shared" si="14"/>
        <v>1D</v>
      </c>
      <c r="X335" s="128">
        <f>_xll.qlCalendarAdvance(Calendar,X334,W335,"f",FALSE)</f>
        <v>42704</v>
      </c>
      <c r="Y335" s="131">
        <f>_xll.qlCalendarAdvance(Calendar,X335,NDays&amp;"D")</f>
        <v>42706</v>
      </c>
      <c r="Z335" s="132">
        <v>-1.6416852299805385E-5</v>
      </c>
      <c r="AA335" s="129">
        <v>-1.3223333041878504E-4</v>
      </c>
    </row>
    <row r="336" spans="19:27" x14ac:dyDescent="0.2">
      <c r="S336" s="1"/>
      <c r="T336" s="109"/>
      <c r="W336" s="130" t="str">
        <f t="shared" si="14"/>
        <v>1D</v>
      </c>
      <c r="X336" s="128">
        <f>_xll.qlCalendarAdvance(Calendar,X335,W336,"f",FALSE)</f>
        <v>42705</v>
      </c>
      <c r="Y336" s="131">
        <f>_xll.qlCalendarAdvance(Calendar,X336,NDays&amp;"D")</f>
        <v>42709</v>
      </c>
      <c r="Z336" s="132">
        <v>-1.0783462161014755E-5</v>
      </c>
      <c r="AA336" s="129">
        <v>-1.3168469754631928E-4</v>
      </c>
    </row>
    <row r="337" spans="19:27" x14ac:dyDescent="0.2">
      <c r="S337" s="1"/>
      <c r="T337" s="109"/>
      <c r="W337" s="130" t="str">
        <f t="shared" si="14"/>
        <v>1D</v>
      </c>
      <c r="X337" s="128">
        <f>_xll.qlCalendarAdvance(Calendar,X336,W337,"f",FALSE)</f>
        <v>42706</v>
      </c>
      <c r="Y337" s="131">
        <f>_xll.qlCalendarAdvance(Calendar,X337,NDays&amp;"D")</f>
        <v>42710</v>
      </c>
      <c r="Z337" s="132">
        <v>-9.4401185539716437E-6</v>
      </c>
      <c r="AA337" s="129">
        <v>-1.3148730628298466E-4</v>
      </c>
    </row>
    <row r="338" spans="19:27" x14ac:dyDescent="0.2">
      <c r="S338" s="1"/>
      <c r="T338" s="109"/>
      <c r="W338" s="130" t="str">
        <f t="shared" si="14"/>
        <v>1D</v>
      </c>
      <c r="X338" s="128">
        <f>_xll.qlCalendarAdvance(Calendar,X337,W338,"f",FALSE)</f>
        <v>42709</v>
      </c>
      <c r="Y338" s="131">
        <f>_xll.qlCalendarAdvance(Calendar,X338,NDays&amp;"D")</f>
        <v>42711</v>
      </c>
      <c r="Z338" s="132">
        <v>-7.5661807579230356E-6</v>
      </c>
      <c r="AA338" s="129">
        <v>-1.3133608444793055E-4</v>
      </c>
    </row>
    <row r="339" spans="19:27" x14ac:dyDescent="0.2">
      <c r="S339" s="1"/>
      <c r="T339" s="109"/>
      <c r="W339" s="130" t="str">
        <f t="shared" si="14"/>
        <v>1D</v>
      </c>
      <c r="X339" s="128">
        <f>_xll.qlCalendarAdvance(Calendar,X338,W339,"f",FALSE)</f>
        <v>42710</v>
      </c>
      <c r="Y339" s="131">
        <f>_xll.qlCalendarAdvance(Calendar,X339,NDays&amp;"D")</f>
        <v>42712</v>
      </c>
      <c r="Z339" s="132">
        <v>-5.6376905197552674E-6</v>
      </c>
      <c r="AA339" s="129">
        <v>-1.3123103248080525E-4</v>
      </c>
    </row>
    <row r="340" spans="19:27" x14ac:dyDescent="0.2">
      <c r="S340" s="1"/>
      <c r="T340" s="109"/>
      <c r="W340" s="130" t="str">
        <f t="shared" si="14"/>
        <v>1D</v>
      </c>
      <c r="X340" s="128">
        <f>_xll.qlCalendarAdvance(Calendar,X339,W340,"f",FALSE)</f>
        <v>42711</v>
      </c>
      <c r="Y340" s="131">
        <f>_xll.qlCalendarAdvance(Calendar,X340,NDays&amp;"D")</f>
        <v>42713</v>
      </c>
      <c r="Z340" s="132">
        <v>-3.6533224787582697E-6</v>
      </c>
      <c r="AA340" s="129">
        <v>-1.3117477918545006E-4</v>
      </c>
    </row>
    <row r="341" spans="19:27" x14ac:dyDescent="0.2">
      <c r="S341" s="1"/>
      <c r="T341" s="109"/>
      <c r="W341" s="130" t="str">
        <f t="shared" ref="W341:W404" si="15">W340</f>
        <v>1D</v>
      </c>
      <c r="X341" s="128">
        <f>_xll.qlCalendarAdvance(Calendar,X340,W341,"f",FALSE)</f>
        <v>42712</v>
      </c>
      <c r="Y341" s="131">
        <f>_xll.qlCalendarAdvance(Calendar,X341,NDays&amp;"D")</f>
        <v>42716</v>
      </c>
      <c r="Z341" s="132">
        <v>3.3733678250769117E-6</v>
      </c>
      <c r="AA341" s="129">
        <v>-1.3127252021405411E-4</v>
      </c>
    </row>
    <row r="342" spans="19:27" x14ac:dyDescent="0.2">
      <c r="S342" s="1"/>
      <c r="T342" s="109"/>
      <c r="W342" s="130" t="str">
        <f t="shared" si="15"/>
        <v>1D</v>
      </c>
      <c r="X342" s="128">
        <f>_xll.qlCalendarAdvance(Calendar,X341,W342,"f",FALSE)</f>
        <v>42713</v>
      </c>
      <c r="Y342" s="131">
        <f>_xll.qlCalendarAdvance(Calendar,X342,NDays&amp;"D")</f>
        <v>42717</v>
      </c>
      <c r="Z342" s="132">
        <v>4.869435023202584E-6</v>
      </c>
      <c r="AA342" s="129">
        <v>-1.3139831630759602E-4</v>
      </c>
    </row>
    <row r="343" spans="19:27" x14ac:dyDescent="0.2">
      <c r="S343" s="1"/>
      <c r="T343" s="109"/>
      <c r="W343" s="130" t="str">
        <f t="shared" si="15"/>
        <v>1D</v>
      </c>
      <c r="X343" s="128">
        <f>_xll.qlCalendarAdvance(Calendar,X342,W343,"f",FALSE)</f>
        <v>42716</v>
      </c>
      <c r="Y343" s="131">
        <f>_xll.qlCalendarAdvance(Calendar,X343,NDays&amp;"D")</f>
        <v>42718</v>
      </c>
      <c r="Z343" s="132">
        <v>7.1530726133417488E-6</v>
      </c>
      <c r="AA343" s="129">
        <v>-1.3157028186938646E-4</v>
      </c>
    </row>
    <row r="344" spans="19:27" x14ac:dyDescent="0.2">
      <c r="S344" s="1"/>
      <c r="T344" s="109"/>
      <c r="W344" s="130" t="str">
        <f t="shared" si="15"/>
        <v>1D</v>
      </c>
      <c r="X344" s="128">
        <f>_xll.qlCalendarAdvance(Calendar,X343,W344,"f",FALSE)</f>
        <v>42717</v>
      </c>
      <c r="Y344" s="131">
        <f>_xll.qlCalendarAdvance(Calendar,X344,NDays&amp;"D")</f>
        <v>42719</v>
      </c>
      <c r="Z344" s="132">
        <v>9.5005402593884014E-6</v>
      </c>
      <c r="AA344" s="129">
        <v>-1.3178841721916967E-4</v>
      </c>
    </row>
    <row r="345" spans="19:27" x14ac:dyDescent="0.2">
      <c r="S345" s="1"/>
      <c r="T345" s="109"/>
      <c r="W345" s="130" t="str">
        <f t="shared" si="15"/>
        <v>1D</v>
      </c>
      <c r="X345" s="128">
        <f>_xll.qlCalendarAdvance(Calendar,X344,W345,"f",FALSE)</f>
        <v>42718</v>
      </c>
      <c r="Y345" s="131">
        <f>_xll.qlCalendarAdvance(Calendar,X345,NDays&amp;"D")</f>
        <v>42720</v>
      </c>
      <c r="Z345" s="132">
        <v>1.1913163361576551E-5</v>
      </c>
      <c r="AA345" s="129">
        <v>-1.323785377049802E-4</v>
      </c>
    </row>
    <row r="346" spans="19:27" x14ac:dyDescent="0.2">
      <c r="S346" s="1"/>
      <c r="T346" s="109"/>
      <c r="W346" s="130" t="str">
        <f t="shared" si="15"/>
        <v>1D</v>
      </c>
      <c r="X346" s="128">
        <f>_xll.qlCalendarAdvance(Calendar,X345,W346,"f",FALSE)</f>
        <v>42719</v>
      </c>
      <c r="Y346" s="131">
        <f>_xll.qlCalendarAdvance(Calendar,X346,NDays&amp;"D")</f>
        <v>42723</v>
      </c>
      <c r="Z346" s="132">
        <v>2.0534409520459681E-5</v>
      </c>
      <c r="AA346" s="129">
        <v>-1.331226542999886E-4</v>
      </c>
    </row>
    <row r="347" spans="19:27" x14ac:dyDescent="0.2">
      <c r="S347" s="1"/>
      <c r="T347" s="109"/>
      <c r="W347" s="130" t="str">
        <f t="shared" si="15"/>
        <v>1D</v>
      </c>
      <c r="X347" s="128">
        <f>_xll.qlCalendarAdvance(Calendar,X346,W347,"f",FALSE)</f>
        <v>42720</v>
      </c>
      <c r="Y347" s="131">
        <f>_xll.qlCalendarAdvance(Calendar,X347,NDays&amp;"D")</f>
        <v>42724</v>
      </c>
      <c r="Z347" s="132">
        <v>2.2241718454552029E-5</v>
      </c>
      <c r="AA347" s="129">
        <v>-1.3357163783034309E-4</v>
      </c>
    </row>
    <row r="348" spans="19:27" x14ac:dyDescent="0.2">
      <c r="S348" s="1"/>
      <c r="T348" s="109"/>
      <c r="W348" s="130" t="str">
        <f t="shared" si="15"/>
        <v>1D</v>
      </c>
      <c r="X348" s="128">
        <f>_xll.qlCalendarAdvance(Calendar,X347,W348,"f",FALSE)</f>
        <v>42723</v>
      </c>
      <c r="Y348" s="131">
        <f>_xll.qlCalendarAdvance(Calendar,X348,NDays&amp;"D")</f>
        <v>42725</v>
      </c>
      <c r="Z348" s="132">
        <v>2.4999999999941735E-5</v>
      </c>
      <c r="AA348" s="129">
        <v>-1.3404691149077053E-4</v>
      </c>
    </row>
    <row r="349" spans="19:27" x14ac:dyDescent="0.2">
      <c r="S349" s="1"/>
      <c r="T349" s="109"/>
      <c r="W349" s="130" t="str">
        <f t="shared" si="15"/>
        <v>1D</v>
      </c>
      <c r="X349" s="128">
        <f>_xll.qlCalendarAdvance(Calendar,X348,W349,"f",FALSE)</f>
        <v>42724</v>
      </c>
      <c r="Y349" s="131">
        <f>_xll.qlCalendarAdvance(Calendar,X349,NDays&amp;"D")</f>
        <v>42726</v>
      </c>
      <c r="Z349" s="132">
        <v>2.7830975206200037E-5</v>
      </c>
      <c r="AA349" s="129">
        <v>-1.3446895896773725E-4</v>
      </c>
    </row>
    <row r="350" spans="19:27" x14ac:dyDescent="0.2">
      <c r="S350" s="1"/>
      <c r="T350" s="109"/>
      <c r="W350" s="130" t="str">
        <f t="shared" si="15"/>
        <v>1D</v>
      </c>
      <c r="X350" s="128">
        <f>_xll.qlCalendarAdvance(Calendar,X349,W350,"f",FALSE)</f>
        <v>42725</v>
      </c>
      <c r="Y350" s="131">
        <f>_xll.qlCalendarAdvance(Calendar,X350,NDays&amp;"D")</f>
        <v>42727</v>
      </c>
      <c r="Z350" s="132">
        <v>3.0733897968815427E-5</v>
      </c>
      <c r="AA350" s="129">
        <v>-1.3515847376299739E-4</v>
      </c>
    </row>
    <row r="351" spans="19:27" x14ac:dyDescent="0.2">
      <c r="S351" s="1"/>
      <c r="T351" s="109"/>
      <c r="W351" s="130" t="str">
        <f t="shared" si="15"/>
        <v>1D</v>
      </c>
      <c r="X351" s="128">
        <f>_xll.qlCalendarAdvance(Calendar,X350,W351,"f",FALSE)</f>
        <v>42726</v>
      </c>
      <c r="Y351" s="131">
        <f>_xll.qlCalendarAdvance(Calendar,X351,NDays&amp;"D")</f>
        <v>42731</v>
      </c>
      <c r="Z351" s="132">
        <v>4.3041856251591071E-5</v>
      </c>
      <c r="AA351" s="129">
        <v>-1.35482613168314E-4</v>
      </c>
    </row>
    <row r="352" spans="19:27" x14ac:dyDescent="0.2">
      <c r="S352" s="1"/>
      <c r="T352" s="109"/>
      <c r="W352" s="130" t="str">
        <f t="shared" si="15"/>
        <v>1D</v>
      </c>
      <c r="X352" s="128">
        <f>_xll.qlCalendarAdvance(Calendar,X351,W352,"f",FALSE)</f>
        <v>42727</v>
      </c>
      <c r="Y352" s="131">
        <f>_xll.qlCalendarAdvance(Calendar,X352,NDays&amp;"D")</f>
        <v>42732</v>
      </c>
      <c r="Z352" s="132">
        <v>4.6287110550657928E-5</v>
      </c>
      <c r="AA352" s="129">
        <v>-1.354660273955588E-4</v>
      </c>
    </row>
    <row r="353" spans="19:27" x14ac:dyDescent="0.2">
      <c r="S353" s="1"/>
      <c r="T353" s="109"/>
      <c r="W353" s="130" t="str">
        <f t="shared" si="15"/>
        <v>1D</v>
      </c>
      <c r="X353" s="128">
        <f>_xll.qlCalendarAdvance(Calendar,X352,W353,"f",FALSE)</f>
        <v>42731</v>
      </c>
      <c r="Y353" s="131">
        <f>_xll.qlCalendarAdvance(Calendar,X353,NDays&amp;"D")</f>
        <v>42733</v>
      </c>
      <c r="Z353" s="132">
        <v>4.9597349909724642E-5</v>
      </c>
      <c r="AA353" s="129">
        <v>-1.3537633602123123E-4</v>
      </c>
    </row>
    <row r="354" spans="19:27" x14ac:dyDescent="0.2">
      <c r="S354" s="1"/>
      <c r="T354" s="109"/>
      <c r="W354" s="130" t="str">
        <f t="shared" si="15"/>
        <v>1D</v>
      </c>
      <c r="X354" s="128">
        <f>_xll.qlCalendarAdvance(Calendar,X353,W354,"f",FALSE)</f>
        <v>42732</v>
      </c>
      <c r="Y354" s="131">
        <f>_xll.qlCalendarAdvance(Calendar,X354,NDays&amp;"D")</f>
        <v>42734</v>
      </c>
      <c r="Z354" s="132">
        <v>5.43023884205826E-5</v>
      </c>
      <c r="AA354" s="129">
        <v>2.3370949264389651E-3</v>
      </c>
    </row>
    <row r="355" spans="19:27" x14ac:dyDescent="0.2">
      <c r="S355" s="1"/>
      <c r="T355" s="109"/>
      <c r="W355" s="130" t="str">
        <f t="shared" si="15"/>
        <v>1D</v>
      </c>
      <c r="X355" s="128">
        <f>_xll.qlCalendarAdvance(Calendar,X354,W355,"f",FALSE)</f>
        <v>42733</v>
      </c>
      <c r="Y355" s="131">
        <f>_xll.qlCalendarAdvance(Calendar,X355,NDays&amp;"D")</f>
        <v>42737</v>
      </c>
      <c r="Z355" s="132">
        <v>-1.6626007207459953E-5</v>
      </c>
      <c r="AA355" s="129">
        <v>-1.3428651550739801E-4</v>
      </c>
    </row>
    <row r="356" spans="19:27" x14ac:dyDescent="0.2">
      <c r="S356" s="1"/>
      <c r="T356" s="109"/>
      <c r="W356" s="130" t="str">
        <f t="shared" si="15"/>
        <v>1D</v>
      </c>
      <c r="X356" s="128">
        <f>_xll.qlCalendarAdvance(Calendar,X355,W356,"f",FALSE)</f>
        <v>42734</v>
      </c>
      <c r="Y356" s="131">
        <f>_xll.qlCalendarAdvance(Calendar,X356,NDays&amp;"D")</f>
        <v>42738</v>
      </c>
      <c r="Z356" s="132">
        <v>-1.5318673940445393E-5</v>
      </c>
      <c r="AA356" s="129">
        <v>-1.338312965248889E-4</v>
      </c>
    </row>
    <row r="357" spans="19:27" x14ac:dyDescent="0.2">
      <c r="S357" s="1"/>
      <c r="T357" s="109"/>
      <c r="W357" s="130" t="str">
        <f t="shared" si="15"/>
        <v>1D</v>
      </c>
      <c r="X357" s="128">
        <f>_xll.qlCalendarAdvance(Calendar,X356,W357,"f",FALSE)</f>
        <v>42737</v>
      </c>
      <c r="Y357" s="131">
        <f>_xll.qlCalendarAdvance(Calendar,X357,NDays&amp;"D")</f>
        <v>42739</v>
      </c>
      <c r="Z357" s="132">
        <v>-1.1642968739788984E-5</v>
      </c>
      <c r="AA357" s="129">
        <v>-1.3330297194080742E-4</v>
      </c>
    </row>
    <row r="358" spans="19:27" x14ac:dyDescent="0.2">
      <c r="S358" s="1"/>
      <c r="T358" s="109"/>
      <c r="W358" s="130" t="str">
        <f t="shared" si="15"/>
        <v>1D</v>
      </c>
      <c r="X358" s="128">
        <f>_xll.qlCalendarAdvance(Calendar,X357,W358,"f",FALSE)</f>
        <v>42738</v>
      </c>
      <c r="Y358" s="131">
        <f>_xll.qlCalendarAdvance(Calendar,X358,NDays&amp;"D")</f>
        <v>42740</v>
      </c>
      <c r="Z358" s="132">
        <v>-7.9104025960674562E-6</v>
      </c>
      <c r="AA358" s="129">
        <v>-1.3270154195499373E-4</v>
      </c>
    </row>
    <row r="359" spans="19:27" x14ac:dyDescent="0.2">
      <c r="S359" s="1"/>
      <c r="T359" s="109"/>
      <c r="W359" s="130" t="str">
        <f t="shared" si="15"/>
        <v>1D</v>
      </c>
      <c r="X359" s="128">
        <f>_xll.qlCalendarAdvance(Calendar,X358,W359,"f",FALSE)</f>
        <v>42739</v>
      </c>
      <c r="Y359" s="131">
        <f>_xll.qlCalendarAdvance(Calendar,X359,NDays&amp;"D")</f>
        <v>42741</v>
      </c>
      <c r="Z359" s="132">
        <v>-4.1221359090570786E-6</v>
      </c>
      <c r="AA359" s="129">
        <v>-1.3125494882970656E-4</v>
      </c>
    </row>
    <row r="360" spans="19:27" x14ac:dyDescent="0.2">
      <c r="S360" s="1"/>
      <c r="T360" s="109"/>
      <c r="W360" s="130" t="str">
        <f t="shared" si="15"/>
        <v>1D</v>
      </c>
      <c r="X360" s="128">
        <f>_xll.qlCalendarAdvance(Calendar,X359,W360,"f",FALSE)</f>
        <v>42740</v>
      </c>
      <c r="Y360" s="131">
        <f>_xll.qlCalendarAdvance(Calendar,X360,NDays&amp;"D")</f>
        <v>42744</v>
      </c>
      <c r="Z360" s="132">
        <v>1.0013850446876948E-5</v>
      </c>
      <c r="AA360" s="129">
        <v>-1.295647662757915E-4</v>
      </c>
    </row>
    <row r="361" spans="19:27" x14ac:dyDescent="0.2">
      <c r="S361" s="1"/>
      <c r="T361" s="109"/>
      <c r="W361" s="130" t="str">
        <f t="shared" si="15"/>
        <v>1D</v>
      </c>
      <c r="X361" s="128">
        <f>_xll.qlCalendarAdvance(Calendar,X360,W361,"f",FALSE)</f>
        <v>42741</v>
      </c>
      <c r="Y361" s="131">
        <f>_xll.qlCalendarAdvance(Calendar,X361,NDays&amp;"D")</f>
        <v>42745</v>
      </c>
      <c r="Z361" s="132">
        <v>1.1564728128909962E-5</v>
      </c>
      <c r="AA361" s="129">
        <v>-1.2859780864182824E-4</v>
      </c>
    </row>
    <row r="362" spans="19:27" x14ac:dyDescent="0.2">
      <c r="S362" s="1"/>
      <c r="T362" s="109"/>
      <c r="W362" s="130" t="str">
        <f t="shared" si="15"/>
        <v>1D</v>
      </c>
      <c r="X362" s="128">
        <f>_xll.qlCalendarAdvance(Calendar,X361,W362,"f",FALSE)</f>
        <v>42744</v>
      </c>
      <c r="Y362" s="131">
        <f>_xll.qlCalendarAdvance(Calendar,X362,NDays&amp;"D")</f>
        <v>42746</v>
      </c>
      <c r="Z362" s="132">
        <v>1.5614091408266972E-5</v>
      </c>
      <c r="AA362" s="129">
        <v>-1.2755774520645247E-4</v>
      </c>
    </row>
    <row r="363" spans="19:27" x14ac:dyDescent="0.2">
      <c r="S363" s="1"/>
      <c r="T363" s="109"/>
      <c r="W363" s="130" t="str">
        <f t="shared" si="15"/>
        <v>1D</v>
      </c>
      <c r="X363" s="128">
        <f>_xll.qlCalendarAdvance(Calendar,X362,W363,"f",FALSE)</f>
        <v>42745</v>
      </c>
      <c r="Y363" s="131">
        <f>_xll.qlCalendarAdvance(Calendar,X363,NDays&amp;"D")</f>
        <v>42747</v>
      </c>
      <c r="Z363" s="132">
        <v>1.9712192764309577E-5</v>
      </c>
      <c r="AA363" s="129">
        <v>-1.2644457660915265E-4</v>
      </c>
    </row>
    <row r="364" spans="19:27" x14ac:dyDescent="0.2">
      <c r="S364" s="1"/>
      <c r="T364" s="109"/>
      <c r="W364" s="130" t="str">
        <f t="shared" si="15"/>
        <v>1D</v>
      </c>
      <c r="X364" s="128">
        <f>_xll.qlCalendarAdvance(Calendar,X363,W364,"f",FALSE)</f>
        <v>42746</v>
      </c>
      <c r="Y364" s="131">
        <f>_xll.qlCalendarAdvance(Calendar,X364,NDays&amp;"D")</f>
        <v>42748</v>
      </c>
      <c r="Z364" s="132">
        <v>2.3857871779497941E-5</v>
      </c>
      <c r="AA364" s="129">
        <v>-1.2397451097712064E-4</v>
      </c>
    </row>
    <row r="365" spans="19:27" x14ac:dyDescent="0.2">
      <c r="S365" s="1"/>
      <c r="T365" s="109"/>
      <c r="W365" s="130" t="str">
        <f t="shared" si="15"/>
        <v>1D</v>
      </c>
      <c r="X365" s="128">
        <f>_xll.qlCalendarAdvance(Calendar,X364,W365,"f",FALSE)</f>
        <v>42747</v>
      </c>
      <c r="Y365" s="131">
        <f>_xll.qlCalendarAdvance(Calendar,X365,NDays&amp;"D")</f>
        <v>42751</v>
      </c>
      <c r="Z365" s="132">
        <v>4.165535682995965E-5</v>
      </c>
      <c r="AA365" s="129">
        <v>-1.212608457645814E-4</v>
      </c>
    </row>
    <row r="366" spans="19:27" x14ac:dyDescent="0.2">
      <c r="S366" s="1"/>
      <c r="T366" s="109"/>
      <c r="W366" s="130" t="str">
        <f t="shared" si="15"/>
        <v>1D</v>
      </c>
      <c r="X366" s="128">
        <f>_xll.qlCalendarAdvance(Calendar,X365,W366,"f",FALSE)</f>
        <v>42748</v>
      </c>
      <c r="Y366" s="131">
        <f>_xll.qlCalendarAdvance(Calendar,X366,NDays&amp;"D")</f>
        <v>42752</v>
      </c>
      <c r="Z366" s="132">
        <v>4.3445659405006497E-5</v>
      </c>
      <c r="AA366" s="129">
        <v>-1.1978214919938779E-4</v>
      </c>
    </row>
    <row r="367" spans="19:27" x14ac:dyDescent="0.2">
      <c r="S367" s="1"/>
      <c r="T367" s="109"/>
      <c r="W367" s="130" t="str">
        <f t="shared" si="15"/>
        <v>1D</v>
      </c>
      <c r="X367" s="128">
        <f>_xll.qlCalendarAdvance(Calendar,X366,W367,"f",FALSE)</f>
        <v>42751</v>
      </c>
      <c r="Y367" s="131">
        <f>_xll.qlCalendarAdvance(Calendar,X367,NDays&amp;"D")</f>
        <v>42753</v>
      </c>
      <c r="Z367" s="132">
        <v>4.5259316781454118E-5</v>
      </c>
      <c r="AA367" s="129">
        <v>-1.1823034711255787E-4</v>
      </c>
    </row>
    <row r="368" spans="19:27" x14ac:dyDescent="0.2">
      <c r="S368" s="1"/>
      <c r="T368" s="109"/>
      <c r="W368" s="130" t="str">
        <f t="shared" si="15"/>
        <v>1D</v>
      </c>
      <c r="X368" s="128">
        <f>_xll.qlCalendarAdvance(Calendar,X367,W368,"f",FALSE)</f>
        <v>42752</v>
      </c>
      <c r="Y368" s="131">
        <f>_xll.qlCalendarAdvance(Calendar,X368,NDays&amp;"D")</f>
        <v>42754</v>
      </c>
      <c r="Z368" s="132">
        <v>4.9666092733602341E-5</v>
      </c>
      <c r="AA368" s="129">
        <v>-1.1660543958402769E-4</v>
      </c>
    </row>
    <row r="369" spans="19:27" x14ac:dyDescent="0.2">
      <c r="S369" s="1"/>
      <c r="T369" s="109"/>
      <c r="W369" s="130" t="str">
        <f t="shared" si="15"/>
        <v>1D</v>
      </c>
      <c r="X369" s="128">
        <f>_xll.qlCalendarAdvance(Calendar,X368,W369,"f",FALSE)</f>
        <v>42753</v>
      </c>
      <c r="Y369" s="131">
        <f>_xll.qlCalendarAdvance(Calendar,X369,NDays&amp;"D")</f>
        <v>42755</v>
      </c>
      <c r="Z369" s="132">
        <v>5.4112323309318811E-5</v>
      </c>
      <c r="AA369" s="129">
        <v>-1.1311190359020173E-4</v>
      </c>
    </row>
    <row r="370" spans="19:27" x14ac:dyDescent="0.2">
      <c r="S370" s="1"/>
      <c r="T370" s="109"/>
      <c r="W370" s="130" t="str">
        <f t="shared" si="15"/>
        <v>1D</v>
      </c>
      <c r="X370" s="128">
        <f>_xll.qlCalendarAdvance(Calendar,X369,W370,"f",FALSE)</f>
        <v>42754</v>
      </c>
      <c r="Y370" s="131">
        <f>_xll.qlCalendarAdvance(Calendar,X370,NDays&amp;"D")</f>
        <v>42758</v>
      </c>
      <c r="Z370" s="132">
        <v>7.0272480466736649E-5</v>
      </c>
      <c r="AA370" s="129">
        <v>-1.0937475353411941E-4</v>
      </c>
    </row>
    <row r="371" spans="19:27" x14ac:dyDescent="0.2">
      <c r="S371" s="1"/>
      <c r="T371" s="109"/>
      <c r="W371" s="130" t="str">
        <f t="shared" si="15"/>
        <v>1D</v>
      </c>
      <c r="X371" s="128">
        <f>_xll.qlCalendarAdvance(Calendar,X370,W371,"f",FALSE)</f>
        <v>42755</v>
      </c>
      <c r="Y371" s="131">
        <f>_xll.qlCalendarAdvance(Calendar,X371,NDays&amp;"D")</f>
        <v>42759</v>
      </c>
      <c r="Z371" s="132">
        <v>7.2268582800738557E-5</v>
      </c>
      <c r="AA371" s="129">
        <v>-1.0738431819756755E-4</v>
      </c>
    </row>
    <row r="372" spans="19:27" x14ac:dyDescent="0.2">
      <c r="S372" s="1"/>
      <c r="T372" s="109"/>
      <c r="W372" s="130" t="str">
        <f t="shared" si="15"/>
        <v>1D</v>
      </c>
      <c r="X372" s="128">
        <f>_xll.qlCalendarAdvance(Calendar,X371,W372,"f",FALSE)</f>
        <v>42758</v>
      </c>
      <c r="Y372" s="131">
        <f>_xll.qlCalendarAdvance(Calendar,X372,NDays&amp;"D")</f>
        <v>42760</v>
      </c>
      <c r="Z372" s="132">
        <v>7.6894679676975386E-5</v>
      </c>
      <c r="AA372" s="129">
        <v>-1.053207772194753E-4</v>
      </c>
    </row>
    <row r="373" spans="19:27" x14ac:dyDescent="0.2">
      <c r="S373" s="1"/>
      <c r="T373" s="109"/>
      <c r="W373" s="130" t="str">
        <f t="shared" si="15"/>
        <v>1D</v>
      </c>
      <c r="X373" s="128">
        <f>_xll.qlCalendarAdvance(Calendar,X372,W373,"f",FALSE)</f>
        <v>42759</v>
      </c>
      <c r="Y373" s="131">
        <f>_xll.qlCalendarAdvance(Calendar,X373,NDays&amp;"D")</f>
        <v>42761</v>
      </c>
      <c r="Z373" s="132">
        <v>8.1553268419298774E-5</v>
      </c>
      <c r="AA373" s="129">
        <v>-1.0318413083965083E-4</v>
      </c>
    </row>
    <row r="374" spans="19:27" x14ac:dyDescent="0.2">
      <c r="S374" s="1"/>
      <c r="T374" s="109"/>
      <c r="W374" s="130" t="str">
        <f t="shared" si="15"/>
        <v>1D</v>
      </c>
      <c r="X374" s="128">
        <f>_xll.qlCalendarAdvance(Calendar,X373,W374,"f",FALSE)</f>
        <v>42760</v>
      </c>
      <c r="Y374" s="131">
        <f>_xll.qlCalendarAdvance(Calendar,X374,NDays&amp;"D")</f>
        <v>42762</v>
      </c>
      <c r="Z374" s="132">
        <v>8.6243188556878181E-5</v>
      </c>
      <c r="AA374" s="129">
        <v>-9.8667125616458407E-5</v>
      </c>
    </row>
    <row r="375" spans="19:27" x14ac:dyDescent="0.2">
      <c r="S375" s="1"/>
      <c r="T375" s="109"/>
      <c r="W375" s="130" t="str">
        <f t="shared" si="15"/>
        <v>1D</v>
      </c>
      <c r="X375" s="128">
        <f>_xll.qlCalendarAdvance(Calendar,X374,W375,"f",FALSE)</f>
        <v>42761</v>
      </c>
      <c r="Y375" s="131">
        <f>_xll.qlCalendarAdvance(Calendar,X375,NDays&amp;"D")</f>
        <v>42765</v>
      </c>
      <c r="Z375" s="132">
        <v>9.5246894980174161E-5</v>
      </c>
      <c r="AA375" s="129">
        <v>-9.3906489304629304E-5</v>
      </c>
    </row>
    <row r="376" spans="19:27" x14ac:dyDescent="0.2">
      <c r="S376" s="1"/>
      <c r="T376" s="109"/>
      <c r="W376" s="130" t="str">
        <f t="shared" si="15"/>
        <v>1D</v>
      </c>
      <c r="X376" s="128">
        <f>_xll.qlCalendarAdvance(Calendar,X375,W376,"f",FALSE)</f>
        <v>42762</v>
      </c>
      <c r="Y376" s="131">
        <f>_xll.qlCalendarAdvance(Calendar,X376,NDays&amp;"D")</f>
        <v>42766</v>
      </c>
      <c r="Z376" s="132">
        <v>9.7421097223349896E-5</v>
      </c>
      <c r="AA376" s="129">
        <v>-9.1404315036847095E-5</v>
      </c>
    </row>
    <row r="377" spans="19:27" x14ac:dyDescent="0.2">
      <c r="S377" s="1"/>
      <c r="T377" s="109"/>
      <c r="W377" s="130" t="str">
        <f t="shared" si="15"/>
        <v>1D</v>
      </c>
      <c r="X377" s="128">
        <f>_xll.qlCalendarAdvance(Calendar,X376,W377,"f",FALSE)</f>
        <v>42765</v>
      </c>
      <c r="Y377" s="131">
        <f>_xll.qlCalendarAdvance(Calendar,X377,NDays&amp;"D")</f>
        <v>42767</v>
      </c>
      <c r="Z377" s="132">
        <v>1.1012214319716662E-4</v>
      </c>
      <c r="AA377" s="129">
        <v>-8.8829035247428578E-5</v>
      </c>
    </row>
    <row r="378" spans="19:27" x14ac:dyDescent="0.2">
      <c r="S378" s="1"/>
      <c r="T378" s="109"/>
      <c r="W378" s="130" t="str">
        <f t="shared" si="15"/>
        <v>1D</v>
      </c>
      <c r="X378" s="128">
        <f>_xll.qlCalendarAdvance(Calendar,X377,W378,"f",FALSE)</f>
        <v>42766</v>
      </c>
      <c r="Y378" s="131">
        <f>_xll.qlCalendarAdvance(Calendar,X378,NDays&amp;"D")</f>
        <v>42768</v>
      </c>
      <c r="Z378" s="132">
        <v>1.1235757742088377E-4</v>
      </c>
      <c r="AA378" s="129">
        <v>-8.6180649816469668E-5</v>
      </c>
    </row>
    <row r="379" spans="19:27" x14ac:dyDescent="0.2">
      <c r="S379" s="1"/>
      <c r="T379" s="109"/>
      <c r="W379" s="130" t="str">
        <f t="shared" si="15"/>
        <v>1D</v>
      </c>
      <c r="X379" s="128">
        <f>_xll.qlCalendarAdvance(Calendar,X378,W379,"f",FALSE)</f>
        <v>42767</v>
      </c>
      <c r="Y379" s="131">
        <f>_xll.qlCalendarAdvance(Calendar,X379,NDays&amp;"D")</f>
        <v>42769</v>
      </c>
      <c r="Z379" s="132">
        <v>1.17235893023145E-4</v>
      </c>
      <c r="AA379" s="129">
        <v>-8.0640175803559089E-5</v>
      </c>
    </row>
    <row r="380" spans="19:27" x14ac:dyDescent="0.2">
      <c r="S380" s="1"/>
      <c r="T380" s="109"/>
      <c r="W380" s="130" t="str">
        <f t="shared" si="15"/>
        <v>1D</v>
      </c>
      <c r="X380" s="128">
        <f>_xll.qlCalendarAdvance(Calendar,X379,W380,"f",FALSE)</f>
        <v>42768</v>
      </c>
      <c r="Y380" s="131">
        <f>_xll.qlCalendarAdvance(Calendar,X380,NDays&amp;"D")</f>
        <v>42772</v>
      </c>
      <c r="Z380" s="132">
        <v>1.3721194136763557E-4</v>
      </c>
      <c r="AA380" s="129">
        <v>-7.4856052636462778E-5</v>
      </c>
    </row>
    <row r="381" spans="19:27" x14ac:dyDescent="0.2">
      <c r="S381" s="1"/>
      <c r="T381" s="109"/>
      <c r="W381" s="130" t="str">
        <f t="shared" si="15"/>
        <v>1D</v>
      </c>
      <c r="X381" s="128">
        <f>_xll.qlCalendarAdvance(Calendar,X380,W381,"f",FALSE)</f>
        <v>42769</v>
      </c>
      <c r="Y381" s="131">
        <f>_xll.qlCalendarAdvance(Calendar,X381,NDays&amp;"D")</f>
        <v>42773</v>
      </c>
      <c r="Z381" s="132">
        <v>1.3956828143246724E-4</v>
      </c>
      <c r="AA381" s="129">
        <v>-7.1842139397482185E-5</v>
      </c>
    </row>
    <row r="382" spans="19:27" x14ac:dyDescent="0.2">
      <c r="S382" s="1"/>
      <c r="T382" s="109"/>
      <c r="W382" s="130" t="str">
        <f t="shared" si="15"/>
        <v>1D</v>
      </c>
      <c r="X382" s="128">
        <f>_xll.qlCalendarAdvance(Calendar,X381,W382,"f",FALSE)</f>
        <v>42772</v>
      </c>
      <c r="Y382" s="131">
        <f>_xll.qlCalendarAdvance(Calendar,X382,NDays&amp;"D")</f>
        <v>42774</v>
      </c>
      <c r="Z382" s="132">
        <v>1.4194370774587518E-4</v>
      </c>
      <c r="AA382" s="129">
        <v>-6.8755120556929228E-5</v>
      </c>
    </row>
    <row r="383" spans="19:27" x14ac:dyDescent="0.2">
      <c r="S383" s="1"/>
      <c r="T383" s="109"/>
      <c r="W383" s="130" t="str">
        <f t="shared" si="15"/>
        <v>1D</v>
      </c>
      <c r="X383" s="128">
        <f>_xll.qlCalendarAdvance(Calendar,X382,W383,"f",FALSE)</f>
        <v>42773</v>
      </c>
      <c r="Y383" s="131">
        <f>_xll.qlCalendarAdvance(Calendar,X383,NDays&amp;"D")</f>
        <v>42775</v>
      </c>
      <c r="Z383" s="132">
        <v>1.4694030305506409E-4</v>
      </c>
      <c r="AA383" s="129">
        <v>-6.5594996234707992E-5</v>
      </c>
    </row>
    <row r="384" spans="19:27" x14ac:dyDescent="0.2">
      <c r="S384" s="1"/>
      <c r="T384" s="109"/>
      <c r="W384" s="130" t="str">
        <f t="shared" si="15"/>
        <v>1D</v>
      </c>
      <c r="X384" s="128">
        <f>_xll.qlCalendarAdvance(Calendar,X383,W384,"f",FALSE)</f>
        <v>42774</v>
      </c>
      <c r="Y384" s="131">
        <f>_xll.qlCalendarAdvance(Calendar,X384,NDays&amp;"D")</f>
        <v>42776</v>
      </c>
      <c r="Z384" s="132">
        <v>1.5195250413081962E-4</v>
      </c>
      <c r="AA384" s="129">
        <v>-5.9031052512814597E-5</v>
      </c>
    </row>
    <row r="385" spans="19:27" x14ac:dyDescent="0.2">
      <c r="S385" s="1"/>
      <c r="T385" s="109"/>
      <c r="W385" s="130" t="str">
        <f t="shared" si="15"/>
        <v>1D</v>
      </c>
      <c r="X385" s="128">
        <f>_xll.qlCalendarAdvance(Calendar,X384,W385,"f",FALSE)</f>
        <v>42775</v>
      </c>
      <c r="Y385" s="131">
        <f>_xll.qlCalendarAdvance(Calendar,X385,NDays&amp;"D")</f>
        <v>42779</v>
      </c>
      <c r="Z385" s="132">
        <v>1.7220279833030704E-4</v>
      </c>
      <c r="AA385" s="129">
        <v>-5.2223442890131366E-5</v>
      </c>
    </row>
    <row r="386" spans="19:27" x14ac:dyDescent="0.2">
      <c r="S386" s="1"/>
      <c r="T386" s="109"/>
      <c r="W386" s="130" t="str">
        <f t="shared" si="15"/>
        <v>1D</v>
      </c>
      <c r="X386" s="128">
        <f>_xll.qlCalendarAdvance(Calendar,X385,W386,"f",FALSE)</f>
        <v>42776</v>
      </c>
      <c r="Y386" s="131">
        <f>_xll.qlCalendarAdvance(Calendar,X386,NDays&amp;"D")</f>
        <v>42780</v>
      </c>
      <c r="Z386" s="132">
        <v>1.746964485755953E-4</v>
      </c>
      <c r="AA386" s="129">
        <v>-4.8697790639984362E-5</v>
      </c>
    </row>
    <row r="387" spans="19:27" x14ac:dyDescent="0.2">
      <c r="S387" s="1"/>
      <c r="T387" s="109"/>
      <c r="W387" s="130" t="str">
        <f t="shared" si="15"/>
        <v>1D</v>
      </c>
      <c r="X387" s="128">
        <f>_xll.qlCalendarAdvance(Calendar,X386,W387,"f",FALSE)</f>
        <v>42779</v>
      </c>
      <c r="Y387" s="131">
        <f>_xll.qlCalendarAdvance(Calendar,X387,NDays&amp;"D")</f>
        <v>42781</v>
      </c>
      <c r="Z387" s="132">
        <v>1.7720652017771954E-4</v>
      </c>
      <c r="AA387" s="129">
        <v>-4.5099032628392877E-5</v>
      </c>
    </row>
    <row r="388" spans="19:27" x14ac:dyDescent="0.2">
      <c r="S388" s="1"/>
      <c r="T388" s="109"/>
      <c r="W388" s="130" t="str">
        <f t="shared" si="15"/>
        <v>1D</v>
      </c>
      <c r="X388" s="128">
        <f>_xll.qlCalendarAdvance(Calendar,X387,W388,"f",FALSE)</f>
        <v>42780</v>
      </c>
      <c r="Y388" s="131">
        <f>_xll.qlCalendarAdvance(Calendar,X388,NDays&amp;"D")</f>
        <v>42782</v>
      </c>
      <c r="Z388" s="132">
        <v>1.8228771026483265E-4</v>
      </c>
      <c r="AA388" s="129">
        <v>-4.1427169255037199E-5</v>
      </c>
    </row>
    <row r="389" spans="19:27" x14ac:dyDescent="0.2">
      <c r="S389" s="1"/>
      <c r="T389" s="109"/>
      <c r="W389" s="130" t="str">
        <f t="shared" si="15"/>
        <v>1D</v>
      </c>
      <c r="X389" s="128">
        <f>_xll.qlCalendarAdvance(Calendar,X388,W389,"f",FALSE)</f>
        <v>42781</v>
      </c>
      <c r="Y389" s="131">
        <f>_xll.qlCalendarAdvance(Calendar,X389,NDays&amp;"D")</f>
        <v>42783</v>
      </c>
      <c r="Z389" s="132">
        <v>1.8737629086531561E-4</v>
      </c>
      <c r="AA389" s="129">
        <v>-3.3839753839082221E-5</v>
      </c>
    </row>
    <row r="390" spans="19:27" x14ac:dyDescent="0.2">
      <c r="S390" s="1"/>
      <c r="T390" s="109"/>
      <c r="W390" s="130" t="str">
        <f t="shared" si="15"/>
        <v>1D</v>
      </c>
      <c r="X390" s="128">
        <f>_xll.qlCalendarAdvance(Calendar,X389,W390,"f",FALSE)</f>
        <v>42782</v>
      </c>
      <c r="Y390" s="131">
        <f>_xll.qlCalendarAdvance(Calendar,X390,NDays&amp;"D")</f>
        <v>42786</v>
      </c>
      <c r="Z390" s="132">
        <v>2.0768281605410609E-4</v>
      </c>
      <c r="AA390" s="129">
        <v>-2.6008659506082665E-5</v>
      </c>
    </row>
    <row r="391" spans="19:27" x14ac:dyDescent="0.2">
      <c r="S391" s="1"/>
      <c r="T391" s="109"/>
      <c r="W391" s="130" t="str">
        <f t="shared" si="15"/>
        <v>1D</v>
      </c>
      <c r="X391" s="128">
        <f>_xll.qlCalendarAdvance(Calendar,X390,W391,"f",FALSE)</f>
        <v>42783</v>
      </c>
      <c r="Y391" s="131">
        <f>_xll.qlCalendarAdvance(Calendar,X391,NDays&amp;"D")</f>
        <v>42787</v>
      </c>
      <c r="Z391" s="132">
        <v>2.1027940319662264E-4</v>
      </c>
      <c r="AA391" s="129">
        <v>-2.1971268004961075E-5</v>
      </c>
    </row>
    <row r="392" spans="19:27" x14ac:dyDescent="0.2">
      <c r="S392" s="1"/>
      <c r="T392" s="109"/>
      <c r="W392" s="130" t="str">
        <f t="shared" si="15"/>
        <v>1D</v>
      </c>
      <c r="X392" s="128">
        <f>_xll.qlCalendarAdvance(Calendar,X391,W392,"f",FALSE)</f>
        <v>42786</v>
      </c>
      <c r="Y392" s="131">
        <f>_xll.qlCalendarAdvance(Calendar,X392,NDays&amp;"D")</f>
        <v>42788</v>
      </c>
      <c r="Z392" s="132">
        <v>2.1288897429276414E-4</v>
      </c>
      <c r="AA392" s="129">
        <v>-1.7860770942235149E-5</v>
      </c>
    </row>
    <row r="393" spans="19:27" x14ac:dyDescent="0.2">
      <c r="S393" s="1"/>
      <c r="T393" s="109"/>
      <c r="W393" s="130" t="str">
        <f t="shared" si="15"/>
        <v>1D</v>
      </c>
      <c r="X393" s="128">
        <f>_xll.qlCalendarAdvance(Calendar,X392,W393,"f",FALSE)</f>
        <v>42787</v>
      </c>
      <c r="Y393" s="131">
        <f>_xll.qlCalendarAdvance(Calendar,X393,NDays&amp;"D")</f>
        <v>42789</v>
      </c>
      <c r="Z393" s="132">
        <v>2.1799725152049767E-4</v>
      </c>
      <c r="AA393" s="129">
        <v>-1.36771681980008E-5</v>
      </c>
    </row>
    <row r="394" spans="19:27" x14ac:dyDescent="0.2">
      <c r="S394" s="1"/>
      <c r="T394" s="109"/>
      <c r="W394" s="130" t="str">
        <f t="shared" si="15"/>
        <v>1D</v>
      </c>
      <c r="X394" s="128">
        <f>_xll.qlCalendarAdvance(Calendar,X393,W394,"f",FALSE)</f>
        <v>42788</v>
      </c>
      <c r="Y394" s="131">
        <f>_xll.qlCalendarAdvance(Calendar,X394,NDays&amp;"D")</f>
        <v>42790</v>
      </c>
      <c r="Z394" s="132">
        <v>2.2310470372009547E-4</v>
      </c>
      <c r="AA394" s="129">
        <v>-5.066277490861637E-6</v>
      </c>
    </row>
    <row r="395" spans="19:27" x14ac:dyDescent="0.2">
      <c r="S395" s="1"/>
      <c r="T395" s="109"/>
      <c r="W395" s="130" t="str">
        <f t="shared" si="15"/>
        <v>1D</v>
      </c>
      <c r="X395" s="128">
        <f>_xll.qlCalendarAdvance(Calendar,X394,W395,"f",FALSE)</f>
        <v>42789</v>
      </c>
      <c r="Y395" s="131">
        <f>_xll.qlCalendarAdvance(Calendar,X395,NDays&amp;"D")</f>
        <v>42793</v>
      </c>
      <c r="Z395" s="132">
        <v>2.4325828476567824E-4</v>
      </c>
      <c r="AA395" s="129">
        <v>3.7882984749160187E-6</v>
      </c>
    </row>
    <row r="396" spans="19:27" x14ac:dyDescent="0.2">
      <c r="S396" s="1"/>
      <c r="T396" s="109"/>
      <c r="W396" s="130" t="str">
        <f t="shared" si="15"/>
        <v>1D</v>
      </c>
      <c r="X396" s="128">
        <f>_xll.qlCalendarAdvance(Calendar,X395,W396,"f",FALSE)</f>
        <v>42790</v>
      </c>
      <c r="Y396" s="131">
        <f>_xll.qlCalendarAdvance(Calendar,X396,NDays&amp;"D")</f>
        <v>42794</v>
      </c>
      <c r="Z396" s="132">
        <v>2.5072158193149781E-4</v>
      </c>
      <c r="AA396" s="129">
        <v>8.3374293069482519E-6</v>
      </c>
    </row>
    <row r="397" spans="19:27" x14ac:dyDescent="0.2">
      <c r="S397" s="1"/>
      <c r="T397" s="109"/>
      <c r="W397" s="130" t="str">
        <f t="shared" si="15"/>
        <v>1D</v>
      </c>
      <c r="X397" s="128">
        <f>_xll.qlCalendarAdvance(Calendar,X396,W397,"f",FALSE)</f>
        <v>42793</v>
      </c>
      <c r="Y397" s="131">
        <f>_xll.qlCalendarAdvance(Calendar,X397,NDays&amp;"D")</f>
        <v>42795</v>
      </c>
      <c r="Z397" s="132">
        <v>2.55768346390879E-4</v>
      </c>
      <c r="AA397" s="129">
        <v>1.2959665580680735E-5</v>
      </c>
    </row>
    <row r="398" spans="19:27" x14ac:dyDescent="0.2">
      <c r="S398" s="1"/>
      <c r="T398" s="109"/>
      <c r="W398" s="130" t="str">
        <f t="shared" si="15"/>
        <v>1D</v>
      </c>
      <c r="X398" s="128">
        <f>_xll.qlCalendarAdvance(Calendar,X397,W398,"f",FALSE)</f>
        <v>42794</v>
      </c>
      <c r="Y398" s="131">
        <f>_xll.qlCalendarAdvance(Calendar,X398,NDays&amp;"D")</f>
        <v>42796</v>
      </c>
      <c r="Z398" s="132">
        <v>2.6080647833816371E-4</v>
      </c>
      <c r="AA398" s="129">
        <v>1.7655007615857699E-5</v>
      </c>
    </row>
    <row r="399" spans="19:27" x14ac:dyDescent="0.2">
      <c r="S399" s="1"/>
      <c r="T399" s="109"/>
      <c r="W399" s="130" t="str">
        <f t="shared" si="15"/>
        <v>1D</v>
      </c>
      <c r="X399" s="128">
        <f>_xll.qlCalendarAdvance(Calendar,X398,W399,"f",FALSE)</f>
        <v>42795</v>
      </c>
      <c r="Y399" s="131">
        <f>_xll.qlCalendarAdvance(Calendar,X399,NDays&amp;"D")</f>
        <v>42797</v>
      </c>
      <c r="Z399" s="132">
        <v>2.7051704931432531E-4</v>
      </c>
      <c r="AA399" s="129">
        <v>2.7289379076478326E-5</v>
      </c>
    </row>
    <row r="400" spans="19:27" x14ac:dyDescent="0.2">
      <c r="S400" s="1"/>
      <c r="T400" s="109"/>
      <c r="W400" s="130" t="str">
        <f t="shared" si="15"/>
        <v>1D</v>
      </c>
      <c r="X400" s="128">
        <f>_xll.qlCalendarAdvance(Calendar,X399,W400,"f",FALSE)</f>
        <v>42796</v>
      </c>
      <c r="Y400" s="131">
        <f>_xll.qlCalendarAdvance(Calendar,X400,NDays&amp;"D")</f>
        <v>42800</v>
      </c>
      <c r="Z400" s="132">
        <v>2.808499720507524E-4</v>
      </c>
      <c r="AA400" s="129">
        <v>3.7167431852225263E-5</v>
      </c>
    </row>
    <row r="401" spans="19:27" x14ac:dyDescent="0.2">
      <c r="S401" s="1"/>
      <c r="T401" s="109"/>
      <c r="W401" s="130" t="str">
        <f t="shared" si="15"/>
        <v>1D</v>
      </c>
      <c r="X401" s="128">
        <f>_xll.qlCalendarAdvance(Calendar,X400,W401,"f",FALSE)</f>
        <v>42797</v>
      </c>
      <c r="Y401" s="131">
        <f>_xll.qlCalendarAdvance(Calendar,X401,NDays&amp;"D")</f>
        <v>42801</v>
      </c>
      <c r="Z401" s="132">
        <v>2.8582790966851624E-4</v>
      </c>
      <c r="AA401" s="129">
        <v>4.2228301975200111E-5</v>
      </c>
    </row>
    <row r="402" spans="19:27" x14ac:dyDescent="0.2">
      <c r="S402" s="1"/>
      <c r="T402" s="109"/>
      <c r="W402" s="130" t="str">
        <f t="shared" si="15"/>
        <v>1D</v>
      </c>
      <c r="X402" s="128">
        <f>_xll.qlCalendarAdvance(Calendar,X401,W402,"f",FALSE)</f>
        <v>42800</v>
      </c>
      <c r="Y402" s="131">
        <f>_xll.qlCalendarAdvance(Calendar,X402,NDays&amp;"D")</f>
        <v>42802</v>
      </c>
      <c r="Z402" s="132">
        <v>2.9079040202555751E-4</v>
      </c>
      <c r="AA402" s="129">
        <v>4.7362277859619439E-5</v>
      </c>
    </row>
    <row r="403" spans="19:27" x14ac:dyDescent="0.2">
      <c r="S403" s="1"/>
      <c r="T403" s="109"/>
      <c r="W403" s="130" t="str">
        <f t="shared" si="15"/>
        <v>1D</v>
      </c>
      <c r="X403" s="128">
        <f>_xll.qlCalendarAdvance(Calendar,X402,W403,"f",FALSE)</f>
        <v>42801</v>
      </c>
      <c r="Y403" s="131">
        <f>_xll.qlCalendarAdvance(Calendar,X403,NDays&amp;"D")</f>
        <v>42803</v>
      </c>
      <c r="Z403" s="132">
        <v>2.9573631364407745E-4</v>
      </c>
      <c r="AA403" s="129">
        <v>5.2569359345611133E-5</v>
      </c>
    </row>
    <row r="404" spans="19:27" x14ac:dyDescent="0.2">
      <c r="S404" s="1"/>
      <c r="T404" s="109"/>
      <c r="W404" s="130" t="str">
        <f t="shared" si="15"/>
        <v>1D</v>
      </c>
      <c r="X404" s="128">
        <f>_xll.qlCalendarAdvance(Calendar,X403,W404,"f",FALSE)</f>
        <v>42802</v>
      </c>
      <c r="Y404" s="131">
        <f>_xll.qlCalendarAdvance(Calendar,X404,NDays&amp;"D")</f>
        <v>42804</v>
      </c>
      <c r="Z404" s="132">
        <v>3.0514550262339635E-4</v>
      </c>
      <c r="AA404" s="129">
        <v>6.3227218740635749E-5</v>
      </c>
    </row>
    <row r="405" spans="19:27" x14ac:dyDescent="0.2">
      <c r="S405" s="1"/>
      <c r="T405" s="109"/>
      <c r="W405" s="130" t="str">
        <f t="shared" ref="W405:W468" si="16">W404</f>
        <v>1D</v>
      </c>
      <c r="X405" s="128">
        <f>_xll.qlCalendarAdvance(Calendar,X404,W405,"f",FALSE)</f>
        <v>42803</v>
      </c>
      <c r="Y405" s="131">
        <f>_xll.qlCalendarAdvance(Calendar,X405,NDays&amp;"D")</f>
        <v>42807</v>
      </c>
      <c r="Z405" s="132">
        <v>3.1533144297539152E-4</v>
      </c>
      <c r="AA405" s="129">
        <v>7.4128741545109733E-5</v>
      </c>
    </row>
    <row r="406" spans="19:27" x14ac:dyDescent="0.2">
      <c r="S406" s="1"/>
      <c r="T406" s="109"/>
      <c r="W406" s="130" t="str">
        <f t="shared" si="16"/>
        <v>1D</v>
      </c>
      <c r="X406" s="128">
        <f>_xll.qlCalendarAdvance(Calendar,X405,W406,"f",FALSE)</f>
        <v>42804</v>
      </c>
      <c r="Y406" s="131">
        <f>_xll.qlCalendarAdvance(Calendar,X406,NDays&amp;"D")</f>
        <v>42808</v>
      </c>
      <c r="Z406" s="132">
        <v>3.2017741853882799E-4</v>
      </c>
      <c r="AA406" s="129">
        <v>7.9701351278771426E-5</v>
      </c>
    </row>
    <row r="407" spans="19:27" x14ac:dyDescent="0.2">
      <c r="S407" s="1"/>
      <c r="T407" s="109"/>
      <c r="W407" s="130" t="str">
        <f t="shared" si="16"/>
        <v>1D</v>
      </c>
      <c r="X407" s="128">
        <f>_xll.qlCalendarAdvance(Calendar,X406,W407,"f",FALSE)</f>
        <v>42807</v>
      </c>
      <c r="Y407" s="131">
        <f>_xll.qlCalendarAdvance(Calendar,X407,NDays&amp;"D")</f>
        <v>42809</v>
      </c>
      <c r="Z407" s="132">
        <v>3.2500000038052215E-4</v>
      </c>
      <c r="AA407" s="129">
        <v>8.53470667738776E-5</v>
      </c>
    </row>
    <row r="408" spans="19:27" x14ac:dyDescent="0.2">
      <c r="S408" s="1"/>
      <c r="T408" s="109"/>
      <c r="W408" s="130" t="str">
        <f t="shared" si="16"/>
        <v>1D</v>
      </c>
      <c r="X408" s="128">
        <f>_xll.qlCalendarAdvance(Calendar,X407,W408,"f",FALSE)</f>
        <v>42808</v>
      </c>
      <c r="Y408" s="131">
        <f>_xll.qlCalendarAdvance(Calendar,X408,NDays&amp;"D")</f>
        <v>42810</v>
      </c>
      <c r="Z408" s="132">
        <v>3.2979813494149468E-4</v>
      </c>
      <c r="AA408" s="129">
        <v>9.1065887790620081E-5</v>
      </c>
    </row>
    <row r="409" spans="19:27" x14ac:dyDescent="0.2">
      <c r="S409" s="1"/>
      <c r="T409" s="109"/>
      <c r="W409" s="130" t="str">
        <f t="shared" si="16"/>
        <v>1D</v>
      </c>
      <c r="X409" s="128">
        <f>_xll.qlCalendarAdvance(Calendar,X408,W409,"f",FALSE)</f>
        <v>42809</v>
      </c>
      <c r="Y409" s="131">
        <f>_xll.qlCalendarAdvance(Calendar,X409,NDays&amp;"D")</f>
        <v>42811</v>
      </c>
      <c r="Z409" s="132">
        <v>3.3884233378027876E-4</v>
      </c>
      <c r="AA409" s="129">
        <v>1.0274724476566632E-4</v>
      </c>
    </row>
    <row r="410" spans="19:27" x14ac:dyDescent="0.2">
      <c r="S410" s="1"/>
      <c r="T410" s="109"/>
      <c r="W410" s="130" t="str">
        <f t="shared" si="16"/>
        <v>1D</v>
      </c>
      <c r="X410" s="128">
        <f>_xll.qlCalendarAdvance(Calendar,X409,W410,"f",FALSE)</f>
        <v>42810</v>
      </c>
      <c r="Y410" s="131">
        <f>_xll.qlCalendarAdvance(Calendar,X410,NDays&amp;"D")</f>
        <v>42814</v>
      </c>
      <c r="Z410" s="132">
        <v>3.487325052418401E-4</v>
      </c>
      <c r="AA410" s="129">
        <v>1.1467222883254635E-4</v>
      </c>
    </row>
    <row r="411" spans="19:27" x14ac:dyDescent="0.2">
      <c r="S411" s="1"/>
      <c r="T411" s="109"/>
      <c r="W411" s="130" t="str">
        <f t="shared" si="16"/>
        <v>1D</v>
      </c>
      <c r="X411" s="128">
        <f>_xll.qlCalendarAdvance(Calendar,X410,W411,"f",FALSE)</f>
        <v>42811</v>
      </c>
      <c r="Y411" s="131">
        <f>_xll.qlCalendarAdvance(Calendar,X411,NDays&amp;"D")</f>
        <v>42815</v>
      </c>
      <c r="Z411" s="132">
        <v>3.5339833691069253E-4</v>
      </c>
      <c r="AA411" s="129">
        <v>1.207391698621052E-4</v>
      </c>
    </row>
    <row r="412" spans="19:27" x14ac:dyDescent="0.2">
      <c r="S412" s="1"/>
      <c r="T412" s="109"/>
      <c r="W412" s="130" t="str">
        <f t="shared" si="16"/>
        <v>1D</v>
      </c>
      <c r="X412" s="128">
        <f>_xll.qlCalendarAdvance(Calendar,X411,W412,"f",FALSE)</f>
        <v>42814</v>
      </c>
      <c r="Y412" s="131">
        <f>_xll.qlCalendarAdvance(Calendar,X412,NDays&amp;"D")</f>
        <v>42816</v>
      </c>
      <c r="Z412" s="132">
        <v>3.580359658811075E-4</v>
      </c>
      <c r="AA412" s="129">
        <v>1.2679217419986344E-4</v>
      </c>
    </row>
    <row r="413" spans="19:27" x14ac:dyDescent="0.2">
      <c r="S413" s="1"/>
      <c r="T413" s="109"/>
      <c r="W413" s="130" t="str">
        <f t="shared" si="16"/>
        <v>1D</v>
      </c>
      <c r="X413" s="128">
        <f>_xll.qlCalendarAdvance(Calendar,X412,W413,"f",FALSE)</f>
        <v>42815</v>
      </c>
      <c r="Y413" s="131">
        <f>_xll.qlCalendarAdvance(Calendar,X413,NDays&amp;"D")</f>
        <v>42817</v>
      </c>
      <c r="Z413" s="132">
        <v>3.62645694561618E-4</v>
      </c>
      <c r="AA413" s="129">
        <v>1.3281383369090349E-4</v>
      </c>
    </row>
    <row r="414" spans="19:27" x14ac:dyDescent="0.2">
      <c r="S414" s="1"/>
      <c r="T414" s="109"/>
      <c r="W414" s="130" t="str">
        <f t="shared" si="16"/>
        <v>1D</v>
      </c>
      <c r="X414" s="128">
        <f>_xll.qlCalendarAdvance(Calendar,X413,W414,"f",FALSE)</f>
        <v>42816</v>
      </c>
      <c r="Y414" s="131">
        <f>_xll.qlCalendarAdvance(Calendar,X414,NDays&amp;"D")</f>
        <v>42818</v>
      </c>
      <c r="Z414" s="132">
        <v>3.7132271238485574E-4</v>
      </c>
      <c r="AA414" s="129">
        <v>1.4475272729796984E-4</v>
      </c>
    </row>
    <row r="415" spans="19:27" x14ac:dyDescent="0.2">
      <c r="S415" s="1"/>
      <c r="T415" s="109"/>
      <c r="W415" s="130" t="str">
        <f t="shared" si="16"/>
        <v>1D</v>
      </c>
      <c r="X415" s="128">
        <f>_xll.qlCalendarAdvance(Calendar,X414,W415,"f",FALSE)</f>
        <v>42817</v>
      </c>
      <c r="Y415" s="131">
        <f>_xll.qlCalendarAdvance(Calendar,X415,NDays&amp;"D")</f>
        <v>42821</v>
      </c>
      <c r="Z415" s="132">
        <v>3.8081543938511581E-4</v>
      </c>
      <c r="AA415" s="129">
        <v>1.5658702110954437E-4</v>
      </c>
    </row>
    <row r="416" spans="19:27" x14ac:dyDescent="0.2">
      <c r="S416" s="1"/>
      <c r="T416" s="109"/>
      <c r="W416" s="130" t="str">
        <f t="shared" si="16"/>
        <v>1D</v>
      </c>
      <c r="X416" s="128">
        <f>_xll.qlCalendarAdvance(Calendar,X415,W416,"f",FALSE)</f>
        <v>42818</v>
      </c>
      <c r="Y416" s="131">
        <f>_xll.qlCalendarAdvance(Calendar,X416,NDays&amp;"D")</f>
        <v>42822</v>
      </c>
      <c r="Z416" s="132">
        <v>3.8529304140036538E-4</v>
      </c>
      <c r="AA416" s="129">
        <v>1.6245195540776081E-4</v>
      </c>
    </row>
    <row r="417" spans="19:27" x14ac:dyDescent="0.2">
      <c r="S417" s="1"/>
      <c r="T417" s="109"/>
      <c r="W417" s="130" t="str">
        <f t="shared" si="16"/>
        <v>1D</v>
      </c>
      <c r="X417" s="128">
        <f>_xll.qlCalendarAdvance(Calendar,X416,W417,"f",FALSE)</f>
        <v>42821</v>
      </c>
      <c r="Y417" s="131">
        <f>_xll.qlCalendarAdvance(Calendar,X417,NDays&amp;"D")</f>
        <v>42823</v>
      </c>
      <c r="Z417" s="132">
        <v>3.8974569306078925E-4</v>
      </c>
      <c r="AA417" s="129">
        <v>1.6828554461945089E-4</v>
      </c>
    </row>
    <row r="418" spans="19:27" x14ac:dyDescent="0.2">
      <c r="S418" s="1"/>
      <c r="T418" s="109"/>
      <c r="W418" s="130" t="str">
        <f t="shared" si="16"/>
        <v>1D</v>
      </c>
      <c r="X418" s="128">
        <f>_xll.qlCalendarAdvance(Calendar,X417,W418,"f",FALSE)</f>
        <v>42822</v>
      </c>
      <c r="Y418" s="131">
        <f>_xll.qlCalendarAdvance(Calendar,X418,NDays&amp;"D")</f>
        <v>42824</v>
      </c>
      <c r="Z418" s="132">
        <v>3.9417388603483258E-4</v>
      </c>
      <c r="AA418" s="129">
        <v>1.7408778890448673E-4</v>
      </c>
    </row>
    <row r="419" spans="19:27" x14ac:dyDescent="0.2">
      <c r="S419" s="1"/>
      <c r="T419" s="109"/>
      <c r="W419" s="130" t="str">
        <f t="shared" si="16"/>
        <v>1D</v>
      </c>
      <c r="X419" s="128">
        <f>_xll.qlCalendarAdvance(Calendar,X418,W419,"f",FALSE)</f>
        <v>42823</v>
      </c>
      <c r="Y419" s="131">
        <f>_xll.qlCalendarAdvance(Calendar,X419,NDays&amp;"D")</f>
        <v>42825</v>
      </c>
      <c r="Z419" s="132">
        <v>3.9659222279143393E-4</v>
      </c>
      <c r="AA419" s="129">
        <v>1.8558788950961969E-4</v>
      </c>
    </row>
    <row r="420" spans="19:27" x14ac:dyDescent="0.2">
      <c r="S420" s="1"/>
      <c r="T420" s="109"/>
      <c r="W420" s="130" t="str">
        <f t="shared" si="16"/>
        <v>1D</v>
      </c>
      <c r="X420" s="128">
        <f>_xll.qlCalendarAdvance(Calendar,X419,W420,"f",FALSE)</f>
        <v>42824</v>
      </c>
      <c r="Y420" s="131">
        <f>_xll.qlCalendarAdvance(Calendar,X420,NDays&amp;"D")</f>
        <v>42828</v>
      </c>
      <c r="Z420" s="132">
        <v>4.0969015002918302E-4</v>
      </c>
      <c r="AA420" s="129">
        <v>1.9698331541917469E-4</v>
      </c>
    </row>
    <row r="421" spans="19:27" x14ac:dyDescent="0.2">
      <c r="S421" s="1"/>
      <c r="T421" s="109"/>
      <c r="W421" s="130" t="str">
        <f t="shared" si="16"/>
        <v>1D</v>
      </c>
      <c r="X421" s="128">
        <f>_xll.qlCalendarAdvance(Calendar,X420,W421,"f",FALSE)</f>
        <v>42825</v>
      </c>
      <c r="Y421" s="131">
        <f>_xll.qlCalendarAdvance(Calendar,X421,NDays&amp;"D")</f>
        <v>42829</v>
      </c>
      <c r="Z421" s="132">
        <v>4.1401067339682802E-4</v>
      </c>
      <c r="AA421" s="129">
        <v>2.0262883443145085E-4</v>
      </c>
    </row>
    <row r="422" spans="19:27" x14ac:dyDescent="0.2">
      <c r="S422" s="1"/>
      <c r="T422" s="109"/>
      <c r="W422" s="130" t="str">
        <f t="shared" si="16"/>
        <v>1D</v>
      </c>
      <c r="X422" s="128">
        <f>_xll.qlCalendarAdvance(Calendar,X421,W422,"f",FALSE)</f>
        <v>42828</v>
      </c>
      <c r="Y422" s="131">
        <f>_xll.qlCalendarAdvance(Calendar,X422,NDays&amp;"D")</f>
        <v>42830</v>
      </c>
      <c r="Z422" s="132">
        <v>4.1830929904918359E-4</v>
      </c>
      <c r="AA422" s="129">
        <v>2.0824300843713672E-4</v>
      </c>
    </row>
    <row r="423" spans="19:27" x14ac:dyDescent="0.2">
      <c r="S423" s="1"/>
      <c r="T423" s="109"/>
      <c r="W423" s="130" t="str">
        <f t="shared" si="16"/>
        <v>1D</v>
      </c>
      <c r="X423" s="128">
        <f>_xll.qlCalendarAdvance(Calendar,X422,W423,"f",FALSE)</f>
        <v>42829</v>
      </c>
      <c r="Y423" s="131">
        <f>_xll.qlCalendarAdvance(Calendar,X423,NDays&amp;"D")</f>
        <v>42831</v>
      </c>
      <c r="Z423" s="132">
        <v>4.2258652406994263E-4</v>
      </c>
      <c r="AA423" s="129">
        <v>2.1382583743623229E-4</v>
      </c>
    </row>
    <row r="424" spans="19:27" x14ac:dyDescent="0.2">
      <c r="S424" s="1"/>
      <c r="T424" s="109"/>
      <c r="W424" s="130" t="str">
        <f t="shared" si="16"/>
        <v>1D</v>
      </c>
      <c r="X424" s="128">
        <f>_xll.qlCalendarAdvance(Calendar,X423,W424,"f",FALSE)</f>
        <v>42830</v>
      </c>
      <c r="Y424" s="131">
        <f>_xll.qlCalendarAdvance(Calendar,X424,NDays&amp;"D")</f>
        <v>42832</v>
      </c>
      <c r="Z424" s="132">
        <v>4.2684284554982545E-4</v>
      </c>
      <c r="AA424" s="129">
        <v>2.2488715226032241E-4</v>
      </c>
    </row>
    <row r="425" spans="19:27" x14ac:dyDescent="0.2">
      <c r="S425" s="1"/>
      <c r="T425" s="109"/>
      <c r="W425" s="130" t="str">
        <f t="shared" si="16"/>
        <v>1D</v>
      </c>
      <c r="X425" s="128">
        <f>_xll.qlCalendarAdvance(Calendar,X424,W425,"f",FALSE)</f>
        <v>42831</v>
      </c>
      <c r="Y425" s="131">
        <f>_xll.qlCalendarAdvance(Calendar,X425,NDays&amp;"D")</f>
        <v>42835</v>
      </c>
      <c r="Z425" s="132">
        <v>4.3949135966986537E-4</v>
      </c>
      <c r="AA425" s="129">
        <v>2.3584370264728705E-4</v>
      </c>
    </row>
    <row r="426" spans="19:27" x14ac:dyDescent="0.2">
      <c r="S426" s="1"/>
      <c r="T426" s="109"/>
      <c r="W426" s="130" t="str">
        <f t="shared" si="16"/>
        <v>1D</v>
      </c>
      <c r="X426" s="128">
        <f>_xll.qlCalendarAdvance(Calendar,X425,W426,"f",FALSE)</f>
        <v>42832</v>
      </c>
      <c r="Y426" s="131">
        <f>_xll.qlCalendarAdvance(Calendar,X426,NDays&amp;"D")</f>
        <v>42836</v>
      </c>
      <c r="Z426" s="132">
        <v>4.436690379241901E-4</v>
      </c>
      <c r="AA426" s="129">
        <v>2.4126980637362294E-4</v>
      </c>
    </row>
    <row r="427" spans="19:27" x14ac:dyDescent="0.2">
      <c r="S427" s="1"/>
      <c r="T427" s="109"/>
      <c r="W427" s="130" t="str">
        <f t="shared" si="16"/>
        <v>1D</v>
      </c>
      <c r="X427" s="128">
        <f>_xll.qlCalendarAdvance(Calendar,X426,W427,"f",FALSE)</f>
        <v>42835</v>
      </c>
      <c r="Y427" s="131">
        <f>_xll.qlCalendarAdvance(Calendar,X427,NDays&amp;"D")</f>
        <v>42837</v>
      </c>
      <c r="Z427" s="132">
        <v>4.4782829811934908E-4</v>
      </c>
      <c r="AA427" s="129">
        <v>2.4666456501343248E-4</v>
      </c>
    </row>
    <row r="428" spans="19:27" x14ac:dyDescent="0.2">
      <c r="S428" s="1"/>
      <c r="T428" s="109"/>
      <c r="W428" s="130" t="str">
        <f t="shared" si="16"/>
        <v>1D</v>
      </c>
      <c r="X428" s="128">
        <f>_xll.qlCalendarAdvance(Calendar,X427,W428,"f",FALSE)</f>
        <v>42836</v>
      </c>
      <c r="Y428" s="131">
        <f>_xll.qlCalendarAdvance(Calendar,X428,NDays&amp;"D")</f>
        <v>42838</v>
      </c>
      <c r="Z428" s="132">
        <v>4.5196963735923883E-4</v>
      </c>
      <c r="AA428" s="129">
        <v>2.6262980876445852E-4</v>
      </c>
    </row>
    <row r="429" spans="19:27" x14ac:dyDescent="0.2">
      <c r="S429" s="1"/>
      <c r="T429" s="109"/>
      <c r="W429" s="130" t="str">
        <f t="shared" si="16"/>
        <v>1D</v>
      </c>
      <c r="X429" s="128">
        <f>_xll.qlCalendarAdvance(Calendar,X428,W429,"f",FALSE)</f>
        <v>42837</v>
      </c>
      <c r="Y429" s="131">
        <f>_xll.qlCalendarAdvance(Calendar,X429,NDays&amp;"D")</f>
        <v>42843</v>
      </c>
      <c r="Z429" s="132">
        <v>4.7242491801096639E-4</v>
      </c>
      <c r="AA429" s="129">
        <v>2.7837487083459678E-4</v>
      </c>
    </row>
    <row r="430" spans="19:27" x14ac:dyDescent="0.2">
      <c r="S430" s="1"/>
      <c r="T430" s="109"/>
      <c r="W430" s="130" t="str">
        <f t="shared" si="16"/>
        <v>1D</v>
      </c>
      <c r="X430" s="128">
        <f>_xll.qlCalendarAdvance(Calendar,X429,W430,"f",FALSE)</f>
        <v>42838</v>
      </c>
      <c r="Y430" s="131">
        <f>_xll.qlCalendarAdvance(Calendar,X430,NDays&amp;"D")</f>
        <v>42844</v>
      </c>
      <c r="Z430" s="132">
        <v>4.7646917082141087E-4</v>
      </c>
      <c r="AA430" s="129">
        <v>2.8355021410852999E-4</v>
      </c>
    </row>
    <row r="431" spans="19:27" x14ac:dyDescent="0.2">
      <c r="S431" s="1"/>
      <c r="T431" s="109"/>
      <c r="W431" s="130" t="str">
        <f t="shared" si="16"/>
        <v>1D</v>
      </c>
      <c r="X431" s="128">
        <f>_xll.qlCalendarAdvance(Calendar,X430,W431,"f",FALSE)</f>
        <v>42843</v>
      </c>
      <c r="Y431" s="131">
        <f>_xll.qlCalendarAdvance(Calendar,X431,NDays&amp;"D")</f>
        <v>42845</v>
      </c>
      <c r="Z431" s="132">
        <v>4.8049898246535098E-4</v>
      </c>
      <c r="AA431" s="129">
        <v>2.8869421221600078E-4</v>
      </c>
    </row>
    <row r="432" spans="19:27" x14ac:dyDescent="0.2">
      <c r="S432" s="1"/>
      <c r="T432" s="109"/>
      <c r="W432" s="130" t="str">
        <f t="shared" si="16"/>
        <v>1D</v>
      </c>
      <c r="X432" s="128">
        <f>_xll.qlCalendarAdvance(Calendar,X431,W432,"f",FALSE)</f>
        <v>42844</v>
      </c>
      <c r="Y432" s="131">
        <f>_xll.qlCalendarAdvance(Calendar,X432,NDays&amp;"D")</f>
        <v>42846</v>
      </c>
      <c r="Z432" s="132">
        <v>4.8451485006600843E-4</v>
      </c>
      <c r="AA432" s="129">
        <v>2.9887797319716469E-4</v>
      </c>
    </row>
    <row r="433" spans="19:27" x14ac:dyDescent="0.2">
      <c r="S433" s="1"/>
      <c r="T433" s="109"/>
      <c r="W433" s="130" t="str">
        <f t="shared" si="16"/>
        <v>1D</v>
      </c>
      <c r="X433" s="128">
        <f>_xll.qlCalendarAdvance(Calendar,X432,W433,"f",FALSE)</f>
        <v>42845</v>
      </c>
      <c r="Y433" s="131">
        <f>_xll.qlCalendarAdvance(Calendar,X433,NDays&amp;"D")</f>
        <v>42849</v>
      </c>
      <c r="Z433" s="132">
        <v>4.9648375984401554E-4</v>
      </c>
      <c r="AA433" s="129">
        <v>3.0895675434017278E-4</v>
      </c>
    </row>
    <row r="434" spans="19:27" x14ac:dyDescent="0.2">
      <c r="S434" s="1"/>
      <c r="T434" s="109"/>
      <c r="W434" s="130" t="str">
        <f t="shared" si="16"/>
        <v>1D</v>
      </c>
      <c r="X434" s="128">
        <f>_xll.qlCalendarAdvance(Calendar,X433,W434,"f",FALSE)</f>
        <v>42846</v>
      </c>
      <c r="Y434" s="131">
        <f>_xll.qlCalendarAdvance(Calendar,X434,NDays&amp;"D")</f>
        <v>42850</v>
      </c>
      <c r="Z434" s="132">
        <v>5.0044882252396302E-4</v>
      </c>
      <c r="AA434" s="129">
        <v>3.139440271748839E-4</v>
      </c>
    </row>
    <row r="435" spans="19:27" x14ac:dyDescent="0.2">
      <c r="S435" s="1"/>
      <c r="T435" s="109"/>
      <c r="W435" s="130" t="str">
        <f t="shared" si="16"/>
        <v>1D</v>
      </c>
      <c r="X435" s="128">
        <f>_xll.qlCalendarAdvance(Calendar,X434,W435,"f",FALSE)</f>
        <v>42849</v>
      </c>
      <c r="Y435" s="131">
        <f>_xll.qlCalendarAdvance(Calendar,X435,NDays&amp;"D")</f>
        <v>42851</v>
      </c>
      <c r="Z435" s="132">
        <v>5.0440242680045363E-4</v>
      </c>
      <c r="AA435" s="129">
        <v>3.1889995500300472E-4</v>
      </c>
    </row>
    <row r="436" spans="19:27" x14ac:dyDescent="0.2">
      <c r="S436" s="1"/>
      <c r="T436" s="109"/>
      <c r="W436" s="130" t="str">
        <f t="shared" si="16"/>
        <v>1D</v>
      </c>
      <c r="X436" s="128">
        <f>_xll.qlCalendarAdvance(Calendar,X435,W436,"f",FALSE)</f>
        <v>42850</v>
      </c>
      <c r="Y436" s="131">
        <f>_xll.qlCalendarAdvance(Calendar,X436,NDays&amp;"D")</f>
        <v>42852</v>
      </c>
      <c r="Z436" s="132">
        <v>5.0834506980549331E-4</v>
      </c>
      <c r="AA436" s="129">
        <v>3.2382453766466313E-4</v>
      </c>
    </row>
    <row r="437" spans="19:27" x14ac:dyDescent="0.2">
      <c r="S437" s="1"/>
      <c r="T437" s="109"/>
      <c r="W437" s="130" t="str">
        <f t="shared" si="16"/>
        <v>1D</v>
      </c>
      <c r="X437" s="128">
        <f>_xll.qlCalendarAdvance(Calendar,X436,W437,"f",FALSE)</f>
        <v>42851</v>
      </c>
      <c r="Y437" s="131">
        <f>_xll.qlCalendarAdvance(Calendar,X437,NDays&amp;"D")</f>
        <v>42853</v>
      </c>
      <c r="Z437" s="132">
        <v>5.1793930405573841E-4</v>
      </c>
      <c r="AA437" s="129">
        <v>3.3597973934984537E-4</v>
      </c>
    </row>
    <row r="438" spans="19:27" x14ac:dyDescent="0.2">
      <c r="S438" s="1"/>
      <c r="T438" s="109"/>
      <c r="W438" s="130" t="str">
        <f t="shared" si="16"/>
        <v>1D</v>
      </c>
      <c r="X438" s="128">
        <f>_xll.qlCalendarAdvance(Calendar,X437,W438,"f",FALSE)</f>
        <v>42852</v>
      </c>
      <c r="Y438" s="131">
        <f>_xll.qlCalendarAdvance(Calendar,X438,NDays&amp;"D")</f>
        <v>42857</v>
      </c>
      <c r="Z438" s="132">
        <v>5.2980103174125827E-4</v>
      </c>
      <c r="AA438" s="129">
        <v>3.4797727515467614E-4</v>
      </c>
    </row>
    <row r="439" spans="19:27" x14ac:dyDescent="0.2">
      <c r="S439" s="1"/>
      <c r="T439" s="109"/>
      <c r="W439" s="130" t="str">
        <f t="shared" si="16"/>
        <v>1D</v>
      </c>
      <c r="X439" s="128">
        <f>_xll.qlCalendarAdvance(Calendar,X438,W439,"f",FALSE)</f>
        <v>42853</v>
      </c>
      <c r="Y439" s="131">
        <f>_xll.qlCalendarAdvance(Calendar,X439,NDays&amp;"D")</f>
        <v>42858</v>
      </c>
      <c r="Z439" s="132">
        <v>5.3369018819379602E-4</v>
      </c>
      <c r="AA439" s="129">
        <v>3.527137872971764E-4</v>
      </c>
    </row>
    <row r="440" spans="19:27" x14ac:dyDescent="0.2">
      <c r="S440" s="1"/>
      <c r="T440" s="109"/>
      <c r="W440" s="130" t="str">
        <f t="shared" si="16"/>
        <v>1D</v>
      </c>
      <c r="X440" s="128">
        <f>_xll.qlCalendarAdvance(Calendar,X439,W440,"f",FALSE)</f>
        <v>42857</v>
      </c>
      <c r="Y440" s="131">
        <f>_xll.qlCalendarAdvance(Calendar,X440,NDays&amp;"D")</f>
        <v>42859</v>
      </c>
      <c r="Z440" s="132">
        <v>5.3757209578221619E-4</v>
      </c>
      <c r="AA440" s="129">
        <v>3.5741895451302241E-4</v>
      </c>
    </row>
    <row r="441" spans="19:27" x14ac:dyDescent="0.2">
      <c r="S441" s="1"/>
      <c r="T441" s="109"/>
      <c r="W441" s="130" t="str">
        <f t="shared" si="16"/>
        <v>1D</v>
      </c>
      <c r="X441" s="128">
        <f>_xll.qlCalendarAdvance(Calendar,X440,W441,"f",FALSE)</f>
        <v>42858</v>
      </c>
      <c r="Y441" s="131">
        <f>_xll.qlCalendarAdvance(Calendar,X441,NDays&amp;"D")</f>
        <v>42860</v>
      </c>
      <c r="Z441" s="132">
        <v>5.452491598725201E-4</v>
      </c>
      <c r="AA441" s="129">
        <v>3.6672517870428578E-4</v>
      </c>
    </row>
    <row r="442" spans="19:27" x14ac:dyDescent="0.2">
      <c r="S442" s="1"/>
      <c r="T442" s="109"/>
      <c r="W442" s="130" t="str">
        <f t="shared" si="16"/>
        <v>1D</v>
      </c>
      <c r="X442" s="128">
        <f>_xll.qlCalendarAdvance(Calendar,X441,W442,"f",FALSE)</f>
        <v>42859</v>
      </c>
      <c r="Y442" s="131">
        <f>_xll.qlCalendarAdvance(Calendar,X442,NDays&amp;"D")</f>
        <v>42863</v>
      </c>
      <c r="Z442" s="132">
        <v>5.5303707246147425E-4</v>
      </c>
      <c r="AA442" s="129">
        <v>3.7592617235127079E-4</v>
      </c>
    </row>
    <row r="443" spans="19:27" x14ac:dyDescent="0.2">
      <c r="S443" s="1"/>
      <c r="T443" s="109"/>
      <c r="W443" s="130" t="str">
        <f t="shared" si="16"/>
        <v>1D</v>
      </c>
      <c r="X443" s="128">
        <f>_xll.qlCalendarAdvance(Calendar,X442,W443,"f",FALSE)</f>
        <v>42860</v>
      </c>
      <c r="Y443" s="131">
        <f>_xll.qlCalendarAdvance(Calendar,X443,NDays&amp;"D")</f>
        <v>42864</v>
      </c>
      <c r="Z443" s="132">
        <v>5.5689011197674503E-4</v>
      </c>
      <c r="AA443" s="129">
        <v>3.8047461389467685E-4</v>
      </c>
    </row>
    <row r="444" spans="19:27" x14ac:dyDescent="0.2">
      <c r="S444" s="1"/>
      <c r="T444" s="109"/>
      <c r="W444" s="130" t="str">
        <f t="shared" si="16"/>
        <v>1D</v>
      </c>
      <c r="X444" s="128">
        <f>_xll.qlCalendarAdvance(Calendar,X443,W444,"f",FALSE)</f>
        <v>42863</v>
      </c>
      <c r="Y444" s="131">
        <f>_xll.qlCalendarAdvance(Calendar,X444,NDays&amp;"D")</f>
        <v>42865</v>
      </c>
      <c r="Z444" s="132">
        <v>5.6073885314685782E-4</v>
      </c>
      <c r="AA444" s="129">
        <v>3.8499171075123684E-4</v>
      </c>
    </row>
    <row r="445" spans="19:27" x14ac:dyDescent="0.2">
      <c r="S445" s="1"/>
      <c r="T445" s="109"/>
      <c r="W445" s="130" t="str">
        <f t="shared" si="16"/>
        <v>1D</v>
      </c>
      <c r="X445" s="128">
        <f>_xll.qlCalendarAdvance(Calendar,X444,W445,"f",FALSE)</f>
        <v>42864</v>
      </c>
      <c r="Y445" s="131">
        <f>_xll.qlCalendarAdvance(Calendar,X445,NDays&amp;"D")</f>
        <v>42866</v>
      </c>
      <c r="Z445" s="132">
        <v>5.6458378772540683E-4</v>
      </c>
      <c r="AA445" s="129">
        <v>3.8947746212159018E-4</v>
      </c>
    </row>
    <row r="446" spans="19:27" x14ac:dyDescent="0.2">
      <c r="S446" s="1"/>
      <c r="T446" s="109"/>
      <c r="W446" s="130" t="str">
        <f t="shared" si="16"/>
        <v>1D</v>
      </c>
      <c r="X446" s="128">
        <f>_xll.qlCalendarAdvance(Calendar,X445,W446,"f",FALSE)</f>
        <v>42865</v>
      </c>
      <c r="Y446" s="131">
        <f>_xll.qlCalendarAdvance(Calendar,X446,NDays&amp;"D")</f>
        <v>42867</v>
      </c>
      <c r="Z446" s="132">
        <v>5.722730370170693E-4</v>
      </c>
      <c r="AA446" s="129">
        <v>3.9834492246093589E-4</v>
      </c>
    </row>
    <row r="447" spans="19:27" x14ac:dyDescent="0.2">
      <c r="S447" s="1"/>
      <c r="T447" s="109"/>
      <c r="W447" s="130" t="str">
        <f t="shared" si="16"/>
        <v>1D</v>
      </c>
      <c r="X447" s="128">
        <f>_xll.qlCalendarAdvance(Calendar,X446,W447,"f",FALSE)</f>
        <v>42866</v>
      </c>
      <c r="Y447" s="131">
        <f>_xll.qlCalendarAdvance(Calendar,X447,NDays&amp;"D")</f>
        <v>42870</v>
      </c>
      <c r="Z447" s="132">
        <v>5.7993529542697277E-4</v>
      </c>
      <c r="AA447" s="129">
        <v>4.071070176170366E-4</v>
      </c>
    </row>
    <row r="448" spans="19:27" x14ac:dyDescent="0.2">
      <c r="S448" s="1"/>
      <c r="T448" s="109"/>
      <c r="W448" s="130" t="str">
        <f t="shared" si="16"/>
        <v>1D</v>
      </c>
      <c r="X448" s="128">
        <f>_xll.qlCalendarAdvance(Calendar,X447,W448,"f",FALSE)</f>
        <v>42867</v>
      </c>
      <c r="Y448" s="131">
        <f>_xll.qlCalendarAdvance(Calendar,X448,NDays&amp;"D")</f>
        <v>42871</v>
      </c>
      <c r="Z448" s="132">
        <v>5.8376857352886841E-4</v>
      </c>
      <c r="AA448" s="129">
        <v>4.114360434748221E-4</v>
      </c>
    </row>
    <row r="449" spans="19:27" x14ac:dyDescent="0.2">
      <c r="S449" s="1"/>
      <c r="T449" s="109"/>
      <c r="W449" s="130" t="str">
        <f t="shared" si="16"/>
        <v>1D</v>
      </c>
      <c r="X449" s="128">
        <f>_xll.qlCalendarAdvance(Calendar,X448,W449,"f",FALSE)</f>
        <v>42870</v>
      </c>
      <c r="Y449" s="131">
        <f>_xll.qlCalendarAdvance(Calendar,X449,NDays&amp;"D")</f>
        <v>42872</v>
      </c>
      <c r="Z449" s="132">
        <v>5.8760099564417797E-4</v>
      </c>
      <c r="AA449" s="129">
        <v>4.1573372464576153E-4</v>
      </c>
    </row>
    <row r="450" spans="19:27" x14ac:dyDescent="0.2">
      <c r="S450" s="1"/>
      <c r="T450" s="109"/>
      <c r="W450" s="130" t="str">
        <f t="shared" si="16"/>
        <v>1D</v>
      </c>
      <c r="X450" s="128">
        <f>_xll.qlCalendarAdvance(Calendar,X449,W450,"f",FALSE)</f>
        <v>42871</v>
      </c>
      <c r="Y450" s="131">
        <f>_xll.qlCalendarAdvance(Calendar,X450,NDays&amp;"D")</f>
        <v>42873</v>
      </c>
      <c r="Z450" s="132">
        <v>5.9143305354387337E-4</v>
      </c>
      <c r="AA450" s="129">
        <v>4.2000006057030248E-4</v>
      </c>
    </row>
    <row r="451" spans="19:27" x14ac:dyDescent="0.2">
      <c r="S451" s="1"/>
      <c r="T451" s="109"/>
      <c r="W451" s="130" t="str">
        <f t="shared" si="16"/>
        <v>1D</v>
      </c>
      <c r="X451" s="128">
        <f>_xll.qlCalendarAdvance(Calendar,X450,W451,"f",FALSE)</f>
        <v>42872</v>
      </c>
      <c r="Y451" s="131">
        <f>_xll.qlCalendarAdvance(Calendar,X451,NDays&amp;"D")</f>
        <v>42874</v>
      </c>
      <c r="Z451" s="132">
        <v>5.9917602051928753E-4</v>
      </c>
      <c r="AA451" s="129">
        <v>4.2842875849657958E-4</v>
      </c>
    </row>
    <row r="452" spans="19:27" x14ac:dyDescent="0.2">
      <c r="S452" s="1"/>
      <c r="T452" s="109"/>
      <c r="W452" s="130" t="str">
        <f t="shared" si="16"/>
        <v>1D</v>
      </c>
      <c r="X452" s="128">
        <f>_xll.qlCalendarAdvance(Calendar,X451,W452,"f",FALSE)</f>
        <v>42873</v>
      </c>
      <c r="Y452" s="131">
        <f>_xll.qlCalendarAdvance(Calendar,X452,NDays&amp;"D")</f>
        <v>42877</v>
      </c>
      <c r="Z452" s="132">
        <v>6.0676747852063948E-4</v>
      </c>
      <c r="AA452" s="129">
        <v>4.3675195308345849E-4</v>
      </c>
    </row>
    <row r="453" spans="19:27" x14ac:dyDescent="0.2">
      <c r="S453" s="1"/>
      <c r="T453" s="109"/>
      <c r="W453" s="130" t="str">
        <f t="shared" si="16"/>
        <v>1D</v>
      </c>
      <c r="X453" s="128">
        <f>_xll.qlCalendarAdvance(Calendar,X452,W453,"f",FALSE)</f>
        <v>42874</v>
      </c>
      <c r="Y453" s="131">
        <f>_xll.qlCalendarAdvance(Calendar,X453,NDays&amp;"D")</f>
        <v>42878</v>
      </c>
      <c r="Z453" s="132">
        <v>6.1060509201110486E-4</v>
      </c>
      <c r="AA453" s="129">
        <v>4.408615634954316E-4</v>
      </c>
    </row>
    <row r="454" spans="19:27" x14ac:dyDescent="0.2">
      <c r="S454" s="1"/>
      <c r="T454" s="109"/>
      <c r="W454" s="130" t="str">
        <f t="shared" si="16"/>
        <v>1D</v>
      </c>
      <c r="X454" s="128">
        <f>_xll.qlCalendarAdvance(Calendar,X453,W454,"f",FALSE)</f>
        <v>42877</v>
      </c>
      <c r="Y454" s="131">
        <f>_xll.qlCalendarAdvance(Calendar,X454,NDays&amp;"D")</f>
        <v>42879</v>
      </c>
      <c r="Z454" s="132">
        <v>6.1444529196739441E-4</v>
      </c>
      <c r="AA454" s="129">
        <v>4.4493982874094229E-4</v>
      </c>
    </row>
    <row r="455" spans="19:27" x14ac:dyDescent="0.2">
      <c r="S455" s="1"/>
      <c r="T455" s="109"/>
      <c r="W455" s="130" t="str">
        <f t="shared" si="16"/>
        <v>1D</v>
      </c>
      <c r="X455" s="128">
        <f>_xll.qlCalendarAdvance(Calendar,X454,W455,"f",FALSE)</f>
        <v>42878</v>
      </c>
      <c r="Y455" s="131">
        <f>_xll.qlCalendarAdvance(Calendar,X455,NDays&amp;"D")</f>
        <v>42880</v>
      </c>
      <c r="Z455" s="132">
        <v>6.1828857017611958E-4</v>
      </c>
      <c r="AA455" s="129">
        <v>4.4898674897986268E-4</v>
      </c>
    </row>
    <row r="456" spans="19:27" x14ac:dyDescent="0.2">
      <c r="S456" s="1"/>
      <c r="T456" s="109"/>
      <c r="W456" s="130" t="str">
        <f t="shared" si="16"/>
        <v>1D</v>
      </c>
      <c r="X456" s="128">
        <f>_xll.qlCalendarAdvance(Calendar,X455,W456,"f",FALSE)</f>
        <v>42879</v>
      </c>
      <c r="Y456" s="131">
        <f>_xll.qlCalendarAdvance(Calendar,X456,NDays&amp;"D")</f>
        <v>42881</v>
      </c>
      <c r="Z456" s="132">
        <v>6.2612320008703648E-4</v>
      </c>
      <c r="AA456" s="129">
        <v>4.5697668569211203E-4</v>
      </c>
    </row>
    <row r="457" spans="19:27" x14ac:dyDescent="0.2">
      <c r="S457" s="1"/>
      <c r="T457" s="109"/>
      <c r="W457" s="130" t="str">
        <f t="shared" si="16"/>
        <v>1D</v>
      </c>
      <c r="X457" s="128">
        <f>_xll.qlCalendarAdvance(Calendar,X456,W457,"f",FALSE)</f>
        <v>42880</v>
      </c>
      <c r="Y457" s="131">
        <f>_xll.qlCalendarAdvance(Calendar,X457,NDays&amp;"D")</f>
        <v>42884</v>
      </c>
      <c r="Z457" s="132">
        <v>6.3370230133711399E-4</v>
      </c>
      <c r="AA457" s="129">
        <v>4.6486097859066433E-4</v>
      </c>
    </row>
    <row r="458" spans="19:27" x14ac:dyDescent="0.2">
      <c r="S458" s="1"/>
      <c r="T458" s="109"/>
      <c r="W458" s="130" t="str">
        <f t="shared" si="16"/>
        <v>1D</v>
      </c>
      <c r="X458" s="128">
        <f>_xll.qlCalendarAdvance(Calendar,X457,W458,"f",FALSE)</f>
        <v>42881</v>
      </c>
      <c r="Y458" s="131">
        <f>_xll.qlCalendarAdvance(Calendar,X458,NDays&amp;"D")</f>
        <v>42885</v>
      </c>
      <c r="Z458" s="132">
        <v>6.3756834767930465E-4</v>
      </c>
      <c r="AA458" s="129">
        <v>4.6875117323708082E-4</v>
      </c>
    </row>
    <row r="459" spans="19:27" x14ac:dyDescent="0.2">
      <c r="S459" s="1"/>
      <c r="T459" s="109"/>
      <c r="W459" s="130" t="str">
        <f t="shared" si="16"/>
        <v>1D</v>
      </c>
      <c r="X459" s="128">
        <f>_xll.qlCalendarAdvance(Calendar,X458,W459,"f",FALSE)</f>
        <v>42884</v>
      </c>
      <c r="Y459" s="131">
        <f>_xll.qlCalendarAdvance(Calendar,X459,NDays&amp;"D")</f>
        <v>42886</v>
      </c>
      <c r="Z459" s="132">
        <v>6.4144042303530531E-4</v>
      </c>
      <c r="AA459" s="129">
        <v>4.7261002279697095E-4</v>
      </c>
    </row>
    <row r="460" spans="19:27" x14ac:dyDescent="0.2">
      <c r="S460" s="1"/>
      <c r="T460" s="109"/>
      <c r="W460" s="130" t="str">
        <f t="shared" si="16"/>
        <v>1D</v>
      </c>
      <c r="X460" s="128">
        <f>_xll.qlCalendarAdvance(Calendar,X459,W460,"f",FALSE)</f>
        <v>42885</v>
      </c>
      <c r="Y460" s="131">
        <f>_xll.qlCalendarAdvance(Calendar,X460,NDays&amp;"D")</f>
        <v>42887</v>
      </c>
      <c r="Z460" s="132">
        <v>6.4531901920562916E-4</v>
      </c>
      <c r="AA460" s="129">
        <v>4.7643752711046261E-4</v>
      </c>
    </row>
    <row r="461" spans="19:27" x14ac:dyDescent="0.2">
      <c r="S461" s="1"/>
      <c r="T461" s="109"/>
      <c r="W461" s="130" t="str">
        <f t="shared" si="16"/>
        <v>1D</v>
      </c>
      <c r="X461" s="128">
        <f>_xll.qlCalendarAdvance(Calendar,X460,W461,"f",FALSE)</f>
        <v>42886</v>
      </c>
      <c r="Y461" s="131">
        <f>_xll.qlCalendarAdvance(Calendar,X461,NDays&amp;"D")</f>
        <v>42888</v>
      </c>
      <c r="Z461" s="132">
        <v>6.5327967006787065E-4</v>
      </c>
      <c r="AA461" s="129">
        <v>4.8398870295507379E-4</v>
      </c>
    </row>
    <row r="462" spans="19:27" x14ac:dyDescent="0.2">
      <c r="S462" s="1"/>
      <c r="T462" s="109"/>
      <c r="W462" s="130" t="str">
        <f t="shared" si="16"/>
        <v>1D</v>
      </c>
      <c r="X462" s="128">
        <f>_xll.qlCalendarAdvance(Calendar,X461,W462,"f",FALSE)</f>
        <v>42887</v>
      </c>
      <c r="Y462" s="131">
        <f>_xll.qlCalendarAdvance(Calendar,X462,NDays&amp;"D")</f>
        <v>42891</v>
      </c>
      <c r="Z462" s="132">
        <v>6.6090844812036079E-4</v>
      </c>
      <c r="AA462" s="129">
        <v>4.9143409373897384E-4</v>
      </c>
    </row>
    <row r="463" spans="19:27" x14ac:dyDescent="0.2">
      <c r="S463" s="1"/>
      <c r="T463" s="109"/>
      <c r="W463" s="130" t="str">
        <f t="shared" si="16"/>
        <v>1D</v>
      </c>
      <c r="X463" s="128">
        <f>_xll.qlCalendarAdvance(Calendar,X462,W463,"f",FALSE)</f>
        <v>42888</v>
      </c>
      <c r="Y463" s="131">
        <f>_xll.qlCalendarAdvance(Calendar,X463,NDays&amp;"D")</f>
        <v>42892</v>
      </c>
      <c r="Z463" s="132">
        <v>6.6482702544385546E-4</v>
      </c>
      <c r="AA463" s="129">
        <v>4.9510487253989766E-4</v>
      </c>
    </row>
    <row r="464" spans="19:27" x14ac:dyDescent="0.2">
      <c r="S464" s="1"/>
      <c r="T464" s="109"/>
      <c r="W464" s="130" t="str">
        <f t="shared" si="16"/>
        <v>1D</v>
      </c>
      <c r="X464" s="128">
        <f>_xll.qlCalendarAdvance(Calendar,X463,W464,"f",FALSE)</f>
        <v>42891</v>
      </c>
      <c r="Y464" s="131">
        <f>_xll.qlCalendarAdvance(Calendar,X464,NDays&amp;"D")</f>
        <v>42893</v>
      </c>
      <c r="Z464" s="132">
        <v>6.6875507442732828E-4</v>
      </c>
      <c r="AA464" s="129">
        <v>4.9874430617435905E-4</v>
      </c>
    </row>
    <row r="465" spans="19:27" x14ac:dyDescent="0.2">
      <c r="S465" s="1"/>
      <c r="T465" s="109"/>
      <c r="W465" s="130" t="str">
        <f t="shared" si="16"/>
        <v>1D</v>
      </c>
      <c r="X465" s="128">
        <f>_xll.qlCalendarAdvance(Calendar,X464,W465,"f",FALSE)</f>
        <v>42892</v>
      </c>
      <c r="Y465" s="131">
        <f>_xll.qlCalendarAdvance(Calendar,X465,NDays&amp;"D")</f>
        <v>42894</v>
      </c>
      <c r="Z465" s="132">
        <v>6.7269308688780091E-4</v>
      </c>
      <c r="AA465" s="129">
        <v>5.0235239480223015E-4</v>
      </c>
    </row>
    <row r="466" spans="19:27" x14ac:dyDescent="0.2">
      <c r="S466" s="1"/>
      <c r="T466" s="109"/>
      <c r="W466" s="130" t="str">
        <f t="shared" si="16"/>
        <v>1D</v>
      </c>
      <c r="X466" s="128">
        <f>_xll.qlCalendarAdvance(Calendar,X465,W466,"f",FALSE)</f>
        <v>42893</v>
      </c>
      <c r="Y466" s="131">
        <f>_xll.qlCalendarAdvance(Calendar,X466,NDays&amp;"D")</f>
        <v>42895</v>
      </c>
      <c r="Z466" s="132">
        <v>6.808105295204698E-4</v>
      </c>
      <c r="AA466" s="129">
        <v>5.0946480921965076E-4</v>
      </c>
    </row>
    <row r="467" spans="19:27" x14ac:dyDescent="0.2">
      <c r="S467" s="1"/>
      <c r="T467" s="109"/>
      <c r="W467" s="130" t="str">
        <f t="shared" si="16"/>
        <v>1D</v>
      </c>
      <c r="X467" s="128">
        <f>_xll.qlCalendarAdvance(Calendar,X466,W467,"f",FALSE)</f>
        <v>42894</v>
      </c>
      <c r="Y467" s="131">
        <f>_xll.qlCalendarAdvance(Calendar,X467,NDays&amp;"D")</f>
        <v>42898</v>
      </c>
      <c r="Z467" s="132">
        <v>6.8855460784099799E-4</v>
      </c>
      <c r="AA467" s="129">
        <v>5.1647129804877068E-4</v>
      </c>
    </row>
    <row r="468" spans="19:27" x14ac:dyDescent="0.2">
      <c r="S468" s="1"/>
      <c r="T468" s="109"/>
      <c r="W468" s="130" t="str">
        <f t="shared" si="16"/>
        <v>1D</v>
      </c>
      <c r="X468" s="128">
        <f>_xll.qlCalendarAdvance(Calendar,X467,W468,"f",FALSE)</f>
        <v>42895</v>
      </c>
      <c r="Y468" s="131">
        <f>_xll.qlCalendarAdvance(Calendar,X468,NDays&amp;"D")</f>
        <v>42899</v>
      </c>
      <c r="Z468" s="132">
        <v>6.9254981496612723E-4</v>
      </c>
      <c r="AA468" s="129">
        <v>5.1992266100420181E-4</v>
      </c>
    </row>
    <row r="469" spans="19:27" x14ac:dyDescent="0.2">
      <c r="S469" s="1"/>
      <c r="T469" s="109"/>
      <c r="W469" s="130" t="str">
        <f t="shared" ref="W469:W532" si="17">W468</f>
        <v>1D</v>
      </c>
      <c r="X469" s="128">
        <f>_xll.qlCalendarAdvance(Calendar,X468,W469,"f",FALSE)</f>
        <v>42898</v>
      </c>
      <c r="Y469" s="131">
        <f>_xll.qlCalendarAdvance(Calendar,X469,NDays&amp;"D")</f>
        <v>42900</v>
      </c>
      <c r="Z469" s="132">
        <v>6.9655793649906058E-4</v>
      </c>
      <c r="AA469" s="129">
        <v>5.2334267879317053E-4</v>
      </c>
    </row>
    <row r="470" spans="19:27" x14ac:dyDescent="0.2">
      <c r="S470" s="1"/>
      <c r="T470" s="109"/>
      <c r="W470" s="130" t="str">
        <f t="shared" si="17"/>
        <v>1D</v>
      </c>
      <c r="X470" s="128">
        <f>_xll.qlCalendarAdvance(Calendar,X469,W470,"f",FALSE)</f>
        <v>42899</v>
      </c>
      <c r="Y470" s="131">
        <f>_xll.qlCalendarAdvance(Calendar,X470,NDays&amp;"D")</f>
        <v>42901</v>
      </c>
      <c r="Z470" s="132">
        <v>7.005794642663773E-4</v>
      </c>
      <c r="AA470" s="129">
        <v>5.2673889098464599E-4</v>
      </c>
    </row>
    <row r="471" spans="19:27" x14ac:dyDescent="0.2">
      <c r="S471" s="1"/>
      <c r="T471" s="109"/>
      <c r="W471" s="130" t="str">
        <f t="shared" si="17"/>
        <v>1D</v>
      </c>
      <c r="X471" s="128">
        <f>_xll.qlCalendarAdvance(Calendar,X470,W471,"f",FALSE)</f>
        <v>42900</v>
      </c>
      <c r="Y471" s="131">
        <f>_xll.qlCalendarAdvance(Calendar,X471,NDays&amp;"D")</f>
        <v>42902</v>
      </c>
      <c r="Z471" s="132">
        <v>7.0888080211360639E-4</v>
      </c>
      <c r="AA471" s="129">
        <v>5.3356333221010743E-4</v>
      </c>
    </row>
    <row r="472" spans="19:27" x14ac:dyDescent="0.2">
      <c r="S472" s="1"/>
      <c r="T472" s="109"/>
      <c r="W472" s="130" t="str">
        <f t="shared" si="17"/>
        <v>1D</v>
      </c>
      <c r="X472" s="128">
        <f>_xll.qlCalendarAdvance(Calendar,X471,W472,"f",FALSE)</f>
        <v>42901</v>
      </c>
      <c r="Y472" s="131">
        <f>_xll.qlCalendarAdvance(Calendar,X472,NDays&amp;"D")</f>
        <v>42905</v>
      </c>
      <c r="Z472" s="132">
        <v>7.1680422857844451E-4</v>
      </c>
      <c r="AA472" s="129">
        <v>5.4043249683388694E-4</v>
      </c>
    </row>
    <row r="473" spans="19:27" x14ac:dyDescent="0.2">
      <c r="S473" s="1"/>
      <c r="T473" s="109"/>
      <c r="W473" s="130" t="str">
        <f t="shared" si="17"/>
        <v>1D</v>
      </c>
      <c r="X473" s="128">
        <f>_xll.qlCalendarAdvance(Calendar,X472,W473,"f",FALSE)</f>
        <v>42902</v>
      </c>
      <c r="Y473" s="131">
        <f>_xll.qlCalendarAdvance(Calendar,X473,NDays&amp;"D")</f>
        <v>42906</v>
      </c>
      <c r="Z473" s="132">
        <v>7.208951651470764E-4</v>
      </c>
      <c r="AA473" s="129">
        <v>5.4389062693616097E-4</v>
      </c>
    </row>
    <row r="474" spans="19:27" x14ac:dyDescent="0.2">
      <c r="S474" s="1"/>
      <c r="T474" s="109"/>
      <c r="W474" s="130" t="str">
        <f t="shared" si="17"/>
        <v>1D</v>
      </c>
      <c r="X474" s="128">
        <f>_xll.qlCalendarAdvance(Calendar,X473,W474,"f",FALSE)</f>
        <v>42905</v>
      </c>
      <c r="Y474" s="131">
        <f>_xll.qlCalendarAdvance(Calendar,X474,NDays&amp;"D")</f>
        <v>42907</v>
      </c>
      <c r="Z474" s="132">
        <v>7.2499999999910201E-4</v>
      </c>
      <c r="AA474" s="129">
        <v>5.4736264864629902E-4</v>
      </c>
    </row>
    <row r="475" spans="19:27" x14ac:dyDescent="0.2">
      <c r="S475" s="1"/>
      <c r="T475" s="109"/>
      <c r="W475" s="130" t="str">
        <f t="shared" si="17"/>
        <v>1D</v>
      </c>
      <c r="X475" s="128">
        <f>_xll.qlCalendarAdvance(Calendar,X474,W475,"f",FALSE)</f>
        <v>42906</v>
      </c>
      <c r="Y475" s="131">
        <f>_xll.qlCalendarAdvance(Calendar,X475,NDays&amp;"D")</f>
        <v>42908</v>
      </c>
      <c r="Z475" s="132">
        <v>7.2911872470561166E-4</v>
      </c>
      <c r="AA475" s="129">
        <v>5.5084856188436504E-4</v>
      </c>
    </row>
    <row r="476" spans="19:27" x14ac:dyDescent="0.2">
      <c r="S476" s="1"/>
      <c r="T476" s="109"/>
      <c r="W476" s="130" t="str">
        <f t="shared" si="17"/>
        <v>1D</v>
      </c>
      <c r="X476" s="128">
        <f>_xll.qlCalendarAdvance(Calendar,X475,W476,"f",FALSE)</f>
        <v>42907</v>
      </c>
      <c r="Y476" s="131">
        <f>_xll.qlCalendarAdvance(Calendar,X476,NDays&amp;"D")</f>
        <v>42909</v>
      </c>
      <c r="Z476" s="132">
        <v>7.3761423293209781E-4</v>
      </c>
      <c r="AA476" s="129">
        <v>5.5786755745579342E-4</v>
      </c>
    </row>
    <row r="477" spans="19:27" x14ac:dyDescent="0.2">
      <c r="S477" s="1"/>
      <c r="T477" s="109"/>
      <c r="W477" s="130" t="str">
        <f t="shared" si="17"/>
        <v>1D</v>
      </c>
      <c r="X477" s="128">
        <f>_xll.qlCalendarAdvance(Calendar,X476,W477,"f",FALSE)</f>
        <v>42908</v>
      </c>
      <c r="Y477" s="131">
        <f>_xll.qlCalendarAdvance(Calendar,X477,NDays&amp;"D")</f>
        <v>42912</v>
      </c>
      <c r="Z477" s="132">
        <v>7.457315908283677E-4</v>
      </c>
      <c r="AA477" s="129">
        <v>5.6493112923661215E-4</v>
      </c>
    </row>
    <row r="478" spans="19:27" x14ac:dyDescent="0.2">
      <c r="S478" s="1"/>
      <c r="T478" s="109"/>
      <c r="W478" s="130" t="str">
        <f t="shared" si="17"/>
        <v>1D</v>
      </c>
      <c r="X478" s="128">
        <f>_xll.qlCalendarAdvance(Calendar,X477,W478,"f",FALSE)</f>
        <v>42909</v>
      </c>
      <c r="Y478" s="131">
        <f>_xll.qlCalendarAdvance(Calendar,X478,NDays&amp;"D")</f>
        <v>42913</v>
      </c>
      <c r="Z478" s="132">
        <v>7.4991904519162576E-4</v>
      </c>
      <c r="AA478" s="129">
        <v>5.6848649979457377E-4</v>
      </c>
    </row>
    <row r="479" spans="19:27" x14ac:dyDescent="0.2">
      <c r="S479" s="1"/>
      <c r="T479" s="109"/>
      <c r="W479" s="130" t="str">
        <f t="shared" si="17"/>
        <v>1D</v>
      </c>
      <c r="X479" s="128">
        <f>_xll.qlCalendarAdvance(Calendar,X478,W479,"f",FALSE)</f>
        <v>42912</v>
      </c>
      <c r="Y479" s="131">
        <f>_xll.qlCalendarAdvance(Calendar,X479,NDays&amp;"D")</f>
        <v>42914</v>
      </c>
      <c r="Z479" s="132">
        <v>7.5412009308987711E-4</v>
      </c>
      <c r="AA479" s="129">
        <v>5.7205576196039942E-4</v>
      </c>
    </row>
    <row r="480" spans="19:27" x14ac:dyDescent="0.2">
      <c r="S480" s="1"/>
      <c r="T480" s="109"/>
      <c r="W480" s="130" t="str">
        <f t="shared" si="17"/>
        <v>1D</v>
      </c>
      <c r="X480" s="128">
        <f>_xll.qlCalendarAdvance(Calendar,X479,W480,"f",FALSE)</f>
        <v>42913</v>
      </c>
      <c r="Y480" s="131">
        <f>_xll.qlCalendarAdvance(Calendar,X480,NDays&amp;"D")</f>
        <v>42915</v>
      </c>
      <c r="Z480" s="132">
        <v>7.5833468372636366E-4</v>
      </c>
      <c r="AA480" s="129">
        <v>5.7563891549428092E-4</v>
      </c>
    </row>
    <row r="481" spans="19:27" x14ac:dyDescent="0.2">
      <c r="S481" s="1"/>
      <c r="T481" s="109"/>
      <c r="W481" s="130" t="str">
        <f t="shared" si="17"/>
        <v>1D</v>
      </c>
      <c r="X481" s="128">
        <f>_xll.qlCalendarAdvance(Calendar,X480,W481,"f",FALSE)</f>
        <v>42914</v>
      </c>
      <c r="Y481" s="131">
        <f>_xll.qlCalendarAdvance(Calendar,X481,NDays&amp;"D")</f>
        <v>42916</v>
      </c>
      <c r="Z481" s="132">
        <v>7.6034111374759391E-4</v>
      </c>
      <c r="AA481" s="129">
        <v>5.8285247119371775E-4</v>
      </c>
    </row>
    <row r="482" spans="19:27" x14ac:dyDescent="0.2">
      <c r="S482" s="1"/>
      <c r="T482" s="109"/>
      <c r="W482" s="130" t="str">
        <f t="shared" si="17"/>
        <v>1D</v>
      </c>
      <c r="X482" s="128">
        <f>_xll.qlCalendarAdvance(Calendar,X481,W482,"f",FALSE)</f>
        <v>42915</v>
      </c>
      <c r="Y482" s="131">
        <f>_xll.qlCalendarAdvance(Calendar,X482,NDays&amp;"D")</f>
        <v>42919</v>
      </c>
      <c r="Z482" s="132">
        <v>7.7532745765780979E-4</v>
      </c>
      <c r="AA482" s="129">
        <v>5.9011044458934236E-4</v>
      </c>
    </row>
    <row r="483" spans="19:27" x14ac:dyDescent="0.2">
      <c r="S483" s="1"/>
      <c r="T483" s="109"/>
      <c r="W483" s="130" t="str">
        <f t="shared" si="17"/>
        <v>1D</v>
      </c>
      <c r="X483" s="128">
        <f>_xll.qlCalendarAdvance(Calendar,X482,W483,"f",FALSE)</f>
        <v>42916</v>
      </c>
      <c r="Y483" s="131">
        <f>_xll.qlCalendarAdvance(Calendar,X483,NDays&amp;"D")</f>
        <v>42920</v>
      </c>
      <c r="Z483" s="132">
        <v>7.7960899999326386E-4</v>
      </c>
      <c r="AA483" s="129">
        <v>5.9376305568292764E-4</v>
      </c>
    </row>
    <row r="484" spans="19:27" x14ac:dyDescent="0.2">
      <c r="S484" s="1"/>
      <c r="T484" s="109"/>
      <c r="W484" s="130" t="str">
        <f t="shared" si="17"/>
        <v>1D</v>
      </c>
      <c r="X484" s="128">
        <f>_xll.qlCalendarAdvance(Calendar,X483,W484,"f",FALSE)</f>
        <v>42919</v>
      </c>
      <c r="Y484" s="131">
        <f>_xll.qlCalendarAdvance(Calendar,X484,NDays&amp;"D")</f>
        <v>42921</v>
      </c>
      <c r="Z484" s="132">
        <v>7.8390378027076474E-4</v>
      </c>
      <c r="AA484" s="129">
        <v>5.9742955814456877E-4</v>
      </c>
    </row>
    <row r="485" spans="19:27" x14ac:dyDescent="0.2">
      <c r="S485" s="1"/>
      <c r="T485" s="109"/>
      <c r="W485" s="130" t="str">
        <f t="shared" si="17"/>
        <v>1D</v>
      </c>
      <c r="X485" s="128">
        <f>_xll.qlCalendarAdvance(Calendar,X484,W485,"f",FALSE)</f>
        <v>42920</v>
      </c>
      <c r="Y485" s="131">
        <f>_xll.qlCalendarAdvance(Calendar,X485,NDays&amp;"D")</f>
        <v>42922</v>
      </c>
      <c r="Z485" s="132">
        <v>7.8821174769094793E-4</v>
      </c>
      <c r="AA485" s="129">
        <v>6.0110995229400999E-4</v>
      </c>
    </row>
    <row r="486" spans="19:27" x14ac:dyDescent="0.2">
      <c r="S486" s="1"/>
      <c r="T486" s="109"/>
      <c r="W486" s="130" t="str">
        <f t="shared" si="17"/>
        <v>1D</v>
      </c>
      <c r="X486" s="128">
        <f>_xll.qlCalendarAdvance(Calendar,X485,W486,"f",FALSE)</f>
        <v>42921</v>
      </c>
      <c r="Y486" s="131">
        <f>_xll.qlCalendarAdvance(Calendar,X486,NDays&amp;"D")</f>
        <v>42923</v>
      </c>
      <c r="Z486" s="132">
        <v>7.9707743053455428E-4</v>
      </c>
      <c r="AA486" s="129">
        <v>6.0851807385020606E-4</v>
      </c>
    </row>
    <row r="487" spans="19:27" x14ac:dyDescent="0.2">
      <c r="S487" s="1"/>
      <c r="T487" s="109"/>
      <c r="W487" s="130" t="str">
        <f t="shared" si="17"/>
        <v>1D</v>
      </c>
      <c r="X487" s="128">
        <f>_xll.qlCalendarAdvance(Calendar,X486,W487,"f",FALSE)</f>
        <v>42922</v>
      </c>
      <c r="Y487" s="131">
        <f>_xll.qlCalendarAdvance(Calendar,X487,NDays&amp;"D")</f>
        <v>42926</v>
      </c>
      <c r="Z487" s="132">
        <v>8.0557447280947005E-4</v>
      </c>
      <c r="AA487" s="129">
        <v>6.1597044321182182E-4</v>
      </c>
    </row>
    <row r="488" spans="19:27" x14ac:dyDescent="0.2">
      <c r="S488" s="1"/>
      <c r="T488" s="109"/>
      <c r="W488" s="130" t="str">
        <f t="shared" si="17"/>
        <v>1D</v>
      </c>
      <c r="X488" s="128">
        <f>_xll.qlCalendarAdvance(Calendar,X487,W488,"f",FALSE)</f>
        <v>42923</v>
      </c>
      <c r="Y488" s="131">
        <f>_xll.qlCalendarAdvance(Calendar,X488,NDays&amp;"D")</f>
        <v>42927</v>
      </c>
      <c r="Z488" s="132">
        <v>8.0994761394998676E-4</v>
      </c>
      <c r="AA488" s="129">
        <v>6.1972029476109469E-4</v>
      </c>
    </row>
    <row r="489" spans="19:27" x14ac:dyDescent="0.2">
      <c r="S489" s="1"/>
      <c r="T489" s="109"/>
      <c r="W489" s="130" t="str">
        <f t="shared" si="17"/>
        <v>1D</v>
      </c>
      <c r="X489" s="128">
        <f>_xll.qlCalendarAdvance(Calendar,X488,W489,"f",FALSE)</f>
        <v>42926</v>
      </c>
      <c r="Y489" s="131">
        <f>_xll.qlCalendarAdvance(Calendar,X489,NDays&amp;"D")</f>
        <v>42928</v>
      </c>
      <c r="Z489" s="132">
        <v>8.1433363743525962E-4</v>
      </c>
      <c r="AA489" s="129">
        <v>6.2348403775835948E-4</v>
      </c>
    </row>
    <row r="490" spans="19:27" x14ac:dyDescent="0.2">
      <c r="S490" s="1"/>
      <c r="T490" s="109"/>
      <c r="W490" s="130" t="str">
        <f t="shared" si="17"/>
        <v>1D</v>
      </c>
      <c r="X490" s="128">
        <f>_xll.qlCalendarAdvance(Calendar,X489,W490,"f",FALSE)</f>
        <v>42927</v>
      </c>
      <c r="Y490" s="131">
        <f>_xll.qlCalendarAdvance(Calendar,X490,NDays&amp;"D")</f>
        <v>42929</v>
      </c>
      <c r="Z490" s="132">
        <v>8.1873249246592391E-4</v>
      </c>
      <c r="AA490" s="129">
        <v>6.2726167220361617E-4</v>
      </c>
    </row>
    <row r="491" spans="19:27" x14ac:dyDescent="0.2">
      <c r="S491" s="1"/>
      <c r="T491" s="109"/>
      <c r="W491" s="130" t="str">
        <f t="shared" si="17"/>
        <v>1D</v>
      </c>
      <c r="X491" s="128">
        <f>_xll.qlCalendarAdvance(Calendar,X490,W491,"f",FALSE)</f>
        <v>42928</v>
      </c>
      <c r="Y491" s="131">
        <f>_xll.qlCalendarAdvance(Calendar,X491,NDays&amp;"D")</f>
        <v>42930</v>
      </c>
      <c r="Z491" s="132">
        <v>8.2777331554368663E-4</v>
      </c>
      <c r="AA491" s="129">
        <v>6.3486436577164795E-4</v>
      </c>
    </row>
    <row r="492" spans="19:27" x14ac:dyDescent="0.2">
      <c r="S492" s="1"/>
      <c r="T492" s="109"/>
      <c r="W492" s="130" t="str">
        <f t="shared" si="17"/>
        <v>1D</v>
      </c>
      <c r="X492" s="128">
        <f>_xll.qlCalendarAdvance(Calendar,X491,W492,"f",FALSE)</f>
        <v>42929</v>
      </c>
      <c r="Y492" s="131">
        <f>_xll.qlCalendarAdvance(Calendar,X492,NDays&amp;"D")</f>
        <v>42933</v>
      </c>
      <c r="Z492" s="132">
        <v>8.3645521202479079E-4</v>
      </c>
      <c r="AA492" s="129">
        <v>6.4251112518398656E-4</v>
      </c>
    </row>
    <row r="493" spans="19:27" x14ac:dyDescent="0.2">
      <c r="S493" s="1"/>
      <c r="T493" s="109"/>
      <c r="W493" s="130" t="str">
        <f t="shared" si="17"/>
        <v>1D</v>
      </c>
      <c r="X493" s="128">
        <f>_xll.qlCalendarAdvance(Calendar,X492,W493,"f",FALSE)</f>
        <v>42930</v>
      </c>
      <c r="Y493" s="131">
        <f>_xll.qlCalendarAdvance(Calendar,X493,NDays&amp;"D")</f>
        <v>42934</v>
      </c>
      <c r="Z493" s="132">
        <v>8.4091746277195753E-4</v>
      </c>
      <c r="AA493" s="129">
        <v>6.4635821710901098E-4</v>
      </c>
    </row>
    <row r="494" spans="19:27" x14ac:dyDescent="0.2">
      <c r="S494" s="1"/>
      <c r="T494" s="109"/>
      <c r="W494" s="130" t="str">
        <f t="shared" si="17"/>
        <v>1D</v>
      </c>
      <c r="X494" s="128">
        <f>_xll.qlCalendarAdvance(Calendar,X493,W494,"f",FALSE)</f>
        <v>42933</v>
      </c>
      <c r="Y494" s="131">
        <f>_xll.qlCalendarAdvance(Calendar,X494,NDays&amp;"D")</f>
        <v>42935</v>
      </c>
      <c r="Z494" s="132">
        <v>8.4539224026137648E-4</v>
      </c>
      <c r="AA494" s="129">
        <v>6.5021920064189942E-4</v>
      </c>
    </row>
    <row r="495" spans="19:27" x14ac:dyDescent="0.2">
      <c r="S495" s="1"/>
      <c r="T495" s="109"/>
      <c r="W495" s="130" t="str">
        <f t="shared" si="17"/>
        <v>1D</v>
      </c>
      <c r="X495" s="128">
        <f>_xll.qlCalendarAdvance(Calendar,X494,W495,"f",FALSE)</f>
        <v>42934</v>
      </c>
      <c r="Y495" s="131">
        <f>_xll.qlCalendarAdvance(Calendar,X495,NDays&amp;"D")</f>
        <v>42936</v>
      </c>
      <c r="Z495" s="132">
        <v>8.4987949369194507E-4</v>
      </c>
      <c r="AA495" s="129">
        <v>6.5409407562277977E-4</v>
      </c>
    </row>
    <row r="496" spans="19:27" x14ac:dyDescent="0.2">
      <c r="S496" s="1"/>
      <c r="T496" s="109"/>
      <c r="W496" s="130" t="str">
        <f t="shared" si="17"/>
        <v>1D</v>
      </c>
      <c r="X496" s="128">
        <f>_xll.qlCalendarAdvance(Calendar,X495,W496,"f",FALSE)</f>
        <v>42935</v>
      </c>
      <c r="Y496" s="131">
        <f>_xll.qlCalendarAdvance(Calendar,X496,NDays&amp;"D")</f>
        <v>42937</v>
      </c>
      <c r="Z496" s="132">
        <v>8.5908932054477112E-4</v>
      </c>
      <c r="AA496" s="129">
        <v>6.6189134749095047E-4</v>
      </c>
    </row>
    <row r="497" spans="19:27" x14ac:dyDescent="0.2">
      <c r="S497" s="1"/>
      <c r="T497" s="109"/>
      <c r="W497" s="130" t="str">
        <f t="shared" si="17"/>
        <v>1D</v>
      </c>
      <c r="X497" s="128">
        <f>_xll.qlCalendarAdvance(Calendar,X496,W497,"f",FALSE)</f>
        <v>42936</v>
      </c>
      <c r="Y497" s="131">
        <f>_xll.qlCalendarAdvance(Calendar,X497,NDays&amp;"D")</f>
        <v>42940</v>
      </c>
      <c r="Z497" s="132">
        <v>8.6795225080714357E-4</v>
      </c>
      <c r="AA497" s="129">
        <v>6.6973249050583661E-4</v>
      </c>
    </row>
    <row r="498" spans="19:27" x14ac:dyDescent="0.2">
      <c r="S498" s="1"/>
      <c r="T498" s="109"/>
      <c r="W498" s="130" t="str">
        <f t="shared" si="17"/>
        <v>1D</v>
      </c>
      <c r="X498" s="128">
        <f>_xll.qlCalendarAdvance(Calendar,X497,W498,"f",FALSE)</f>
        <v>42937</v>
      </c>
      <c r="Y498" s="131">
        <f>_xll.qlCalendarAdvance(Calendar,X498,NDays&amp;"D")</f>
        <v>42941</v>
      </c>
      <c r="Z498" s="132">
        <v>8.725011219269241E-4</v>
      </c>
      <c r="AA498" s="129">
        <v>6.7367682296648468E-4</v>
      </c>
    </row>
    <row r="499" spans="19:27" x14ac:dyDescent="0.2">
      <c r="S499" s="1"/>
      <c r="T499" s="109"/>
      <c r="W499" s="130" t="str">
        <f t="shared" si="17"/>
        <v>1D</v>
      </c>
      <c r="X499" s="128">
        <f>_xll.qlCalendarAdvance(Calendar,X498,W499,"f",FALSE)</f>
        <v>42940</v>
      </c>
      <c r="Y499" s="131">
        <f>_xll.qlCalendarAdvance(Calendar,X499,NDays&amp;"D")</f>
        <v>42942</v>
      </c>
      <c r="Z499" s="132">
        <v>8.7706216418210851E-4</v>
      </c>
      <c r="AA499" s="129">
        <v>6.7763504695506072E-4</v>
      </c>
    </row>
    <row r="500" spans="19:27" x14ac:dyDescent="0.2">
      <c r="S500" s="1"/>
      <c r="T500" s="109"/>
      <c r="W500" s="130" t="str">
        <f t="shared" si="17"/>
        <v>1D</v>
      </c>
      <c r="X500" s="128">
        <f>_xll.qlCalendarAdvance(Calendar,X499,W500,"f",FALSE)</f>
        <v>42941</v>
      </c>
      <c r="Y500" s="131">
        <f>_xll.qlCalendarAdvance(Calendar,X500,NDays&amp;"D")</f>
        <v>42943</v>
      </c>
      <c r="Z500" s="132">
        <v>8.8163532676811883E-4</v>
      </c>
      <c r="AA500" s="129">
        <v>6.8160716247156472E-4</v>
      </c>
    </row>
    <row r="501" spans="19:27" x14ac:dyDescent="0.2">
      <c r="S501" s="1"/>
      <c r="T501" s="109"/>
      <c r="W501" s="130" t="str">
        <f t="shared" si="17"/>
        <v>1D</v>
      </c>
      <c r="X501" s="128">
        <f>_xll.qlCalendarAdvance(Calendar,X500,W501,"f",FALSE)</f>
        <v>42942</v>
      </c>
      <c r="Y501" s="131">
        <f>_xll.qlCalendarAdvance(Calendar,X501,NDays&amp;"D")</f>
        <v>42944</v>
      </c>
      <c r="Z501" s="132">
        <v>8.9100839211870555E-4</v>
      </c>
      <c r="AA501" s="129">
        <v>6.8959901940779389E-4</v>
      </c>
    </row>
    <row r="502" spans="19:27" x14ac:dyDescent="0.2">
      <c r="S502" s="1"/>
      <c r="T502" s="109"/>
      <c r="W502" s="130" t="str">
        <f t="shared" si="17"/>
        <v>1D</v>
      </c>
      <c r="X502" s="128">
        <f>_xll.qlCalendarAdvance(Calendar,X501,W502,"f",FALSE)</f>
        <v>42943</v>
      </c>
      <c r="Y502" s="131">
        <f>_xll.qlCalendarAdvance(Calendar,X502,NDays&amp;"D")</f>
        <v>42947</v>
      </c>
      <c r="Z502" s="132">
        <v>9.0004816440010819E-4</v>
      </c>
      <c r="AA502" s="129">
        <v>6.9763453949711618E-4</v>
      </c>
    </row>
    <row r="503" spans="19:27" x14ac:dyDescent="0.2">
      <c r="S503" s="1"/>
      <c r="T503" s="109"/>
      <c r="W503" s="130" t="str">
        <f t="shared" si="17"/>
        <v>1D</v>
      </c>
      <c r="X503" s="128">
        <f>_xll.qlCalendarAdvance(Calendar,X502,W503,"f",FALSE)</f>
        <v>42944</v>
      </c>
      <c r="Y503" s="131">
        <f>_xll.qlCalendarAdvance(Calendar,X503,NDays&amp;"D")</f>
        <v>42948</v>
      </c>
      <c r="Z503" s="132">
        <v>9.0468116661936713E-4</v>
      </c>
      <c r="AA503" s="129">
        <v>7.0167611257332396E-4</v>
      </c>
    </row>
    <row r="504" spans="19:27" x14ac:dyDescent="0.2">
      <c r="S504" s="1"/>
      <c r="T504" s="109"/>
      <c r="W504" s="130" t="str">
        <f t="shared" si="17"/>
        <v>1D</v>
      </c>
      <c r="X504" s="128">
        <f>_xll.qlCalendarAdvance(Calendar,X503,W504,"f",FALSE)</f>
        <v>42947</v>
      </c>
      <c r="Y504" s="131">
        <f>_xll.qlCalendarAdvance(Calendar,X504,NDays&amp;"D")</f>
        <v>42949</v>
      </c>
      <c r="Z504" s="132">
        <v>9.0932598435675507E-4</v>
      </c>
      <c r="AA504" s="129">
        <v>7.057315770175876E-4</v>
      </c>
    </row>
    <row r="505" spans="19:27" x14ac:dyDescent="0.2">
      <c r="S505" s="1"/>
      <c r="T505" s="109"/>
      <c r="W505" s="130" t="str">
        <f t="shared" si="17"/>
        <v>1D</v>
      </c>
      <c r="X505" s="128">
        <f>_xll.qlCalendarAdvance(Calendar,X504,W505,"f",FALSE)</f>
        <v>42948</v>
      </c>
      <c r="Y505" s="131">
        <f>_xll.qlCalendarAdvance(Calendar,X505,NDays&amp;"D")</f>
        <v>42950</v>
      </c>
      <c r="Z505" s="132">
        <v>9.1398256681203853E-4</v>
      </c>
      <c r="AA505" s="129">
        <v>7.0980093306971526E-4</v>
      </c>
    </row>
    <row r="506" spans="19:27" x14ac:dyDescent="0.2">
      <c r="S506" s="1"/>
      <c r="T506" s="109"/>
      <c r="W506" s="130" t="str">
        <f t="shared" si="17"/>
        <v>1D</v>
      </c>
      <c r="X506" s="128">
        <f>_xll.qlCalendarAdvance(Calendar,X505,W506,"f",FALSE)</f>
        <v>42949</v>
      </c>
      <c r="Y506" s="131">
        <f>_xll.qlCalendarAdvance(Calendar,X506,NDays&amp;"D")</f>
        <v>42951</v>
      </c>
      <c r="Z506" s="132">
        <v>9.2351347656576075E-4</v>
      </c>
      <c r="AA506" s="129">
        <v>7.1798738205508528E-4</v>
      </c>
    </row>
    <row r="507" spans="19:27" x14ac:dyDescent="0.2">
      <c r="S507" s="1"/>
      <c r="T507" s="109"/>
      <c r="W507" s="130" t="str">
        <f t="shared" si="17"/>
        <v>1D</v>
      </c>
      <c r="X507" s="128">
        <f>_xll.qlCalendarAdvance(Calendar,X506,W507,"f",FALSE)</f>
        <v>42950</v>
      </c>
      <c r="Y507" s="131">
        <f>_xll.qlCalendarAdvance(Calendar,X507,NDays&amp;"D")</f>
        <v>42954</v>
      </c>
      <c r="Z507" s="132">
        <v>9.3272552775011078E-4</v>
      </c>
      <c r="AA507" s="129">
        <v>7.2621727223776134E-4</v>
      </c>
    </row>
    <row r="508" spans="19:27" x14ac:dyDescent="0.2">
      <c r="S508" s="1"/>
      <c r="T508" s="109"/>
      <c r="W508" s="130" t="str">
        <f t="shared" si="17"/>
        <v>1D</v>
      </c>
      <c r="X508" s="128">
        <f>_xll.qlCalendarAdvance(Calendar,X507,W508,"f",FALSE)</f>
        <v>42951</v>
      </c>
      <c r="Y508" s="131">
        <f>_xll.qlCalendarAdvance(Calendar,X508,NDays&amp;"D")</f>
        <v>42955</v>
      </c>
      <c r="Z508" s="132">
        <v>9.3744017174879357E-4</v>
      </c>
      <c r="AA508" s="129">
        <v>7.3035608576965672E-4</v>
      </c>
    </row>
    <row r="509" spans="19:27" x14ac:dyDescent="0.2">
      <c r="S509" s="1"/>
      <c r="T509" s="109"/>
      <c r="W509" s="130" t="str">
        <f t="shared" si="17"/>
        <v>1D</v>
      </c>
      <c r="X509" s="128">
        <f>_xll.qlCalendarAdvance(Calendar,X508,W509,"f",FALSE)</f>
        <v>42954</v>
      </c>
      <c r="Y509" s="131">
        <f>_xll.qlCalendarAdvance(Calendar,X509,NDays&amp;"D")</f>
        <v>42956</v>
      </c>
      <c r="Z509" s="132">
        <v>9.4216627564572405E-4</v>
      </c>
      <c r="AA509" s="129">
        <v>7.3450879090941612E-4</v>
      </c>
    </row>
    <row r="510" spans="19:27" x14ac:dyDescent="0.2">
      <c r="S510" s="1"/>
      <c r="T510" s="109"/>
      <c r="W510" s="130" t="str">
        <f t="shared" si="17"/>
        <v>1D</v>
      </c>
      <c r="X510" s="128">
        <f>_xll.qlCalendarAdvance(Calendar,X509,W510,"f",FALSE)</f>
        <v>42955</v>
      </c>
      <c r="Y510" s="131">
        <f>_xll.qlCalendarAdvance(Calendar,X510,NDays&amp;"D")</f>
        <v>42957</v>
      </c>
      <c r="Z510" s="132">
        <v>9.4690378863806211E-4</v>
      </c>
      <c r="AA510" s="129">
        <v>7.3867538741723138E-4</v>
      </c>
    </row>
    <row r="511" spans="19:27" x14ac:dyDescent="0.2">
      <c r="S511" s="1"/>
      <c r="T511" s="109"/>
      <c r="W511" s="130" t="str">
        <f t="shared" si="17"/>
        <v>1D</v>
      </c>
      <c r="X511" s="128">
        <f>_xll.qlCalendarAdvance(Calendar,X510,W511,"f",FALSE)</f>
        <v>42956</v>
      </c>
      <c r="Y511" s="131">
        <f>_xll.qlCalendarAdvance(Calendar,X511,NDays&amp;"D")</f>
        <v>42958</v>
      </c>
      <c r="Z511" s="132">
        <v>9.5658751988602232E-4</v>
      </c>
      <c r="AA511" s="129">
        <v>7.4705643593908633E-4</v>
      </c>
    </row>
    <row r="512" spans="19:27" x14ac:dyDescent="0.2">
      <c r="S512" s="1"/>
      <c r="T512" s="109"/>
      <c r="W512" s="130" t="str">
        <f t="shared" si="17"/>
        <v>1D</v>
      </c>
      <c r="X512" s="128">
        <f>_xll.qlCalendarAdvance(Calendar,X511,W512,"f",FALSE)</f>
        <v>42957</v>
      </c>
      <c r="Y512" s="131">
        <f>_xll.qlCalendarAdvance(Calendar,X512,NDays&amp;"D")</f>
        <v>42961</v>
      </c>
      <c r="Z512" s="132">
        <v>9.6596691548904619E-4</v>
      </c>
      <c r="AA512" s="129">
        <v>7.5548068888764419E-4</v>
      </c>
    </row>
    <row r="513" spans="19:27" x14ac:dyDescent="0.2">
      <c r="S513" s="1"/>
      <c r="T513" s="109"/>
      <c r="W513" s="130" t="str">
        <f t="shared" si="17"/>
        <v>1D</v>
      </c>
      <c r="X513" s="128">
        <f>_xll.qlCalendarAdvance(Calendar,X512,W513,"f",FALSE)</f>
        <v>42958</v>
      </c>
      <c r="Y513" s="131">
        <f>_xll.qlCalendarAdvance(Calendar,X513,NDays&amp;"D")</f>
        <v>42962</v>
      </c>
      <c r="Z513" s="132">
        <v>9.7076071190104829E-4</v>
      </c>
      <c r="AA513" s="129">
        <v>7.5971674303509928E-4</v>
      </c>
    </row>
    <row r="514" spans="19:27" x14ac:dyDescent="0.2">
      <c r="S514" s="1"/>
      <c r="T514" s="109"/>
      <c r="W514" s="130" t="str">
        <f t="shared" si="17"/>
        <v>1D</v>
      </c>
      <c r="X514" s="128">
        <f>_xll.qlCalendarAdvance(Calendar,X513,W514,"f",FALSE)</f>
        <v>42961</v>
      </c>
      <c r="Y514" s="131">
        <f>_xll.qlCalendarAdvance(Calendar,X514,NDays&amp;"D")</f>
        <v>42963</v>
      </c>
      <c r="Z514" s="132">
        <v>9.7556561258446586E-4</v>
      </c>
      <c r="AA514" s="129">
        <v>7.6396668871048234E-4</v>
      </c>
    </row>
    <row r="515" spans="19:27" x14ac:dyDescent="0.2">
      <c r="S515" s="1"/>
      <c r="T515" s="109"/>
      <c r="W515" s="130" t="str">
        <f t="shared" si="17"/>
        <v>1D</v>
      </c>
      <c r="X515" s="128">
        <f>_xll.qlCalendarAdvance(Calendar,X514,W515,"f",FALSE)</f>
        <v>42962</v>
      </c>
      <c r="Y515" s="131">
        <f>_xll.qlCalendarAdvance(Calendar,X515,NDays&amp;"D")</f>
        <v>42964</v>
      </c>
      <c r="Z515" s="132">
        <v>9.8038156673472079E-4</v>
      </c>
      <c r="AA515" s="129">
        <v>7.6823052591379337E-4</v>
      </c>
    </row>
    <row r="516" spans="19:27" x14ac:dyDescent="0.2">
      <c r="S516" s="1"/>
      <c r="T516" s="109"/>
      <c r="W516" s="130" t="str">
        <f t="shared" si="17"/>
        <v>1D</v>
      </c>
      <c r="X516" s="128">
        <f>_xll.qlCalendarAdvance(Calendar,X515,W516,"f",FALSE)</f>
        <v>42963</v>
      </c>
      <c r="Y516" s="131">
        <f>_xll.qlCalendarAdvance(Calendar,X516,NDays&amp;"D")</f>
        <v>42965</v>
      </c>
      <c r="Z516" s="132">
        <v>9.9021346774367451E-4</v>
      </c>
      <c r="AA516" s="129">
        <v>7.7680618140618662E-4</v>
      </c>
    </row>
    <row r="517" spans="19:27" x14ac:dyDescent="0.2">
      <c r="S517" s="1"/>
      <c r="T517" s="109"/>
      <c r="W517" s="130" t="str">
        <f t="shared" si="17"/>
        <v>1D</v>
      </c>
      <c r="X517" s="128">
        <f>_xll.qlCalendarAdvance(Calendar,X516,W517,"f",FALSE)</f>
        <v>42964</v>
      </c>
      <c r="Y517" s="131">
        <f>_xll.qlCalendarAdvance(Calendar,X517,NDays&amp;"D")</f>
        <v>42968</v>
      </c>
      <c r="Z517" s="132">
        <v>9.9975490190473693E-4</v>
      </c>
      <c r="AA517" s="129">
        <v>7.8542478968657292E-4</v>
      </c>
    </row>
    <row r="518" spans="19:27" x14ac:dyDescent="0.2">
      <c r="S518" s="1"/>
      <c r="T518" s="109"/>
      <c r="W518" s="130" t="str">
        <f t="shared" si="17"/>
        <v>1D</v>
      </c>
      <c r="X518" s="128">
        <f>_xll.qlCalendarAdvance(Calendar,X517,W518,"f",FALSE)</f>
        <v>42965</v>
      </c>
      <c r="Y518" s="131">
        <f>_xll.qlCalendarAdvance(Calendar,X518,NDays&amp;"D")</f>
        <v>42969</v>
      </c>
      <c r="Z518" s="132">
        <v>1.0046253613135595E-3</v>
      </c>
      <c r="AA518" s="129">
        <v>7.8975808452952379E-4</v>
      </c>
    </row>
    <row r="519" spans="19:27" x14ac:dyDescent="0.2">
      <c r="S519" s="1"/>
      <c r="T519" s="109"/>
      <c r="W519" s="130" t="str">
        <f t="shared" si="17"/>
        <v>1D</v>
      </c>
      <c r="X519" s="128">
        <f>_xll.qlCalendarAdvance(Calendar,X518,W519,"f",FALSE)</f>
        <v>42968</v>
      </c>
      <c r="Y519" s="131">
        <f>_xll.qlCalendarAdvance(Calendar,X519,NDays&amp;"D")</f>
        <v>42970</v>
      </c>
      <c r="Z519" s="132">
        <v>1.0095065693582761E-3</v>
      </c>
      <c r="AA519" s="129">
        <v>7.941052707405305E-4</v>
      </c>
    </row>
    <row r="520" spans="19:27" x14ac:dyDescent="0.2">
      <c r="S520" s="1"/>
      <c r="T520" s="109"/>
      <c r="W520" s="130" t="str">
        <f t="shared" si="17"/>
        <v>1D</v>
      </c>
      <c r="X520" s="128">
        <f>_xll.qlCalendarAdvance(Calendar,X519,W520,"f",FALSE)</f>
        <v>42969</v>
      </c>
      <c r="Y520" s="131">
        <f>_xll.qlCalendarAdvance(Calendar,X520,NDays&amp;"D")</f>
        <v>42971</v>
      </c>
      <c r="Z520" s="132">
        <v>1.0143984752325717E-3</v>
      </c>
      <c r="AA520" s="129">
        <v>7.9846634847946518E-4</v>
      </c>
    </row>
    <row r="521" spans="19:27" x14ac:dyDescent="0.2">
      <c r="S521" s="1"/>
      <c r="T521" s="109"/>
      <c r="W521" s="130" t="str">
        <f t="shared" si="17"/>
        <v>1D</v>
      </c>
      <c r="X521" s="128">
        <f>_xll.qlCalendarAdvance(Calendar,X520,W521,"f",FALSE)</f>
        <v>42970</v>
      </c>
      <c r="Y521" s="131">
        <f>_xll.qlCalendarAdvance(Calendar,X521,NDays&amp;"D")</f>
        <v>42972</v>
      </c>
      <c r="Z521" s="132">
        <v>1.0243742654525434E-3</v>
      </c>
      <c r="AA521" s="129">
        <v>8.0723661914916534E-4</v>
      </c>
    </row>
    <row r="522" spans="19:27" x14ac:dyDescent="0.2">
      <c r="S522" s="1"/>
      <c r="T522" s="109"/>
      <c r="W522" s="130" t="str">
        <f t="shared" si="17"/>
        <v>1D</v>
      </c>
      <c r="X522" s="128">
        <f>_xll.qlCalendarAdvance(Calendar,X521,W522,"f",FALSE)</f>
        <v>42971</v>
      </c>
      <c r="Y522" s="131">
        <f>_xll.qlCalendarAdvance(Calendar,X522,NDays&amp;"D")</f>
        <v>42975</v>
      </c>
      <c r="Z522" s="132">
        <v>1.0340720609139981E-3</v>
      </c>
      <c r="AA522" s="129">
        <v>8.1604957471448358E-4</v>
      </c>
    </row>
    <row r="523" spans="19:27" x14ac:dyDescent="0.2">
      <c r="S523" s="1"/>
      <c r="T523" s="109"/>
      <c r="W523" s="130" t="str">
        <f t="shared" si="17"/>
        <v>1D</v>
      </c>
      <c r="X523" s="128">
        <f>_xll.qlCalendarAdvance(Calendar,X522,W523,"f",FALSE)</f>
        <v>42972</v>
      </c>
      <c r="Y523" s="131">
        <f>_xll.qlCalendarAdvance(Calendar,X523,NDays&amp;"D")</f>
        <v>42976</v>
      </c>
      <c r="Z523" s="132">
        <v>1.0390166938492717E-3</v>
      </c>
      <c r="AA523" s="129">
        <v>8.204801100930581E-4</v>
      </c>
    </row>
    <row r="524" spans="19:27" x14ac:dyDescent="0.2">
      <c r="S524" s="1"/>
      <c r="T524" s="109"/>
      <c r="W524" s="130" t="str">
        <f t="shared" si="17"/>
        <v>1D</v>
      </c>
      <c r="X524" s="128">
        <f>_xll.qlCalendarAdvance(Calendar,X523,W524,"f",FALSE)</f>
        <v>42975</v>
      </c>
      <c r="Y524" s="131">
        <f>_xll.qlCalendarAdvance(Calendar,X524,NDays&amp;"D")</f>
        <v>42977</v>
      </c>
      <c r="Z524" s="132">
        <v>1.0439717197753611E-3</v>
      </c>
      <c r="AA524" s="129">
        <v>8.2492453707949664E-4</v>
      </c>
    </row>
    <row r="525" spans="19:27" x14ac:dyDescent="0.2">
      <c r="S525" s="1"/>
      <c r="T525" s="109"/>
      <c r="W525" s="130" t="str">
        <f t="shared" si="17"/>
        <v>1D</v>
      </c>
      <c r="X525" s="128">
        <f>_xll.qlCalendarAdvance(Calendar,X524,W525,"f",FALSE)</f>
        <v>42976</v>
      </c>
      <c r="Y525" s="131">
        <f>_xll.qlCalendarAdvance(Calendar,X525,NDays&amp;"D")</f>
        <v>42978</v>
      </c>
      <c r="Z525" s="132">
        <v>1.0463764339471442E-3</v>
      </c>
      <c r="AA525" s="129">
        <v>8.2938285543399104E-4</v>
      </c>
    </row>
    <row r="526" spans="19:27" x14ac:dyDescent="0.2">
      <c r="S526" s="1"/>
      <c r="T526" s="109"/>
      <c r="W526" s="130" t="str">
        <f t="shared" si="17"/>
        <v>1D</v>
      </c>
      <c r="X526" s="128">
        <f>_xll.qlCalendarAdvance(Calendar,X525,W526,"f",FALSE)</f>
        <v>42977</v>
      </c>
      <c r="Y526" s="131">
        <f>_xll.qlCalendarAdvance(Calendar,X526,NDays&amp;"D")</f>
        <v>42979</v>
      </c>
      <c r="Z526" s="132">
        <v>1.0513473496235901E-3</v>
      </c>
      <c r="AA526" s="129">
        <v>8.3834774951441204E-4</v>
      </c>
    </row>
    <row r="527" spans="19:27" x14ac:dyDescent="0.2">
      <c r="S527" s="1"/>
      <c r="T527" s="109"/>
      <c r="W527" s="130" t="str">
        <f t="shared" si="17"/>
        <v>1D</v>
      </c>
      <c r="X527" s="128">
        <f>_xll.qlCalendarAdvance(Calendar,X526,W527,"f",FALSE)</f>
        <v>42978</v>
      </c>
      <c r="Y527" s="131">
        <f>_xll.qlCalendarAdvance(Calendar,X527,NDays&amp;"D")</f>
        <v>42982</v>
      </c>
      <c r="Z527" s="132">
        <v>1.0663214009596137E-3</v>
      </c>
      <c r="AA527" s="129">
        <v>8.4735504429112041E-4</v>
      </c>
    </row>
    <row r="528" spans="19:27" x14ac:dyDescent="0.2">
      <c r="S528" s="1"/>
      <c r="T528" s="109"/>
      <c r="W528" s="130" t="str">
        <f t="shared" si="17"/>
        <v>1D</v>
      </c>
      <c r="X528" s="128">
        <f>_xll.qlCalendarAdvance(Calendar,X527,W528,"f",FALSE)</f>
        <v>42979</v>
      </c>
      <c r="Y528" s="131">
        <f>_xll.qlCalendarAdvance(Calendar,X528,NDays&amp;"D")</f>
        <v>42983</v>
      </c>
      <c r="Z528" s="132">
        <v>1.0713330149511072E-3</v>
      </c>
      <c r="AA528" s="129">
        <v>8.5188282028525464E-4</v>
      </c>
    </row>
    <row r="529" spans="19:27" x14ac:dyDescent="0.2">
      <c r="S529" s="1"/>
      <c r="T529" s="109"/>
      <c r="W529" s="130" t="str">
        <f t="shared" si="17"/>
        <v>1D</v>
      </c>
      <c r="X529" s="128">
        <f>_xll.qlCalendarAdvance(Calendar,X528,W529,"f",FALSE)</f>
        <v>42982</v>
      </c>
      <c r="Y529" s="131">
        <f>_xll.qlCalendarAdvance(Calendar,X529,NDays&amp;"D")</f>
        <v>42984</v>
      </c>
      <c r="Z529" s="132">
        <v>1.0763546751051841E-3</v>
      </c>
      <c r="AA529" s="129">
        <v>8.5642448772738078E-4</v>
      </c>
    </row>
    <row r="530" spans="19:27" x14ac:dyDescent="0.2">
      <c r="S530" s="1"/>
      <c r="T530" s="109"/>
      <c r="W530" s="130" t="str">
        <f t="shared" si="17"/>
        <v>1D</v>
      </c>
      <c r="X530" s="128">
        <f>_xll.qlCalendarAdvance(Calendar,X529,W530,"f",FALSE)</f>
        <v>42983</v>
      </c>
      <c r="Y530" s="131">
        <f>_xll.qlCalendarAdvance(Calendar,X530,NDays&amp;"D")</f>
        <v>42985</v>
      </c>
      <c r="Z530" s="132">
        <v>1.0813863300545819E-3</v>
      </c>
      <c r="AA530" s="129">
        <v>8.6098004693724306E-4</v>
      </c>
    </row>
    <row r="531" spans="19:27" x14ac:dyDescent="0.2">
      <c r="S531" s="1"/>
      <c r="T531" s="109"/>
      <c r="W531" s="130" t="str">
        <f t="shared" si="17"/>
        <v>1D</v>
      </c>
      <c r="X531" s="128">
        <f>_xll.qlCalendarAdvance(Calendar,X530,W531,"f",FALSE)</f>
        <v>42984</v>
      </c>
      <c r="Y531" s="131">
        <f>_xll.qlCalendarAdvance(Calendar,X531,NDays&amp;"D")</f>
        <v>42986</v>
      </c>
      <c r="Z531" s="132">
        <v>1.0864279284311601E-3</v>
      </c>
      <c r="AA531" s="129">
        <v>8.7013957319470592E-4</v>
      </c>
    </row>
    <row r="532" spans="19:27" x14ac:dyDescent="0.2">
      <c r="S532" s="1"/>
      <c r="T532" s="109"/>
      <c r="W532" s="130" t="str">
        <f t="shared" si="17"/>
        <v>1D</v>
      </c>
      <c r="X532" s="128">
        <f>_xll.qlCalendarAdvance(Calendar,X531,W532,"f",FALSE)</f>
        <v>42985</v>
      </c>
      <c r="Y532" s="131">
        <f>_xll.qlCalendarAdvance(Calendar,X532,NDays&amp;"D")</f>
        <v>42989</v>
      </c>
      <c r="Z532" s="132">
        <v>1.1016118704513574E-3</v>
      </c>
      <c r="AA532" s="129">
        <v>8.7934119841648339E-4</v>
      </c>
    </row>
    <row r="533" spans="19:27" x14ac:dyDescent="0.2">
      <c r="S533" s="1"/>
      <c r="T533" s="109"/>
      <c r="W533" s="130" t="str">
        <f t="shared" ref="W533:W596" si="18">W532</f>
        <v>1D</v>
      </c>
      <c r="X533" s="128">
        <f>_xll.qlCalendarAdvance(Calendar,X532,W533,"f",FALSE)</f>
        <v>42986</v>
      </c>
      <c r="Y533" s="131">
        <f>_xll.qlCalendarAdvance(Calendar,X533,NDays&amp;"D")</f>
        <v>42990</v>
      </c>
      <c r="Z533" s="132">
        <v>1.1066927288605234E-3</v>
      </c>
      <c r="AA533" s="129">
        <v>8.8396621502617734E-4</v>
      </c>
    </row>
    <row r="534" spans="19:27" x14ac:dyDescent="0.2">
      <c r="S534" s="1"/>
      <c r="T534" s="109"/>
      <c r="W534" s="130" t="str">
        <f t="shared" si="18"/>
        <v>1D</v>
      </c>
      <c r="X534" s="128">
        <f>_xll.qlCalendarAdvance(Calendar,X533,W534,"f",FALSE)</f>
        <v>42989</v>
      </c>
      <c r="Y534" s="131">
        <f>_xll.qlCalendarAdvance(Calendar,X534,NDays&amp;"D")</f>
        <v>42991</v>
      </c>
      <c r="Z534" s="132">
        <v>1.1117832738596809E-3</v>
      </c>
      <c r="AA534" s="129">
        <v>8.8860512332367136E-4</v>
      </c>
    </row>
    <row r="535" spans="19:27" x14ac:dyDescent="0.2">
      <c r="S535" s="1"/>
      <c r="T535" s="109"/>
      <c r="W535" s="130" t="str">
        <f t="shared" si="18"/>
        <v>1D</v>
      </c>
      <c r="X535" s="128">
        <f>_xll.qlCalendarAdvance(Calendar,X534,W535,"f",FALSE)</f>
        <v>42990</v>
      </c>
      <c r="Y535" s="131">
        <f>_xll.qlCalendarAdvance(Calendar,X535,NDays&amp;"D")</f>
        <v>42992</v>
      </c>
      <c r="Z535" s="132">
        <v>1.1168834540762976E-3</v>
      </c>
      <c r="AA535" s="129">
        <v>8.9325792298922124E-4</v>
      </c>
    </row>
    <row r="536" spans="19:27" x14ac:dyDescent="0.2">
      <c r="S536" s="1"/>
      <c r="T536" s="109"/>
      <c r="W536" s="130" t="str">
        <f t="shared" si="18"/>
        <v>1D</v>
      </c>
      <c r="X536" s="128">
        <f>_xll.qlCalendarAdvance(Calendar,X535,W536,"f",FALSE)</f>
        <v>42991</v>
      </c>
      <c r="Y536" s="131">
        <f>_xll.qlCalendarAdvance(Calendar,X536,NDays&amp;"D")</f>
        <v>42993</v>
      </c>
      <c r="Z536" s="132">
        <v>1.121993218144868E-3</v>
      </c>
      <c r="AA536" s="129">
        <v>9.0261209064301795E-4</v>
      </c>
    </row>
    <row r="537" spans="19:27" x14ac:dyDescent="0.2">
      <c r="S537" s="1"/>
      <c r="T537" s="109"/>
      <c r="W537" s="130" t="s">
        <v>164</v>
      </c>
      <c r="X537" s="128">
        <f>_xll.qlCalendarAdvance(Calendar,X536,W537,"f",FALSE)</f>
        <v>42998</v>
      </c>
      <c r="Y537" s="131">
        <f>_xll.qlCalendarAdvance(Calendar,X537,NDays&amp;"D")</f>
        <v>43000</v>
      </c>
      <c r="Z537" s="132">
        <v>1.158025608013175E-3</v>
      </c>
      <c r="AA537" s="129">
        <v>9.3574893412551319E-4</v>
      </c>
    </row>
    <row r="538" spans="19:27" x14ac:dyDescent="0.2">
      <c r="S538" s="1"/>
      <c r="T538" s="109"/>
      <c r="W538" s="130" t="str">
        <f t="shared" si="18"/>
        <v>1w</v>
      </c>
      <c r="X538" s="128">
        <f>_xll.qlCalendarAdvance(Calendar,X537,W538,"f",FALSE)</f>
        <v>43005</v>
      </c>
      <c r="Y538" s="131">
        <f>_xll.qlCalendarAdvance(Calendar,X538,NDays&amp;"D")</f>
        <v>43007</v>
      </c>
      <c r="Z538" s="132">
        <v>1.1945118392547556E-3</v>
      </c>
      <c r="AA538" s="129">
        <v>9.6938642153432397E-4</v>
      </c>
    </row>
    <row r="539" spans="19:27" x14ac:dyDescent="0.2">
      <c r="S539" s="1"/>
      <c r="T539" s="109"/>
      <c r="W539" s="130" t="str">
        <f t="shared" si="18"/>
        <v>1w</v>
      </c>
      <c r="X539" s="128">
        <f>_xll.qlCalendarAdvance(Calendar,X538,W539,"f",FALSE)</f>
        <v>43012</v>
      </c>
      <c r="Y539" s="131">
        <f>_xll.qlCalendarAdvance(Calendar,X539,NDays&amp;"D")</f>
        <v>43014</v>
      </c>
      <c r="Z539" s="132">
        <v>1.2396437792978326E-3</v>
      </c>
      <c r="AA539" s="129">
        <v>1.0034754484955499E-3</v>
      </c>
    </row>
    <row r="540" spans="19:27" x14ac:dyDescent="0.2">
      <c r="S540" s="1"/>
      <c r="T540" s="109"/>
      <c r="W540" s="130" t="str">
        <f t="shared" si="18"/>
        <v>1w</v>
      </c>
      <c r="X540" s="128">
        <f>_xll.qlCalendarAdvance(Calendar,X539,W540,"f",FALSE)</f>
        <v>43019</v>
      </c>
      <c r="Y540" s="131">
        <f>_xll.qlCalendarAdvance(Calendar,X540,NDays&amp;"D")</f>
        <v>43021</v>
      </c>
      <c r="Z540" s="132">
        <v>1.2771312869865313E-3</v>
      </c>
      <c r="AA540" s="129">
        <v>1.0380160153289353E-3</v>
      </c>
    </row>
    <row r="541" spans="19:27" x14ac:dyDescent="0.2">
      <c r="S541" s="1"/>
      <c r="T541" s="109"/>
      <c r="W541" s="130" t="str">
        <f t="shared" si="18"/>
        <v>1w</v>
      </c>
      <c r="X541" s="128">
        <f>_xll.qlCalendarAdvance(Calendar,X540,W541,"f",FALSE)</f>
        <v>43026</v>
      </c>
      <c r="Y541" s="131">
        <f>_xll.qlCalendarAdvance(Calendar,X541,NDays&amp;"D")</f>
        <v>43028</v>
      </c>
      <c r="Z541" s="132">
        <v>1.3150708428409385E-3</v>
      </c>
      <c r="AA541" s="129">
        <v>1.0730081225407417E-3</v>
      </c>
    </row>
    <row r="542" spans="19:27" x14ac:dyDescent="0.2">
      <c r="S542" s="1"/>
      <c r="T542" s="109"/>
      <c r="W542" s="130" t="str">
        <f t="shared" si="18"/>
        <v>1w</v>
      </c>
      <c r="X542" s="128">
        <f>_xll.qlCalendarAdvance(Calendar,X541,W542,"f",FALSE)</f>
        <v>43033</v>
      </c>
      <c r="Y542" s="131">
        <f>_xll.qlCalendarAdvance(Calendar,X542,NDays&amp;"D")</f>
        <v>43035</v>
      </c>
      <c r="Z542" s="132">
        <v>1.3534624602792569E-3</v>
      </c>
      <c r="AA542" s="129">
        <v>1.1084517703707775E-3</v>
      </c>
    </row>
    <row r="543" spans="19:27" x14ac:dyDescent="0.2">
      <c r="S543" s="1"/>
      <c r="T543" s="109"/>
      <c r="W543" s="130" t="str">
        <f t="shared" si="18"/>
        <v>1w</v>
      </c>
      <c r="X543" s="128">
        <f>_xll.qlCalendarAdvance(Calendar,X542,W543,"f",FALSE)</f>
        <v>43040</v>
      </c>
      <c r="Y543" s="131">
        <f>_xll.qlCalendarAdvance(Calendar,X543,NDays&amp;"D")</f>
        <v>43042</v>
      </c>
      <c r="Z543" s="132">
        <v>1.3923061528863646E-3</v>
      </c>
      <c r="AA543" s="129">
        <v>1.1443469592986588E-3</v>
      </c>
    </row>
    <row r="544" spans="19:27" x14ac:dyDescent="0.2">
      <c r="S544" s="1"/>
      <c r="T544" s="109"/>
      <c r="W544" s="130" t="str">
        <f t="shared" si="18"/>
        <v>1w</v>
      </c>
      <c r="X544" s="128">
        <f>_xll.qlCalendarAdvance(Calendar,X543,W544,"f",FALSE)</f>
        <v>43047</v>
      </c>
      <c r="Y544" s="131">
        <f>_xll.qlCalendarAdvance(Calendar,X544,NDays&amp;"D")</f>
        <v>43049</v>
      </c>
      <c r="Z544" s="132">
        <v>1.431601934406161E-3</v>
      </c>
      <c r="AA544" s="129">
        <v>1.1806936897240661E-3</v>
      </c>
    </row>
    <row r="545" spans="19:27" x14ac:dyDescent="0.2">
      <c r="S545" s="1"/>
      <c r="T545" s="109"/>
      <c r="W545" s="130" t="str">
        <f t="shared" si="18"/>
        <v>1w</v>
      </c>
      <c r="X545" s="128">
        <f>_xll.qlCalendarAdvance(Calendar,X544,W545,"f",FALSE)</f>
        <v>43054</v>
      </c>
      <c r="Y545" s="131">
        <f>_xll.qlCalendarAdvance(Calendar,X545,NDays&amp;"D")</f>
        <v>43056</v>
      </c>
      <c r="Z545" s="132">
        <v>1.4713498187390163E-3</v>
      </c>
      <c r="AA545" s="129">
        <v>1.2174919620733249E-3</v>
      </c>
    </row>
    <row r="546" spans="19:27" x14ac:dyDescent="0.2">
      <c r="S546" s="1"/>
      <c r="T546" s="109"/>
      <c r="W546" s="130" t="str">
        <f t="shared" si="18"/>
        <v>1w</v>
      </c>
      <c r="X546" s="128">
        <f>_xll.qlCalendarAdvance(Calendar,X545,W546,"f",FALSE)</f>
        <v>43061</v>
      </c>
      <c r="Y546" s="131">
        <f>_xll.qlCalendarAdvance(Calendar,X546,NDays&amp;"D")</f>
        <v>43063</v>
      </c>
      <c r="Z546" s="132">
        <v>1.5115498199494248E-3</v>
      </c>
      <c r="AA546" s="129">
        <v>1.2547417767461155E-3</v>
      </c>
    </row>
    <row r="547" spans="19:27" x14ac:dyDescent="0.2">
      <c r="S547" s="1"/>
      <c r="T547" s="109"/>
      <c r="W547" s="130" t="str">
        <f t="shared" si="18"/>
        <v>1w</v>
      </c>
      <c r="X547" s="128">
        <f>_xll.qlCalendarAdvance(Calendar,X546,W547,"f",FALSE)</f>
        <v>43068</v>
      </c>
      <c r="Y547" s="131">
        <f>_xll.qlCalendarAdvance(Calendar,X547,NDays&amp;"D")</f>
        <v>43070</v>
      </c>
      <c r="Z547" s="132">
        <v>1.5402450409576218E-3</v>
      </c>
      <c r="AA547" s="129">
        <v>1.2924431341687637E-3</v>
      </c>
    </row>
    <row r="548" spans="19:27" x14ac:dyDescent="0.2">
      <c r="S548" s="1"/>
      <c r="T548" s="109"/>
      <c r="W548" s="130" t="str">
        <f t="shared" si="18"/>
        <v>1w</v>
      </c>
      <c r="X548" s="128">
        <f>_xll.qlCalendarAdvance(Calendar,X547,W548,"f",FALSE)</f>
        <v>43075</v>
      </c>
      <c r="Y548" s="131">
        <f>_xll.qlCalendarAdvance(Calendar,X548,NDays&amp;"D")</f>
        <v>43077</v>
      </c>
      <c r="Z548" s="132">
        <v>1.5812194194042561E-3</v>
      </c>
      <c r="AA548" s="129">
        <v>1.3305960347409496E-3</v>
      </c>
    </row>
    <row r="549" spans="19:27" x14ac:dyDescent="0.2">
      <c r="S549" s="1"/>
      <c r="T549" s="109"/>
      <c r="W549" s="130" t="str">
        <f t="shared" si="18"/>
        <v>1w</v>
      </c>
      <c r="X549" s="128">
        <f>_xll.qlCalendarAdvance(Calendar,X548,W549,"f",FALSE)</f>
        <v>43082</v>
      </c>
      <c r="Y549" s="131">
        <f>_xll.qlCalendarAdvance(Calendar,X549,NDays&amp;"D")</f>
        <v>43084</v>
      </c>
      <c r="Z549" s="132">
        <v>1.6226459268766646E-3</v>
      </c>
      <c r="AA549" s="129">
        <v>1.3692004789422896E-3</v>
      </c>
    </row>
    <row r="550" spans="19:27" x14ac:dyDescent="0.2">
      <c r="S550" s="1"/>
      <c r="T550" s="109"/>
      <c r="W550" s="130" t="str">
        <f t="shared" si="18"/>
        <v>1w</v>
      </c>
      <c r="X550" s="128">
        <f>_xll.qlCalendarAdvance(Calendar,X549,W550,"f",FALSE)</f>
        <v>43089</v>
      </c>
      <c r="Y550" s="131">
        <f>_xll.qlCalendarAdvance(Calendar,X550,NDays&amp;"D")</f>
        <v>43091</v>
      </c>
      <c r="Z550" s="132">
        <v>1.6645245774080664E-3</v>
      </c>
      <c r="AA550" s="129">
        <v>1.4138844510540594E-3</v>
      </c>
    </row>
    <row r="551" spans="19:27" x14ac:dyDescent="0.2">
      <c r="S551" s="1"/>
      <c r="T551" s="109"/>
      <c r="W551" s="130" t="str">
        <f t="shared" si="18"/>
        <v>1w</v>
      </c>
      <c r="X551" s="128">
        <f>_xll.qlCalendarAdvance(Calendar,X550,W551,"f",FALSE)</f>
        <v>43096</v>
      </c>
      <c r="Y551" s="131">
        <f>_xll.qlCalendarAdvance(Calendar,X551,NDays&amp;"D")</f>
        <v>43098</v>
      </c>
      <c r="Z551" s="132">
        <v>1.7068553851835588E-3</v>
      </c>
      <c r="AA551" s="129">
        <v>1.4506088552956875E-3</v>
      </c>
    </row>
    <row r="552" spans="19:27" x14ac:dyDescent="0.2">
      <c r="S552" s="1"/>
      <c r="T552" s="109"/>
      <c r="W552" s="130" t="str">
        <f t="shared" si="18"/>
        <v>1w</v>
      </c>
      <c r="X552" s="128">
        <f>_xll.qlCalendarAdvance(Calendar,X551,W552,"f",FALSE)</f>
        <v>43103</v>
      </c>
      <c r="Y552" s="131">
        <f>_xll.qlCalendarAdvance(Calendar,X552,NDays&amp;"D")</f>
        <v>43105</v>
      </c>
      <c r="Z552" s="132">
        <v>1.749638364544559E-3</v>
      </c>
      <c r="AA552" s="129">
        <v>1.4877230775312E-3</v>
      </c>
    </row>
    <row r="553" spans="19:27" x14ac:dyDescent="0.2">
      <c r="S553" s="1"/>
      <c r="T553" s="109"/>
      <c r="W553" s="130" t="str">
        <f t="shared" si="18"/>
        <v>1w</v>
      </c>
      <c r="X553" s="128">
        <f>_xll.qlCalendarAdvance(Calendar,X552,W553,"f",FALSE)</f>
        <v>43110</v>
      </c>
      <c r="Y553" s="131">
        <f>_xll.qlCalendarAdvance(Calendar,X553,NDays&amp;"D")</f>
        <v>43112</v>
      </c>
      <c r="Z553" s="132">
        <v>1.7928735299843623E-3</v>
      </c>
      <c r="AA553" s="129">
        <v>1.5281337005390583E-3</v>
      </c>
    </row>
    <row r="554" spans="19:27" x14ac:dyDescent="0.2">
      <c r="S554" s="1"/>
      <c r="T554" s="109"/>
      <c r="W554" s="130" t="str">
        <f t="shared" si="18"/>
        <v>1w</v>
      </c>
      <c r="X554" s="128">
        <f>_xll.qlCalendarAdvance(Calendar,X553,W554,"f",FALSE)</f>
        <v>43117</v>
      </c>
      <c r="Y554" s="131">
        <f>_xll.qlCalendarAdvance(Calendar,X554,NDays&amp;"D")</f>
        <v>43119</v>
      </c>
      <c r="Z554" s="132">
        <v>1.8365608961481428E-3</v>
      </c>
      <c r="AA554" s="129">
        <v>1.5689958693876349E-3</v>
      </c>
    </row>
    <row r="555" spans="19:27" x14ac:dyDescent="0.2">
      <c r="S555" s="1"/>
      <c r="T555" s="109"/>
      <c r="W555" s="130" t="str">
        <f t="shared" si="18"/>
        <v>1w</v>
      </c>
      <c r="X555" s="128">
        <f>_xll.qlCalendarAdvance(Calendar,X554,W555,"f",FALSE)</f>
        <v>43124</v>
      </c>
      <c r="Y555" s="131">
        <f>_xll.qlCalendarAdvance(Calendar,X555,NDays&amp;"D")</f>
        <v>43126</v>
      </c>
      <c r="Z555" s="132">
        <v>1.8807004778373937E-3</v>
      </c>
      <c r="AA555" s="129">
        <v>1.6103095845032556E-3</v>
      </c>
    </row>
    <row r="556" spans="19:27" x14ac:dyDescent="0.2">
      <c r="S556" s="1"/>
      <c r="T556" s="109"/>
      <c r="W556" s="130" t="str">
        <f t="shared" si="18"/>
        <v>1w</v>
      </c>
      <c r="X556" s="128">
        <f>_xll.qlCalendarAdvance(Calendar,X555,W556,"f",FALSE)</f>
        <v>43131</v>
      </c>
      <c r="Y556" s="131">
        <f>_xll.qlCalendarAdvance(Calendar,X556,NDays&amp;"D")</f>
        <v>43133</v>
      </c>
      <c r="Z556" s="132">
        <v>1.9220182725906757E-3</v>
      </c>
      <c r="AA556" s="129">
        <v>1.6520748464188273E-3</v>
      </c>
    </row>
    <row r="557" spans="19:27" x14ac:dyDescent="0.2">
      <c r="S557" s="1"/>
      <c r="T557" s="109"/>
      <c r="W557" s="130" t="str">
        <f t="shared" si="18"/>
        <v>1w</v>
      </c>
      <c r="X557" s="128">
        <f>_xll.qlCalendarAdvance(Calendar,X556,W557,"f",FALSE)</f>
        <v>43138</v>
      </c>
      <c r="Y557" s="131">
        <f>_xll.qlCalendarAdvance(Calendar,X557,NDays&amp;"D")</f>
        <v>43140</v>
      </c>
      <c r="Z557" s="132">
        <v>1.9670297827358752E-3</v>
      </c>
      <c r="AA557" s="129">
        <v>1.6942916555340304E-3</v>
      </c>
    </row>
    <row r="558" spans="19:27" x14ac:dyDescent="0.2">
      <c r="S558" s="1"/>
      <c r="T558" s="109"/>
      <c r="W558" s="130" t="str">
        <f t="shared" si="18"/>
        <v>1w</v>
      </c>
      <c r="X558" s="128">
        <f>_xll.qlCalendarAdvance(Calendar,X557,W558,"f",FALSE)</f>
        <v>43145</v>
      </c>
      <c r="Y558" s="131">
        <f>_xll.qlCalendarAdvance(Calendar,X558,NDays&amp;"D")</f>
        <v>43147</v>
      </c>
      <c r="Z558" s="132">
        <v>2.0124935444700617E-3</v>
      </c>
      <c r="AA558" s="129">
        <v>1.7369600123551265E-3</v>
      </c>
    </row>
    <row r="559" spans="19:27" x14ac:dyDescent="0.2">
      <c r="S559" s="1"/>
      <c r="T559" s="109"/>
      <c r="W559" s="130" t="str">
        <f t="shared" si="18"/>
        <v>1w</v>
      </c>
      <c r="X559" s="128">
        <f>_xll.qlCalendarAdvance(Calendar,X558,W559,"f",FALSE)</f>
        <v>43152</v>
      </c>
      <c r="Y559" s="131">
        <f>_xll.qlCalendarAdvance(Calendar,X559,NDays&amp;"D")</f>
        <v>43154</v>
      </c>
      <c r="Z559" s="132">
        <v>2.0584095730233E-3</v>
      </c>
      <c r="AA559" s="129">
        <v>1.7800799173883775E-3</v>
      </c>
    </row>
    <row r="560" spans="19:27" x14ac:dyDescent="0.2">
      <c r="S560" s="1"/>
      <c r="T560" s="109"/>
      <c r="W560" s="130" t="str">
        <f t="shared" si="18"/>
        <v>1w</v>
      </c>
      <c r="X560" s="128">
        <f>_xll.qlCalendarAdvance(Calendar,X559,W560,"f",FALSE)</f>
        <v>43159</v>
      </c>
      <c r="Y560" s="131">
        <f>_xll.qlCalendarAdvance(Calendar,X560,NDays&amp;"D")</f>
        <v>43161</v>
      </c>
      <c r="Z560" s="132">
        <v>2.1218303652611719E-3</v>
      </c>
      <c r="AA560" s="129">
        <v>1.8236513710867541E-3</v>
      </c>
    </row>
    <row r="561" spans="19:27" x14ac:dyDescent="0.2">
      <c r="S561" s="1"/>
      <c r="T561" s="109"/>
      <c r="W561" s="130" t="str">
        <f t="shared" si="18"/>
        <v>1w</v>
      </c>
      <c r="X561" s="128">
        <f>_xll.qlCalendarAdvance(Calendar,X560,W561,"f",FALSE)</f>
        <v>43166</v>
      </c>
      <c r="Y561" s="131">
        <f>_xll.qlCalendarAdvance(Calendar,X561,NDays&amp;"D")</f>
        <v>43168</v>
      </c>
      <c r="Z561" s="132">
        <v>2.1688139160447079E-3</v>
      </c>
      <c r="AA561" s="129">
        <v>1.8676743739565183E-3</v>
      </c>
    </row>
    <row r="562" spans="19:27" x14ac:dyDescent="0.2">
      <c r="S562" s="1"/>
      <c r="T562" s="109"/>
      <c r="W562" s="130" t="str">
        <f t="shared" si="18"/>
        <v>1w</v>
      </c>
      <c r="X562" s="128">
        <f>_xll.qlCalendarAdvance(Calendar,X561,W562,"f",FALSE)</f>
        <v>43173</v>
      </c>
      <c r="Y562" s="131">
        <f>_xll.qlCalendarAdvance(Calendar,X562,NDays&amp;"D")</f>
        <v>43175</v>
      </c>
      <c r="Z562" s="132">
        <v>2.2162498304862657E-3</v>
      </c>
      <c r="AA562" s="129">
        <v>1.9121489265039315E-3</v>
      </c>
    </row>
    <row r="563" spans="19:27" x14ac:dyDescent="0.2">
      <c r="S563" s="1"/>
      <c r="T563" s="109"/>
      <c r="W563" s="130" t="str">
        <f t="shared" si="18"/>
        <v>1w</v>
      </c>
      <c r="X563" s="128">
        <f>_xll.qlCalendarAdvance(Calendar,X562,W563,"f",FALSE)</f>
        <v>43180</v>
      </c>
      <c r="Y563" s="131">
        <f>_xll.qlCalendarAdvance(Calendar,X563,NDays&amp;"D")</f>
        <v>43182</v>
      </c>
      <c r="Z563" s="132">
        <v>2.2641381253724175E-3</v>
      </c>
      <c r="AA563" s="129">
        <v>1.957075029181965E-3</v>
      </c>
    </row>
    <row r="564" spans="19:27" x14ac:dyDescent="0.2">
      <c r="S564" s="1"/>
      <c r="T564" s="109"/>
      <c r="W564" s="130" t="str">
        <f t="shared" si="18"/>
        <v>1w</v>
      </c>
      <c r="X564" s="128">
        <f>_xll.qlCalendarAdvance(Calendar,X563,W564,"f",FALSE)</f>
        <v>43187</v>
      </c>
      <c r="Y564" s="131">
        <f>_xll.qlCalendarAdvance(Calendar,X564,NDays&amp;"D")</f>
        <v>43193</v>
      </c>
      <c r="Z564" s="132">
        <v>2.329617159875938E-3</v>
      </c>
      <c r="AA564" s="129">
        <v>2.0220240493973307E-3</v>
      </c>
    </row>
    <row r="565" spans="19:27" x14ac:dyDescent="0.2">
      <c r="S565" s="1"/>
      <c r="T565" s="109"/>
      <c r="W565" s="130" t="str">
        <f t="shared" si="18"/>
        <v>1w</v>
      </c>
      <c r="X565" s="128">
        <f>_xll.qlCalendarAdvance(Calendar,X564,W565,"f",FALSE)</f>
        <v>43194</v>
      </c>
      <c r="Y565" s="131">
        <f>_xll.qlCalendarAdvance(Calendar,X565,NDays&amp;"D")</f>
        <v>43196</v>
      </c>
      <c r="Z565" s="132">
        <v>2.3505419317076644E-3</v>
      </c>
      <c r="AA565" s="129">
        <v>2.0482818871148112E-3</v>
      </c>
    </row>
    <row r="566" spans="19:27" x14ac:dyDescent="0.2">
      <c r="S566" s="1"/>
      <c r="T566" s="109"/>
      <c r="W566" s="130" t="str">
        <f t="shared" si="18"/>
        <v>1w</v>
      </c>
      <c r="X566" s="128">
        <f>_xll.qlCalendarAdvance(Calendar,X565,W566,"f",FALSE)</f>
        <v>43201</v>
      </c>
      <c r="Y566" s="131">
        <f>_xll.qlCalendarAdvance(Calendar,X566,NDays&amp;"D")</f>
        <v>43203</v>
      </c>
      <c r="Z566" s="132">
        <v>2.3996895438986453E-3</v>
      </c>
      <c r="AA566" s="129">
        <v>2.094562643355502E-3</v>
      </c>
    </row>
    <row r="567" spans="19:27" x14ac:dyDescent="0.2">
      <c r="S567" s="1"/>
      <c r="T567" s="109"/>
      <c r="W567" s="130" t="str">
        <f t="shared" si="18"/>
        <v>1w</v>
      </c>
      <c r="X567" s="128">
        <f>_xll.qlCalendarAdvance(Calendar,X566,W567,"f",FALSE)</f>
        <v>43208</v>
      </c>
      <c r="Y567" s="131">
        <f>_xll.qlCalendarAdvance(Calendar,X567,NDays&amp;"D")</f>
        <v>43210</v>
      </c>
      <c r="Z567" s="132">
        <v>2.4492895721555546E-3</v>
      </c>
      <c r="AA567" s="129">
        <v>2.1412949518317959E-3</v>
      </c>
    </row>
    <row r="568" spans="19:27" x14ac:dyDescent="0.2">
      <c r="S568" s="1"/>
      <c r="T568" s="109"/>
      <c r="W568" s="130" t="str">
        <f t="shared" si="18"/>
        <v>1w</v>
      </c>
      <c r="X568" s="128">
        <f>_xll.qlCalendarAdvance(Calendar,X567,W568,"f",FALSE)</f>
        <v>43215</v>
      </c>
      <c r="Y568" s="131">
        <f>_xll.qlCalendarAdvance(Calendar,X568,NDays&amp;"D")</f>
        <v>43217</v>
      </c>
      <c r="Z568" s="132">
        <v>2.4993420334696371E-3</v>
      </c>
      <c r="AA568" s="129">
        <v>2.1884788131032451E-3</v>
      </c>
    </row>
    <row r="569" spans="19:27" x14ac:dyDescent="0.2">
      <c r="S569" s="1"/>
      <c r="T569" s="109"/>
      <c r="W569" s="130" t="str">
        <f t="shared" si="18"/>
        <v>1w</v>
      </c>
      <c r="X569" s="128">
        <f>_xll.qlCalendarAdvance(Calendar,X568,W569,"f",FALSE)</f>
        <v>43222</v>
      </c>
      <c r="Y569" s="131">
        <f>_xll.qlCalendarAdvance(Calendar,X569,NDays&amp;"D")</f>
        <v>43224</v>
      </c>
      <c r="Z569" s="132">
        <v>2.5609688441539432E-3</v>
      </c>
      <c r="AA569" s="129">
        <v>2.2361142276228207E-3</v>
      </c>
    </row>
    <row r="570" spans="19:27" x14ac:dyDescent="0.2">
      <c r="S570" s="1"/>
      <c r="T570" s="109"/>
      <c r="W570" s="130" t="str">
        <f t="shared" si="18"/>
        <v>1w</v>
      </c>
      <c r="X570" s="128">
        <f>_xll.qlCalendarAdvance(Calendar,X569,W570,"f",FALSE)</f>
        <v>43229</v>
      </c>
      <c r="Y570" s="131">
        <f>_xll.qlCalendarAdvance(Calendar,X570,NDays&amp;"D")</f>
        <v>43231</v>
      </c>
      <c r="Z570" s="132">
        <v>2.6120242855868199E-3</v>
      </c>
      <c r="AA570" s="129">
        <v>2.2842011959767206E-3</v>
      </c>
    </row>
    <row r="571" spans="19:27" x14ac:dyDescent="0.2">
      <c r="S571" s="1"/>
      <c r="T571" s="109"/>
      <c r="W571" s="130" t="str">
        <f t="shared" si="18"/>
        <v>1w</v>
      </c>
      <c r="X571" s="128">
        <f>_xll.qlCalendarAdvance(Calendar,X570,W571,"f",FALSE)</f>
        <v>43236</v>
      </c>
      <c r="Y571" s="131">
        <f>_xll.qlCalendarAdvance(Calendar,X571,NDays&amp;"D")</f>
        <v>43238</v>
      </c>
      <c r="Z571" s="132">
        <v>2.6635322475122639E-3</v>
      </c>
      <c r="AA571" s="129">
        <v>2.3327397186712062E-3</v>
      </c>
    </row>
    <row r="572" spans="19:27" x14ac:dyDescent="0.2">
      <c r="S572" s="1"/>
      <c r="T572" s="109"/>
      <c r="W572" s="130" t="str">
        <f t="shared" si="18"/>
        <v>1w</v>
      </c>
      <c r="X572" s="128">
        <f>_xll.qlCalendarAdvance(Calendar,X571,W572,"f",FALSE)</f>
        <v>43243</v>
      </c>
      <c r="Y572" s="131">
        <f>_xll.qlCalendarAdvance(Calendar,X572,NDays&amp;"D")</f>
        <v>43245</v>
      </c>
      <c r="Z572" s="132">
        <v>2.7154927481590975E-3</v>
      </c>
      <c r="AA572" s="129">
        <v>2.3817297963191209E-3</v>
      </c>
    </row>
    <row r="573" spans="19:27" x14ac:dyDescent="0.2">
      <c r="S573" s="1"/>
      <c r="T573" s="109"/>
      <c r="W573" s="130" t="str">
        <f t="shared" si="18"/>
        <v>1w</v>
      </c>
      <c r="X573" s="128">
        <f>_xll.qlCalendarAdvance(Calendar,X572,W573,"f",FALSE)</f>
        <v>43250</v>
      </c>
      <c r="Y573" s="131">
        <f>_xll.qlCalendarAdvance(Calendar,X573,NDays&amp;"D")</f>
        <v>43252</v>
      </c>
      <c r="Z573" s="132">
        <v>2.7679058059143146E-3</v>
      </c>
      <c r="AA573" s="129">
        <v>2.4311714294267261E-3</v>
      </c>
    </row>
    <row r="574" spans="19:27" x14ac:dyDescent="0.2">
      <c r="S574" s="1"/>
      <c r="T574" s="109"/>
      <c r="W574" s="130" t="str">
        <f t="shared" si="18"/>
        <v>1w</v>
      </c>
      <c r="X574" s="128">
        <f>_xll.qlCalendarAdvance(Calendar,X573,W574,"f",FALSE)</f>
        <v>43257</v>
      </c>
      <c r="Y574" s="131">
        <f>_xll.qlCalendarAdvance(Calendar,X574,NDays&amp;"D")</f>
        <v>43259</v>
      </c>
      <c r="Z574" s="132">
        <v>2.820771439325632E-3</v>
      </c>
      <c r="AA574" s="129">
        <v>2.4810646185535745E-3</v>
      </c>
    </row>
    <row r="575" spans="19:27" x14ac:dyDescent="0.2">
      <c r="S575" s="1"/>
      <c r="T575" s="109"/>
      <c r="W575" s="130" t="str">
        <f t="shared" si="18"/>
        <v>1w</v>
      </c>
      <c r="X575" s="128">
        <f>_xll.qlCalendarAdvance(Calendar,X574,W575,"f",FALSE)</f>
        <v>43264</v>
      </c>
      <c r="Y575" s="131">
        <f>_xll.qlCalendarAdvance(Calendar,X575,NDays&amp;"D")</f>
        <v>43266</v>
      </c>
      <c r="Z575" s="132">
        <v>2.8740854681054443E-3</v>
      </c>
      <c r="AA575" s="129">
        <v>2.531409364232573E-3</v>
      </c>
    </row>
    <row r="576" spans="19:27" x14ac:dyDescent="0.2">
      <c r="S576" s="1"/>
      <c r="T576" s="109"/>
      <c r="W576" s="130" t="str">
        <f t="shared" si="18"/>
        <v>1w</v>
      </c>
      <c r="X576" s="128">
        <f>_xll.qlCalendarAdvance(Calendar,X575,W576,"f",FALSE)</f>
        <v>43271</v>
      </c>
      <c r="Y576" s="131">
        <f>_xll.qlCalendarAdvance(Calendar,X576,NDays&amp;"D")</f>
        <v>43273</v>
      </c>
      <c r="Z576" s="132">
        <v>2.9278177982881345E-3</v>
      </c>
      <c r="AA576" s="129">
        <v>2.5822056671032101E-3</v>
      </c>
    </row>
    <row r="577" spans="19:27" x14ac:dyDescent="0.2">
      <c r="S577" s="1"/>
      <c r="T577" s="109"/>
      <c r="W577" s="130" t="str">
        <f t="shared" si="18"/>
        <v>1w</v>
      </c>
      <c r="X577" s="128">
        <f>_xll.qlCalendarAdvance(Calendar,X576,W577,"f",FALSE)</f>
        <v>43278</v>
      </c>
      <c r="Y577" s="131">
        <f>_xll.qlCalendarAdvance(Calendar,X577,NDays&amp;"D")</f>
        <v>43280</v>
      </c>
      <c r="Z577" s="132">
        <v>2.9700778968622357E-3</v>
      </c>
      <c r="AA577" s="129">
        <v>2.6334535277250382E-3</v>
      </c>
    </row>
    <row r="578" spans="19:27" x14ac:dyDescent="0.2">
      <c r="S578" s="1"/>
      <c r="T578" s="109"/>
      <c r="W578" s="130" t="str">
        <f t="shared" si="18"/>
        <v>1w</v>
      </c>
      <c r="X578" s="128">
        <f>_xll.qlCalendarAdvance(Calendar,X577,W578,"f",FALSE)</f>
        <v>43285</v>
      </c>
      <c r="Y578" s="131">
        <f>_xll.qlCalendarAdvance(Calendar,X578,NDays&amp;"D")</f>
        <v>43287</v>
      </c>
      <c r="Z578" s="132">
        <v>3.0363774564548824E-3</v>
      </c>
      <c r="AA578" s="129">
        <v>2.6851529466309643E-3</v>
      </c>
    </row>
    <row r="579" spans="19:27" x14ac:dyDescent="0.2">
      <c r="S579" s="1"/>
      <c r="T579" s="109"/>
      <c r="W579" s="130" t="str">
        <f t="shared" si="18"/>
        <v>1w</v>
      </c>
      <c r="X579" s="128">
        <f>_xll.qlCalendarAdvance(Calendar,X578,W579,"f",FALSE)</f>
        <v>43292</v>
      </c>
      <c r="Y579" s="131">
        <f>_xll.qlCalendarAdvance(Calendar,X579,NDays&amp;"D")</f>
        <v>43294</v>
      </c>
      <c r="Z579" s="132">
        <v>3.0911247966940022E-3</v>
      </c>
      <c r="AA579" s="129">
        <v>2.7373039244338315E-3</v>
      </c>
    </row>
    <row r="580" spans="19:27" x14ac:dyDescent="0.2">
      <c r="S580" s="1"/>
      <c r="T580" s="109"/>
      <c r="W580" s="130" t="str">
        <f t="shared" si="18"/>
        <v>1w</v>
      </c>
      <c r="X580" s="128">
        <f>_xll.qlCalendarAdvance(Calendar,X579,W580,"f",FALSE)</f>
        <v>43299</v>
      </c>
      <c r="Y580" s="131">
        <f>_xll.qlCalendarAdvance(Calendar,X580,NDays&amp;"D")</f>
        <v>43301</v>
      </c>
      <c r="Z580" s="132">
        <v>3.1461304822136093E-3</v>
      </c>
      <c r="AA580" s="129">
        <v>2.7899064616931923E-3</v>
      </c>
    </row>
    <row r="581" spans="19:27" x14ac:dyDescent="0.2">
      <c r="S581" s="1"/>
      <c r="T581" s="109"/>
      <c r="W581" s="130" t="str">
        <f t="shared" si="18"/>
        <v>1w</v>
      </c>
      <c r="X581" s="128">
        <f>_xll.qlCalendarAdvance(Calendar,X580,W581,"f",FALSE)</f>
        <v>43306</v>
      </c>
      <c r="Y581" s="131">
        <f>_xll.qlCalendarAdvance(Calendar,X581,NDays&amp;"D")</f>
        <v>43308</v>
      </c>
      <c r="Z581" s="132">
        <v>3.2013545136039619E-3</v>
      </c>
      <c r="AA581" s="129">
        <v>2.8429605590751805E-3</v>
      </c>
    </row>
    <row r="582" spans="19:27" x14ac:dyDescent="0.2">
      <c r="S582" s="1"/>
      <c r="T582" s="109"/>
      <c r="W582" s="130" t="str">
        <f t="shared" si="18"/>
        <v>1w</v>
      </c>
      <c r="X582" s="128">
        <f>_xll.qlCalendarAdvance(Calendar,X581,W582,"f",FALSE)</f>
        <v>43313</v>
      </c>
      <c r="Y582" s="131">
        <f>_xll.qlCalendarAdvance(Calendar,X582,NDays&amp;"D")</f>
        <v>43315</v>
      </c>
      <c r="Z582" s="132">
        <v>3.2567568891949989E-3</v>
      </c>
      <c r="AA582" s="129">
        <v>2.8964662171127031E-3</v>
      </c>
    </row>
    <row r="583" spans="19:27" x14ac:dyDescent="0.2">
      <c r="S583" s="1"/>
      <c r="T583" s="109"/>
      <c r="W583" s="130" t="str">
        <f t="shared" si="18"/>
        <v>1w</v>
      </c>
      <c r="X583" s="128">
        <f>_xll.qlCalendarAdvance(Calendar,X582,W583,"f",FALSE)</f>
        <v>43320</v>
      </c>
      <c r="Y583" s="131">
        <f>_xll.qlCalendarAdvance(Calendar,X583,NDays&amp;"D")</f>
        <v>43322</v>
      </c>
      <c r="Z583" s="132">
        <v>3.3122976050265754E-3</v>
      </c>
      <c r="AA583" s="129">
        <v>2.9504234364186033E-3</v>
      </c>
    </row>
    <row r="584" spans="19:27" x14ac:dyDescent="0.2">
      <c r="S584" s="1"/>
      <c r="T584" s="109"/>
      <c r="W584" s="130" t="str">
        <f t="shared" si="18"/>
        <v>1w</v>
      </c>
      <c r="X584" s="128">
        <f>_xll.qlCalendarAdvance(Calendar,X583,W584,"f",FALSE)</f>
        <v>43327</v>
      </c>
      <c r="Y584" s="131">
        <f>_xll.qlCalendarAdvance(Calendar,X584,NDays&amp;"D")</f>
        <v>43329</v>
      </c>
      <c r="Z584" s="132">
        <v>3.367936654844212E-3</v>
      </c>
      <c r="AA584" s="129">
        <v>3.0048322176057241E-3</v>
      </c>
    </row>
    <row r="585" spans="19:27" x14ac:dyDescent="0.2">
      <c r="S585" s="1"/>
      <c r="T585" s="109"/>
      <c r="W585" s="130" t="str">
        <f t="shared" si="18"/>
        <v>1w</v>
      </c>
      <c r="X585" s="128">
        <f>_xll.qlCalendarAdvance(Calendar,X584,W585,"f",FALSE)</f>
        <v>43334</v>
      </c>
      <c r="Y585" s="131">
        <f>_xll.qlCalendarAdvance(Calendar,X585,NDays&amp;"D")</f>
        <v>43336</v>
      </c>
      <c r="Z585" s="132">
        <v>3.4236340300752843E-3</v>
      </c>
      <c r="AA585" s="129">
        <v>3.0596925612869086E-3</v>
      </c>
    </row>
    <row r="586" spans="19:27" x14ac:dyDescent="0.2">
      <c r="S586" s="1"/>
      <c r="T586" s="109"/>
      <c r="W586" s="130" t="str">
        <f t="shared" si="18"/>
        <v>1w</v>
      </c>
      <c r="X586" s="128">
        <f>_xll.qlCalendarAdvance(Calendar,X585,W586,"f",FALSE)</f>
        <v>43341</v>
      </c>
      <c r="Y586" s="131">
        <f>_xll.qlCalendarAdvance(Calendar,X586,NDays&amp;"D")</f>
        <v>43343</v>
      </c>
      <c r="Z586" s="132">
        <v>3.4673900801556507E-3</v>
      </c>
      <c r="AA586" s="129">
        <v>3.1150044681282907E-3</v>
      </c>
    </row>
    <row r="587" spans="19:27" x14ac:dyDescent="0.2">
      <c r="S587" s="1"/>
      <c r="T587" s="109"/>
      <c r="W587" s="130" t="str">
        <f t="shared" si="18"/>
        <v>1w</v>
      </c>
      <c r="X587" s="128">
        <f>_xll.qlCalendarAdvance(Calendar,X586,W587,"f",FALSE)</f>
        <v>43348</v>
      </c>
      <c r="Y587" s="131">
        <f>_xll.qlCalendarAdvance(Calendar,X587,NDays&amp;"D")</f>
        <v>43350</v>
      </c>
      <c r="Z587" s="132">
        <v>3.5230997613895049E-3</v>
      </c>
      <c r="AA587" s="129">
        <v>3.1707679386894227E-3</v>
      </c>
    </row>
    <row r="588" spans="19:27" x14ac:dyDescent="0.2">
      <c r="S588" s="1"/>
      <c r="T588" s="109"/>
      <c r="W588" s="130" t="str">
        <f t="shared" si="18"/>
        <v>1w</v>
      </c>
      <c r="X588" s="128">
        <f>_xll.qlCalendarAdvance(Calendar,X587,W588,"f",FALSE)</f>
        <v>43355</v>
      </c>
      <c r="Y588" s="131">
        <f>_xll.qlCalendarAdvance(Calendar,X588,NDays&amp;"D")</f>
        <v>43357</v>
      </c>
      <c r="Z588" s="132">
        <v>3.5787490011289121E-3</v>
      </c>
      <c r="AA588" s="129">
        <v>3.2268679344049644E-3</v>
      </c>
    </row>
    <row r="589" spans="19:27" x14ac:dyDescent="0.2">
      <c r="S589" s="1"/>
      <c r="T589" s="109"/>
      <c r="W589" s="130" t="str">
        <f t="shared" si="18"/>
        <v>1w</v>
      </c>
      <c r="X589" s="128">
        <f>_xll.qlCalendarAdvance(Calendar,X588,W589,"f",FALSE)</f>
        <v>43362</v>
      </c>
      <c r="Y589" s="131">
        <f>_xll.qlCalendarAdvance(Calendar,X589,NDays&amp;"D")</f>
        <v>43364</v>
      </c>
      <c r="Z589" s="132">
        <v>3.6343149210812057E-3</v>
      </c>
      <c r="AA589" s="129">
        <v>3.2829209915341551E-3</v>
      </c>
    </row>
    <row r="590" spans="19:27" x14ac:dyDescent="0.2">
      <c r="S590" s="1"/>
      <c r="T590" s="109"/>
      <c r="W590" s="130" t="str">
        <f t="shared" si="18"/>
        <v>1w</v>
      </c>
      <c r="X590" s="128">
        <f>_xll.qlCalendarAdvance(Calendar,X589,W590,"f",FALSE)</f>
        <v>43369</v>
      </c>
      <c r="Y590" s="131">
        <f>_xll.qlCalendarAdvance(Calendar,X590,NDays&amp;"D")</f>
        <v>43371</v>
      </c>
      <c r="Z590" s="132">
        <v>3.7016908532085139E-3</v>
      </c>
      <c r="AA590" s="129">
        <v>3.3388887635776854E-3</v>
      </c>
    </row>
    <row r="591" spans="19:27" x14ac:dyDescent="0.2">
      <c r="S591" s="1"/>
      <c r="T591" s="109"/>
      <c r="W591" s="130" t="str">
        <f t="shared" si="18"/>
        <v>1w</v>
      </c>
      <c r="X591" s="128">
        <f>_xll.qlCalendarAdvance(Calendar,X590,W591,"f",FALSE)</f>
        <v>43376</v>
      </c>
      <c r="Y591" s="131">
        <f>_xll.qlCalendarAdvance(Calendar,X591,NDays&amp;"D")</f>
        <v>43378</v>
      </c>
      <c r="Z591" s="132">
        <v>3.7570711401784061E-3</v>
      </c>
      <c r="AA591" s="129">
        <v>3.3947712503756833E-3</v>
      </c>
    </row>
    <row r="592" spans="19:27" x14ac:dyDescent="0.2">
      <c r="S592" s="1"/>
      <c r="T592" s="109"/>
      <c r="W592" s="130" t="str">
        <f t="shared" si="18"/>
        <v>1w</v>
      </c>
      <c r="X592" s="128">
        <f>_xll.qlCalendarAdvance(Calendar,X591,W592,"f",FALSE)</f>
        <v>43383</v>
      </c>
      <c r="Y592" s="131">
        <f>_xll.qlCalendarAdvance(Calendar,X592,NDays&amp;"D")</f>
        <v>43385</v>
      </c>
      <c r="Z592" s="132">
        <v>3.8123668333678068E-3</v>
      </c>
      <c r="AA592" s="129">
        <v>3.4505684518482127E-3</v>
      </c>
    </row>
    <row r="593" spans="19:27" x14ac:dyDescent="0.2">
      <c r="S593" s="1"/>
      <c r="T593" s="109"/>
      <c r="W593" s="130" t="str">
        <f t="shared" si="18"/>
        <v>1w</v>
      </c>
      <c r="X593" s="128">
        <f>_xll.qlCalendarAdvance(Calendar,X592,W593,"f",FALSE)</f>
        <v>43390</v>
      </c>
      <c r="Y593" s="131">
        <f>_xll.qlCalendarAdvance(Calendar,X593,NDays&amp;"D")</f>
        <v>43392</v>
      </c>
      <c r="Z593" s="132">
        <v>3.8675779290903035E-3</v>
      </c>
      <c r="AA593" s="129">
        <v>3.5062803678620469E-3</v>
      </c>
    </row>
    <row r="594" spans="19:27" x14ac:dyDescent="0.2">
      <c r="S594" s="1"/>
      <c r="T594" s="109"/>
      <c r="W594" s="130" t="str">
        <f t="shared" si="18"/>
        <v>1w</v>
      </c>
      <c r="X594" s="128">
        <f>_xll.qlCalendarAdvance(Calendar,X593,W594,"f",FALSE)</f>
        <v>43397</v>
      </c>
      <c r="Y594" s="131">
        <f>_xll.qlCalendarAdvance(Calendar,X594,NDays&amp;"D")</f>
        <v>43399</v>
      </c>
      <c r="Z594" s="132">
        <v>3.9227044236705387E-3</v>
      </c>
      <c r="AA594" s="129">
        <v>3.5619069983106044E-3</v>
      </c>
    </row>
    <row r="595" spans="19:27" x14ac:dyDescent="0.2">
      <c r="S595" s="1"/>
      <c r="T595" s="109"/>
      <c r="W595" s="130" t="str">
        <f t="shared" si="18"/>
        <v>1w</v>
      </c>
      <c r="X595" s="128">
        <f>_xll.qlCalendarAdvance(Calendar,X594,W595,"f",FALSE)</f>
        <v>43404</v>
      </c>
      <c r="Y595" s="131">
        <f>_xll.qlCalendarAdvance(Calendar,X595,NDays&amp;"D")</f>
        <v>43406</v>
      </c>
      <c r="Z595" s="132">
        <v>3.9777463134340035E-3</v>
      </c>
      <c r="AA595" s="129">
        <v>3.6174483430606585E-3</v>
      </c>
    </row>
    <row r="596" spans="19:27" x14ac:dyDescent="0.2">
      <c r="S596" s="1"/>
      <c r="T596" s="109"/>
      <c r="W596" s="130" t="str">
        <f t="shared" si="18"/>
        <v>1w</v>
      </c>
      <c r="X596" s="128">
        <f>_xll.qlCalendarAdvance(Calendar,X595,W596,"f",FALSE)</f>
        <v>43411</v>
      </c>
      <c r="Y596" s="131">
        <f>_xll.qlCalendarAdvance(Calendar,X596,NDays&amp;"D")</f>
        <v>43413</v>
      </c>
      <c r="Z596" s="132">
        <v>4.0327035947146962E-3</v>
      </c>
      <c r="AA596" s="129">
        <v>3.6729044019789825E-3</v>
      </c>
    </row>
    <row r="597" spans="19:27" x14ac:dyDescent="0.2">
      <c r="S597" s="1"/>
      <c r="T597" s="109"/>
      <c r="W597" s="130" t="str">
        <f t="shared" ref="W597:W660" si="19">W596</f>
        <v>1w</v>
      </c>
      <c r="X597" s="128">
        <f>_xll.qlCalendarAdvance(Calendar,X596,W597,"f",FALSE)</f>
        <v>43418</v>
      </c>
      <c r="Y597" s="131">
        <f>_xll.qlCalendarAdvance(Calendar,X597,NDays&amp;"D")</f>
        <v>43420</v>
      </c>
      <c r="Z597" s="132">
        <v>4.0875762638525638E-3</v>
      </c>
      <c r="AA597" s="129">
        <v>3.7282751749856402E-3</v>
      </c>
    </row>
    <row r="598" spans="19:27" x14ac:dyDescent="0.2">
      <c r="S598" s="1"/>
      <c r="T598" s="109"/>
      <c r="W598" s="130" t="str">
        <f t="shared" si="19"/>
        <v>1w</v>
      </c>
      <c r="X598" s="128">
        <f>_xll.qlCalendarAdvance(Calendar,X597,W598,"f",FALSE)</f>
        <v>43425</v>
      </c>
      <c r="Y598" s="131">
        <f>_xll.qlCalendarAdvance(Calendar,X598,NDays&amp;"D")</f>
        <v>43427</v>
      </c>
      <c r="Z598" s="132">
        <v>4.1423643171909592E-3</v>
      </c>
      <c r="AA598" s="129">
        <v>3.7835606619474049E-3</v>
      </c>
    </row>
    <row r="599" spans="19:27" x14ac:dyDescent="0.2">
      <c r="S599" s="1"/>
      <c r="T599" s="109"/>
      <c r="W599" s="130" t="str">
        <f t="shared" si="19"/>
        <v>1w</v>
      </c>
      <c r="X599" s="128">
        <f>_xll.qlCalendarAdvance(Calendar,X598,W599,"f",FALSE)</f>
        <v>43432</v>
      </c>
      <c r="Y599" s="131">
        <f>_xll.qlCalendarAdvance(Calendar,X599,NDays&amp;"D")</f>
        <v>43434</v>
      </c>
      <c r="Z599" s="132">
        <v>4.1814031805476048E-3</v>
      </c>
      <c r="AA599" s="129">
        <v>3.8387608627310499E-3</v>
      </c>
    </row>
    <row r="600" spans="19:27" x14ac:dyDescent="0.2">
      <c r="S600" s="1"/>
      <c r="T600" s="109"/>
      <c r="W600" s="130" t="str">
        <f t="shared" si="19"/>
        <v>1w</v>
      </c>
      <c r="X600" s="128">
        <f>_xll.qlCalendarAdvance(Calendar,X599,W600,"f",FALSE)</f>
        <v>43439</v>
      </c>
      <c r="Y600" s="131">
        <f>_xll.qlCalendarAdvance(Calendar,X600,NDays&amp;"D")</f>
        <v>43441</v>
      </c>
      <c r="Z600" s="132">
        <v>4.2360436166033466E-3</v>
      </c>
      <c r="AA600" s="129">
        <v>3.8938757772299937E-3</v>
      </c>
    </row>
    <row r="601" spans="19:27" x14ac:dyDescent="0.2">
      <c r="S601" s="1"/>
      <c r="T601" s="109"/>
      <c r="W601" s="130" t="str">
        <f t="shared" si="19"/>
        <v>1w</v>
      </c>
      <c r="X601" s="128">
        <f>_xll.qlCalendarAdvance(Calendar,X600,W601,"f",FALSE)</f>
        <v>43446</v>
      </c>
      <c r="Y601" s="131">
        <f>_xll.qlCalendarAdvance(Calendar,X601,NDays&amp;"D")</f>
        <v>43448</v>
      </c>
      <c r="Z601" s="132">
        <v>4.2905993978568091E-3</v>
      </c>
      <c r="AA601" s="129">
        <v>3.9489054053376549E-3</v>
      </c>
    </row>
    <row r="602" spans="19:27" x14ac:dyDescent="0.2">
      <c r="S602" s="1"/>
      <c r="T602" s="109"/>
      <c r="W602" s="130" t="str">
        <f t="shared" si="19"/>
        <v>1w</v>
      </c>
      <c r="X602" s="128">
        <f>_xll.qlCalendarAdvance(Calendar,X601,W602,"f",FALSE)</f>
        <v>43453</v>
      </c>
      <c r="Y602" s="131">
        <f>_xll.qlCalendarAdvance(Calendar,X602,NDays&amp;"D")</f>
        <v>43455</v>
      </c>
      <c r="Z602" s="132">
        <v>4.3450705208307738E-3</v>
      </c>
      <c r="AA602" s="129">
        <v>4.0038497469208068E-3</v>
      </c>
    </row>
    <row r="603" spans="19:27" x14ac:dyDescent="0.2">
      <c r="S603" s="1"/>
      <c r="T603" s="109"/>
      <c r="W603" s="130" t="str">
        <f t="shared" si="19"/>
        <v>1w</v>
      </c>
      <c r="X603" s="128">
        <f>_xll.qlCalendarAdvance(Calendar,X602,W603,"f",FALSE)</f>
        <v>43461</v>
      </c>
      <c r="Y603" s="131">
        <f>_xll.qlCalendarAdvance(Calendar,X603,NDays&amp;"D")</f>
        <v>43465</v>
      </c>
      <c r="Z603" s="132">
        <v>4.4149521487997631E-3</v>
      </c>
      <c r="AA603" s="129">
        <v>4.0782579150544507E-3</v>
      </c>
    </row>
    <row r="604" spans="19:27" x14ac:dyDescent="0.2">
      <c r="S604" s="1"/>
      <c r="T604" s="109"/>
      <c r="W604" s="130" t="str">
        <f t="shared" si="19"/>
        <v>1w</v>
      </c>
      <c r="X604" s="128">
        <f>_xll.qlCalendarAdvance(Calendar,X603,W604,"f",FALSE)</f>
        <v>43468</v>
      </c>
      <c r="Y604" s="131">
        <f>_xll.qlCalendarAdvance(Calendar,X604,NDays&amp;"D")</f>
        <v>43472</v>
      </c>
      <c r="Z604" s="132">
        <v>4.4808926567812069E-3</v>
      </c>
      <c r="AA604" s="129">
        <v>4.1290697744145177E-3</v>
      </c>
    </row>
    <row r="605" spans="19:27" x14ac:dyDescent="0.2">
      <c r="S605" s="1"/>
      <c r="T605" s="109"/>
      <c r="W605" s="130" t="str">
        <f t="shared" si="19"/>
        <v>1w</v>
      </c>
      <c r="X605" s="128">
        <f>_xll.qlCalendarAdvance(Calendar,X604,W605,"f",FALSE)</f>
        <v>43475</v>
      </c>
      <c r="Y605" s="131">
        <f>_xll.qlCalendarAdvance(Calendar,X605,NDays&amp;"D")</f>
        <v>43479</v>
      </c>
      <c r="Z605" s="132">
        <v>4.5350681262648906E-3</v>
      </c>
      <c r="AA605" s="129">
        <v>4.1837326257798679E-3</v>
      </c>
    </row>
    <row r="606" spans="19:27" x14ac:dyDescent="0.2">
      <c r="S606" s="1"/>
      <c r="T606" s="109"/>
      <c r="W606" s="130" t="str">
        <f t="shared" si="19"/>
        <v>1w</v>
      </c>
      <c r="X606" s="128">
        <f>_xll.qlCalendarAdvance(Calendar,X605,W606,"f",FALSE)</f>
        <v>43482</v>
      </c>
      <c r="Y606" s="131">
        <f>_xll.qlCalendarAdvance(Calendar,X606,NDays&amp;"D")</f>
        <v>43486</v>
      </c>
      <c r="Z606" s="132">
        <v>4.5930353156635167E-3</v>
      </c>
      <c r="AA606" s="129">
        <v>4.2383101755394392E-3</v>
      </c>
    </row>
    <row r="607" spans="19:27" x14ac:dyDescent="0.2">
      <c r="S607" s="1"/>
      <c r="T607" s="109"/>
      <c r="W607" s="130" t="str">
        <f t="shared" si="19"/>
        <v>1w</v>
      </c>
      <c r="X607" s="128">
        <f>_xll.qlCalendarAdvance(Calendar,X606,W607,"f",FALSE)</f>
        <v>43489</v>
      </c>
      <c r="Y607" s="131">
        <f>_xll.qlCalendarAdvance(Calendar,X607,NDays&amp;"D")</f>
        <v>43493</v>
      </c>
      <c r="Z607" s="132">
        <v>4.64316506130843E-3</v>
      </c>
      <c r="AA607" s="129">
        <v>4.2928024236132956E-3</v>
      </c>
    </row>
    <row r="608" spans="19:27" x14ac:dyDescent="0.2">
      <c r="S608" s="1"/>
      <c r="T608" s="109"/>
      <c r="W608" s="130" t="str">
        <f t="shared" si="19"/>
        <v>1w</v>
      </c>
      <c r="X608" s="128">
        <f>_xll.qlCalendarAdvance(Calendar,X607,W608,"f",FALSE)</f>
        <v>43496</v>
      </c>
      <c r="Y608" s="131">
        <f>_xll.qlCalendarAdvance(Calendar,X608,NDays&amp;"D")</f>
        <v>43500</v>
      </c>
      <c r="Z608" s="132">
        <v>4.6970865198936451E-3</v>
      </c>
      <c r="AA608" s="129">
        <v>4.347209370081373E-3</v>
      </c>
    </row>
    <row r="609" spans="19:27" x14ac:dyDescent="0.2">
      <c r="S609" s="1"/>
      <c r="T609" s="109"/>
      <c r="W609" s="130" t="str">
        <f t="shared" si="19"/>
        <v>1w</v>
      </c>
      <c r="X609" s="128">
        <f>_xll.qlCalendarAdvance(Calendar,X608,W609,"f",FALSE)</f>
        <v>43503</v>
      </c>
      <c r="Y609" s="131">
        <f>_xll.qlCalendarAdvance(Calendar,X609,NDays&amp;"D")</f>
        <v>43507</v>
      </c>
      <c r="Z609" s="132">
        <v>4.750923301217614E-3</v>
      </c>
      <c r="AA609" s="129">
        <v>4.4015310147837994E-3</v>
      </c>
    </row>
    <row r="610" spans="19:27" x14ac:dyDescent="0.2">
      <c r="S610" s="1"/>
      <c r="T610" s="109"/>
      <c r="W610" s="130" t="str">
        <f t="shared" si="19"/>
        <v>1w</v>
      </c>
      <c r="X610" s="128">
        <f>_xll.qlCalendarAdvance(Calendar,X609,W610,"f",FALSE)</f>
        <v>43510</v>
      </c>
      <c r="Y610" s="131">
        <f>_xll.qlCalendarAdvance(Calendar,X610,NDays&amp;"D")</f>
        <v>43514</v>
      </c>
      <c r="Z610" s="132">
        <v>4.8046754018044339E-3</v>
      </c>
      <c r="AA610" s="129">
        <v>4.4557673577205748E-3</v>
      </c>
    </row>
    <row r="611" spans="19:27" x14ac:dyDescent="0.2">
      <c r="S611" s="1"/>
      <c r="T611" s="109"/>
      <c r="W611" s="130" t="str">
        <f t="shared" si="19"/>
        <v>1w</v>
      </c>
      <c r="X611" s="128">
        <f>_xll.qlCalendarAdvance(Calendar,X610,W611,"f",FALSE)</f>
        <v>43517</v>
      </c>
      <c r="Y611" s="131">
        <f>_xll.qlCalendarAdvance(Calendar,X611,NDays&amp;"D")</f>
        <v>43521</v>
      </c>
      <c r="Z611" s="132">
        <v>4.8583428181878689E-3</v>
      </c>
      <c r="AA611" s="129">
        <v>4.5099183988916991E-3</v>
      </c>
    </row>
    <row r="612" spans="19:27" x14ac:dyDescent="0.2">
      <c r="S612" s="1"/>
      <c r="T612" s="109"/>
      <c r="W612" s="130" t="str">
        <f t="shared" si="19"/>
        <v>1w</v>
      </c>
      <c r="X612" s="128">
        <f>_xll.qlCalendarAdvance(Calendar,X611,W612,"f",FALSE)</f>
        <v>43524</v>
      </c>
      <c r="Y612" s="131">
        <f>_xll.qlCalendarAdvance(Calendar,X612,NDays&amp;"D")</f>
        <v>43528</v>
      </c>
      <c r="Z612" s="132">
        <v>4.9157699003907094E-3</v>
      </c>
      <c r="AA612" s="129">
        <v>4.5639841381373003E-3</v>
      </c>
    </row>
    <row r="613" spans="19:27" x14ac:dyDescent="0.2">
      <c r="S613" s="1"/>
      <c r="T613" s="109"/>
      <c r="W613" s="130" t="str">
        <f t="shared" si="19"/>
        <v>1w</v>
      </c>
      <c r="X613" s="128">
        <f>_xll.qlCalendarAdvance(Calendar,X612,W613,"f",FALSE)</f>
        <v>43531</v>
      </c>
      <c r="Y613" s="131">
        <f>_xll.qlCalendarAdvance(Calendar,X613,NDays&amp;"D")</f>
        <v>43535</v>
      </c>
      <c r="Z613" s="132">
        <v>4.9692626222532016E-3</v>
      </c>
      <c r="AA613" s="129">
        <v>4.6179645755373144E-3</v>
      </c>
    </row>
    <row r="614" spans="19:27" x14ac:dyDescent="0.2">
      <c r="S614" s="1"/>
      <c r="T614" s="109"/>
      <c r="W614" s="130" t="str">
        <f t="shared" si="19"/>
        <v>1w</v>
      </c>
      <c r="X614" s="128">
        <f>_xll.qlCalendarAdvance(Calendar,X613,W614,"f",FALSE)</f>
        <v>43538</v>
      </c>
      <c r="Y614" s="131">
        <f>_xll.qlCalendarAdvance(Calendar,X614,NDays&amp;"D")</f>
        <v>43542</v>
      </c>
      <c r="Z614" s="132">
        <v>5.0226706560547833E-3</v>
      </c>
      <c r="AA614" s="129">
        <v>4.6718597110917415E-3</v>
      </c>
    </row>
    <row r="615" spans="19:27" x14ac:dyDescent="0.2">
      <c r="S615" s="1"/>
      <c r="T615" s="109"/>
      <c r="W615" s="130" t="str">
        <f t="shared" si="19"/>
        <v>1w</v>
      </c>
      <c r="X615" s="128">
        <f>_xll.qlCalendarAdvance(Calendar,X614,W615,"f",FALSE)</f>
        <v>43545</v>
      </c>
      <c r="Y615" s="131">
        <f>_xll.qlCalendarAdvance(Calendar,X615,NDays&amp;"D")</f>
        <v>43549</v>
      </c>
      <c r="Z615" s="132">
        <v>5.0759939983104135E-3</v>
      </c>
      <c r="AA615" s="129">
        <v>4.7256695445607733E-3</v>
      </c>
    </row>
    <row r="616" spans="19:27" x14ac:dyDescent="0.2">
      <c r="S616" s="1"/>
      <c r="T616" s="109"/>
      <c r="W616" s="130" t="str">
        <f t="shared" si="19"/>
        <v>1w</v>
      </c>
      <c r="X616" s="128">
        <f>_xll.qlCalendarAdvance(Calendar,X615,W616,"f",FALSE)</f>
        <v>43552</v>
      </c>
      <c r="Y616" s="131">
        <f>_xll.qlCalendarAdvance(Calendar,X616,NDays&amp;"D")</f>
        <v>43556</v>
      </c>
      <c r="Z616" s="132">
        <v>5.1254095160732259E-3</v>
      </c>
      <c r="AA616" s="129">
        <v>4.7793940760243458E-3</v>
      </c>
    </row>
    <row r="617" spans="19:27" x14ac:dyDescent="0.2">
      <c r="S617" s="1"/>
      <c r="T617" s="109"/>
      <c r="W617" s="130" t="str">
        <f t="shared" si="19"/>
        <v>1w</v>
      </c>
      <c r="X617" s="128">
        <f>_xll.qlCalendarAdvance(Calendar,X616,W617,"f",FALSE)</f>
        <v>43559</v>
      </c>
      <c r="Y617" s="131">
        <f>_xll.qlCalendarAdvance(Calendar,X617,NDays&amp;"D")</f>
        <v>43563</v>
      </c>
      <c r="Z617" s="132">
        <v>5.1785687547229202E-3</v>
      </c>
      <c r="AA617" s="129">
        <v>4.8330333055623953E-3</v>
      </c>
    </row>
    <row r="618" spans="19:27" x14ac:dyDescent="0.2">
      <c r="S618" s="1"/>
      <c r="T618" s="109"/>
      <c r="W618" s="130" t="str">
        <f t="shared" si="19"/>
        <v>1w</v>
      </c>
      <c r="X618" s="128">
        <f>_xll.qlCalendarAdvance(Calendar,X617,W618,"f",FALSE)</f>
        <v>43566</v>
      </c>
      <c r="Y618" s="131">
        <f>_xll.qlCalendarAdvance(Calendar,X618,NDays&amp;"D")</f>
        <v>43570</v>
      </c>
      <c r="Z618" s="132">
        <v>5.2316432850496222E-3</v>
      </c>
      <c r="AA618" s="129">
        <v>4.8865872329351134E-3</v>
      </c>
    </row>
    <row r="619" spans="19:27" x14ac:dyDescent="0.2">
      <c r="S619" s="1"/>
      <c r="T619" s="109"/>
      <c r="W619" s="130" t="str">
        <f t="shared" si="19"/>
        <v>1w</v>
      </c>
      <c r="X619" s="128">
        <f>_xll.qlCalendarAdvance(Calendar,X618,W619,"f",FALSE)</f>
        <v>43573</v>
      </c>
      <c r="Y619" s="131">
        <f>_xll.qlCalendarAdvance(Calendar,X619,NDays&amp;"D")</f>
        <v>43579</v>
      </c>
      <c r="Z619" s="132">
        <v>5.2997574920153412E-3</v>
      </c>
      <c r="AA619" s="129">
        <v>4.9553169406202358E-3</v>
      </c>
    </row>
    <row r="620" spans="19:27" x14ac:dyDescent="0.2">
      <c r="S620" s="1"/>
      <c r="T620" s="109"/>
      <c r="W620" s="130" t="str">
        <f t="shared" si="19"/>
        <v>1w</v>
      </c>
      <c r="X620" s="128">
        <f>_xll.qlCalendarAdvance(Calendar,X619,W620,"f",FALSE)</f>
        <v>43580</v>
      </c>
      <c r="Y620" s="131">
        <f>_xll.qlCalendarAdvance(Calendar,X620,NDays&amp;"D")</f>
        <v>43584</v>
      </c>
      <c r="Z620" s="132">
        <v>5.3375382070412619E-3</v>
      </c>
      <c r="AA620" s="129">
        <v>4.9934391814243639E-3</v>
      </c>
    </row>
    <row r="621" spans="19:27" x14ac:dyDescent="0.2">
      <c r="S621" s="1"/>
      <c r="T621" s="109"/>
      <c r="W621" s="130" t="str">
        <f t="shared" si="19"/>
        <v>1w</v>
      </c>
      <c r="X621" s="128">
        <f>_xll.qlCalendarAdvance(Calendar,X620,W621,"f",FALSE)</f>
        <v>43587</v>
      </c>
      <c r="Y621" s="131">
        <f>_xll.qlCalendarAdvance(Calendar,X621,NDays&amp;"D")</f>
        <v>43591</v>
      </c>
      <c r="Z621" s="132">
        <v>5.3941553350416562E-3</v>
      </c>
      <c r="AA621" s="129">
        <v>5.0467372023810242E-3</v>
      </c>
    </row>
    <row r="622" spans="19:27" x14ac:dyDescent="0.2">
      <c r="S622" s="1"/>
      <c r="T622" s="109"/>
      <c r="W622" s="130" t="str">
        <f t="shared" si="19"/>
        <v>1w</v>
      </c>
      <c r="X622" s="128">
        <f>_xll.qlCalendarAdvance(Calendar,X621,W622,"f",FALSE)</f>
        <v>43594</v>
      </c>
      <c r="Y622" s="131">
        <f>_xll.qlCalendarAdvance(Calendar,X622,NDays&amp;"D")</f>
        <v>43598</v>
      </c>
      <c r="Z622" s="132">
        <v>5.4468857394167529E-3</v>
      </c>
      <c r="AA622" s="129">
        <v>5.0999499210924171E-3</v>
      </c>
    </row>
    <row r="623" spans="19:27" x14ac:dyDescent="0.2">
      <c r="S623" s="1"/>
      <c r="T623" s="109"/>
      <c r="W623" s="130" t="str">
        <f t="shared" si="19"/>
        <v>1w</v>
      </c>
      <c r="X623" s="128">
        <f>_xll.qlCalendarAdvance(Calendar,X622,W623,"f",FALSE)</f>
        <v>43601</v>
      </c>
      <c r="Y623" s="131">
        <f>_xll.qlCalendarAdvance(Calendar,X623,NDays&amp;"D")</f>
        <v>43605</v>
      </c>
      <c r="Z623" s="132">
        <v>5.4995314245793354E-3</v>
      </c>
      <c r="AA623" s="129">
        <v>5.1530773375585426E-3</v>
      </c>
    </row>
    <row r="624" spans="19:27" x14ac:dyDescent="0.2">
      <c r="S624" s="1"/>
      <c r="T624" s="109"/>
      <c r="W624" s="130" t="str">
        <f t="shared" si="19"/>
        <v>1w</v>
      </c>
      <c r="X624" s="128">
        <f>_xll.qlCalendarAdvance(Calendar,X623,W624,"f",FALSE)</f>
        <v>43608</v>
      </c>
      <c r="Y624" s="131">
        <f>_xll.qlCalendarAdvance(Calendar,X624,NDays&amp;"D")</f>
        <v>43612</v>
      </c>
      <c r="Z624" s="132">
        <v>5.552092387096497E-3</v>
      </c>
      <c r="AA624" s="129">
        <v>5.2061194517794007E-3</v>
      </c>
    </row>
    <row r="625" spans="19:27" x14ac:dyDescent="0.2">
      <c r="S625" s="1"/>
      <c r="T625" s="109"/>
      <c r="W625" s="130" t="str">
        <f t="shared" si="19"/>
        <v>1w</v>
      </c>
      <c r="X625" s="128">
        <f>_xll.qlCalendarAdvance(Calendar,X624,W625,"f",FALSE)</f>
        <v>43615</v>
      </c>
      <c r="Y625" s="131">
        <f>_xll.qlCalendarAdvance(Calendar,X625,NDays&amp;"D")</f>
        <v>43619</v>
      </c>
      <c r="Z625" s="132">
        <v>5.6045686235388064E-3</v>
      </c>
      <c r="AA625" s="129">
        <v>5.2590762635951194E-3</v>
      </c>
    </row>
    <row r="626" spans="19:27" x14ac:dyDescent="0.2">
      <c r="S626" s="1"/>
      <c r="T626" s="109"/>
      <c r="W626" s="130" t="str">
        <f t="shared" si="19"/>
        <v>1w</v>
      </c>
      <c r="X626" s="128">
        <f>_xll.qlCalendarAdvance(Calendar,X625,W626,"f",FALSE)</f>
        <v>43622</v>
      </c>
      <c r="Y626" s="131">
        <f>_xll.qlCalendarAdvance(Calendar,X626,NDays&amp;"D")</f>
        <v>43626</v>
      </c>
      <c r="Z626" s="132">
        <v>5.6569601304846534E-3</v>
      </c>
      <c r="AA626" s="129">
        <v>5.3119477730056985E-3</v>
      </c>
    </row>
    <row r="627" spans="19:27" x14ac:dyDescent="0.2">
      <c r="S627" s="1"/>
      <c r="T627" s="109"/>
      <c r="W627" s="130" t="str">
        <f t="shared" si="19"/>
        <v>1w</v>
      </c>
      <c r="X627" s="128">
        <f>_xll.qlCalendarAdvance(Calendar,X626,W627,"f",FALSE)</f>
        <v>43629</v>
      </c>
      <c r="Y627" s="131">
        <f>_xll.qlCalendarAdvance(Calendar,X627,NDays&amp;"D")</f>
        <v>43633</v>
      </c>
      <c r="Z627" s="132">
        <v>5.7092711575460042E-3</v>
      </c>
      <c r="AA627" s="129">
        <v>5.3647339800910743E-3</v>
      </c>
    </row>
    <row r="628" spans="19:27" x14ac:dyDescent="0.2">
      <c r="S628" s="1"/>
      <c r="T628" s="109"/>
      <c r="W628" s="130" t="str">
        <f t="shared" si="19"/>
        <v>1w</v>
      </c>
      <c r="X628" s="128">
        <f>_xll.qlCalendarAdvance(Calendar,X627,W628,"f",FALSE)</f>
        <v>43636</v>
      </c>
      <c r="Y628" s="131">
        <f>_xll.qlCalendarAdvance(Calendar,X628,NDays&amp;"D")</f>
        <v>43640</v>
      </c>
      <c r="Z628" s="132">
        <v>5.7615322016252545E-3</v>
      </c>
      <c r="AA628" s="129">
        <v>5.4174348846913745E-3</v>
      </c>
    </row>
    <row r="629" spans="19:27" x14ac:dyDescent="0.2">
      <c r="S629" s="1"/>
      <c r="T629" s="109"/>
      <c r="W629" s="130" t="str">
        <f t="shared" si="19"/>
        <v>1w</v>
      </c>
      <c r="X629" s="128">
        <f>_xll.qlCalendarAdvance(Calendar,X628,W629,"f",FALSE)</f>
        <v>43643</v>
      </c>
      <c r="Y629" s="131">
        <f>_xll.qlCalendarAdvance(Calendar,X629,NDays&amp;"D")</f>
        <v>43647</v>
      </c>
      <c r="Z629" s="132">
        <v>5.8137837640177652E-3</v>
      </c>
      <c r="AA629" s="129">
        <v>5.4700504867266631E-3</v>
      </c>
    </row>
    <row r="630" spans="19:27" x14ac:dyDescent="0.2">
      <c r="S630" s="1"/>
      <c r="T630" s="109"/>
      <c r="W630" s="130" t="str">
        <f t="shared" si="19"/>
        <v>1w</v>
      </c>
      <c r="X630" s="128">
        <f>_xll.qlCalendarAdvance(Calendar,X629,W630,"f",FALSE)</f>
        <v>43650</v>
      </c>
      <c r="Y630" s="131">
        <f>_xll.qlCalendarAdvance(Calendar,X630,NDays&amp;"D")</f>
        <v>43654</v>
      </c>
      <c r="Z630" s="132">
        <v>5.8660663678692434E-3</v>
      </c>
      <c r="AA630" s="129">
        <v>5.5225807863568122E-3</v>
      </c>
    </row>
    <row r="631" spans="19:27" x14ac:dyDescent="0.2">
      <c r="S631" s="1"/>
      <c r="T631" s="109"/>
      <c r="W631" s="130" t="str">
        <f t="shared" si="19"/>
        <v>1w</v>
      </c>
      <c r="X631" s="128">
        <f>_xll.qlCalendarAdvance(Calendar,X630,W631,"f",FALSE)</f>
        <v>43657</v>
      </c>
      <c r="Y631" s="131">
        <f>_xll.qlCalendarAdvance(Calendar,X631,NDays&amp;"D")</f>
        <v>43661</v>
      </c>
      <c r="Z631" s="132">
        <v>5.9184205384906234E-3</v>
      </c>
      <c r="AA631" s="129">
        <v>5.5750257833420136E-3</v>
      </c>
    </row>
    <row r="632" spans="19:27" x14ac:dyDescent="0.2">
      <c r="S632" s="1"/>
      <c r="T632" s="109"/>
      <c r="W632" s="130" t="str">
        <f t="shared" si="19"/>
        <v>1w</v>
      </c>
      <c r="X632" s="128">
        <f>_xll.qlCalendarAdvance(Calendar,X631,W632,"f",FALSE)</f>
        <v>43664</v>
      </c>
      <c r="Y632" s="131">
        <f>_xll.qlCalendarAdvance(Calendar,X632,NDays&amp;"D")</f>
        <v>43668</v>
      </c>
      <c r="Z632" s="132">
        <v>5.9708868033598005E-3</v>
      </c>
      <c r="AA632" s="129">
        <v>5.6273854777622034E-3</v>
      </c>
    </row>
    <row r="633" spans="19:27" x14ac:dyDescent="0.2">
      <c r="S633" s="1"/>
      <c r="T633" s="109"/>
      <c r="W633" s="130" t="str">
        <f t="shared" si="19"/>
        <v>1w</v>
      </c>
      <c r="X633" s="128">
        <f>_xll.qlCalendarAdvance(Calendar,X632,W633,"f",FALSE)</f>
        <v>43671</v>
      </c>
      <c r="Y633" s="131">
        <f>_xll.qlCalendarAdvance(Calendar,X633,NDays&amp;"D")</f>
        <v>43675</v>
      </c>
      <c r="Z633" s="132">
        <v>6.0235056921329275E-3</v>
      </c>
      <c r="AA633" s="129">
        <v>5.6796598695374456E-3</v>
      </c>
    </row>
    <row r="634" spans="19:27" x14ac:dyDescent="0.2">
      <c r="S634" s="1"/>
      <c r="T634" s="109"/>
      <c r="W634" s="130" t="str">
        <f t="shared" si="19"/>
        <v>1w</v>
      </c>
      <c r="X634" s="128">
        <f>_xll.qlCalendarAdvance(Calendar,X633,W634,"f",FALSE)</f>
        <v>43678</v>
      </c>
      <c r="Y634" s="131">
        <f>_xll.qlCalendarAdvance(Calendar,X634,NDays&amp;"D")</f>
        <v>43682</v>
      </c>
      <c r="Z634" s="132">
        <v>6.0763177366557107E-3</v>
      </c>
      <c r="AA634" s="129">
        <v>5.7318489585878041E-3</v>
      </c>
    </row>
    <row r="635" spans="19:27" x14ac:dyDescent="0.2">
      <c r="S635" s="1"/>
      <c r="T635" s="109"/>
      <c r="W635" s="130" t="str">
        <f t="shared" si="19"/>
        <v>1w</v>
      </c>
      <c r="X635" s="128">
        <f>_xll.qlCalendarAdvance(Calendar,X634,W635,"f",FALSE)</f>
        <v>43685</v>
      </c>
      <c r="Y635" s="131">
        <f>_xll.qlCalendarAdvance(Calendar,X635,NDays&amp;"D")</f>
        <v>43689</v>
      </c>
      <c r="Z635" s="132">
        <v>6.1293634709868672E-3</v>
      </c>
      <c r="AA635" s="129">
        <v>5.7839527449932149E-3</v>
      </c>
    </row>
    <row r="636" spans="19:27" x14ac:dyDescent="0.2">
      <c r="S636" s="1"/>
      <c r="T636" s="109"/>
      <c r="W636" s="130" t="str">
        <f t="shared" si="19"/>
        <v>1w</v>
      </c>
      <c r="X636" s="128">
        <f>_xll.qlCalendarAdvance(Calendar,X635,W636,"f",FALSE)</f>
        <v>43692</v>
      </c>
      <c r="Y636" s="131">
        <f>_xll.qlCalendarAdvance(Calendar,X636,NDays&amp;"D")</f>
        <v>43696</v>
      </c>
      <c r="Z636" s="132">
        <v>6.182683431413768E-3</v>
      </c>
      <c r="AA636" s="129">
        <v>5.8359712285938059E-3</v>
      </c>
    </row>
    <row r="637" spans="19:27" x14ac:dyDescent="0.2">
      <c r="S637" s="1"/>
      <c r="T637" s="109"/>
      <c r="W637" s="130" t="str">
        <f t="shared" si="19"/>
        <v>1w</v>
      </c>
      <c r="X637" s="128">
        <f>_xll.qlCalendarAdvance(Calendar,X636,W637,"f",FALSE)</f>
        <v>43699</v>
      </c>
      <c r="Y637" s="131">
        <f>_xll.qlCalendarAdvance(Calendar,X637,NDays&amp;"D")</f>
        <v>43703</v>
      </c>
      <c r="Z637" s="132">
        <v>6.236318156482846E-3</v>
      </c>
      <c r="AA637" s="129">
        <v>5.8879044094695132E-3</v>
      </c>
    </row>
    <row r="638" spans="19:27" x14ac:dyDescent="0.2">
      <c r="S638" s="1"/>
      <c r="T638" s="109"/>
      <c r="W638" s="130" t="str">
        <f t="shared" si="19"/>
        <v>1w</v>
      </c>
      <c r="X638" s="128">
        <f>_xll.qlCalendarAdvance(Calendar,X637,W638,"f",FALSE)</f>
        <v>43706</v>
      </c>
      <c r="Y638" s="131">
        <f>_xll.qlCalendarAdvance(Calendar,X638,NDays&amp;"D")</f>
        <v>43710</v>
      </c>
      <c r="Z638" s="132">
        <v>6.2863170313012477E-3</v>
      </c>
      <c r="AA638" s="129">
        <v>5.9397522874604647E-3</v>
      </c>
    </row>
    <row r="639" spans="19:27" x14ac:dyDescent="0.2">
      <c r="S639" s="1"/>
      <c r="T639" s="109"/>
      <c r="W639" s="130" t="str">
        <f t="shared" si="19"/>
        <v>1w</v>
      </c>
      <c r="X639" s="128">
        <f>_xll.qlCalendarAdvance(Calendar,X638,W639,"f",FALSE)</f>
        <v>43713</v>
      </c>
      <c r="Y639" s="131">
        <f>_xll.qlCalendarAdvance(Calendar,X639,NDays&amp;"D")</f>
        <v>43717</v>
      </c>
      <c r="Z639" s="132">
        <v>6.3406701156721252E-3</v>
      </c>
      <c r="AA639" s="129">
        <v>5.9915148626465964E-3</v>
      </c>
    </row>
    <row r="640" spans="19:27" x14ac:dyDescent="0.2">
      <c r="S640" s="1"/>
      <c r="T640" s="109"/>
      <c r="W640" s="130" t="str">
        <f t="shared" si="19"/>
        <v>1w</v>
      </c>
      <c r="X640" s="128">
        <f>_xll.qlCalendarAdvance(Calendar,X639,W640,"f",FALSE)</f>
        <v>43720</v>
      </c>
      <c r="Y640" s="131">
        <f>_xll.qlCalendarAdvance(Calendar,X640,NDays&amp;"D")</f>
        <v>43724</v>
      </c>
      <c r="Z640" s="132">
        <v>6.3954569609998256E-3</v>
      </c>
      <c r="AA640" s="129">
        <v>6.0433567417561562E-3</v>
      </c>
    </row>
    <row r="641" spans="19:27" x14ac:dyDescent="0.2">
      <c r="S641" s="1"/>
      <c r="T641" s="109"/>
      <c r="W641" s="130" t="str">
        <f t="shared" si="19"/>
        <v>1w</v>
      </c>
      <c r="X641" s="128">
        <f>_xll.qlCalendarAdvance(Calendar,X640,W641,"f",FALSE)</f>
        <v>43727</v>
      </c>
      <c r="Y641" s="131">
        <f>_xll.qlCalendarAdvance(Calendar,X641,NDays&amp;"D")</f>
        <v>43731</v>
      </c>
      <c r="Z641" s="132">
        <v>6.4506916216183095E-3</v>
      </c>
      <c r="AA641" s="129">
        <v>6.0956324628680392E-3</v>
      </c>
    </row>
    <row r="642" spans="19:27" x14ac:dyDescent="0.2">
      <c r="S642" s="1"/>
      <c r="T642" s="109"/>
      <c r="W642" s="130" t="str">
        <f t="shared" si="19"/>
        <v>1w</v>
      </c>
      <c r="X642" s="128">
        <f>_xll.qlCalendarAdvance(Calendar,X641,W642,"f",FALSE)</f>
        <v>43734</v>
      </c>
      <c r="Y642" s="131">
        <f>_xll.qlCalendarAdvance(Calendar,X642,NDays&amp;"D")</f>
        <v>43738</v>
      </c>
      <c r="Z642" s="132">
        <v>6.5104971817994571E-3</v>
      </c>
      <c r="AA642" s="129">
        <v>6.1483546883334128E-3</v>
      </c>
    </row>
    <row r="643" spans="19:27" x14ac:dyDescent="0.2">
      <c r="S643" s="1"/>
      <c r="T643" s="109"/>
      <c r="W643" s="130" t="str">
        <f t="shared" si="19"/>
        <v>1w</v>
      </c>
      <c r="X643" s="128">
        <f>_xll.qlCalendarAdvance(Calendar,X642,W643,"f",FALSE)</f>
        <v>43741</v>
      </c>
      <c r="Y643" s="131">
        <f>_xll.qlCalendarAdvance(Calendar,X643,NDays&amp;"D")</f>
        <v>43745</v>
      </c>
      <c r="Z643" s="132">
        <v>6.5666608696425127E-3</v>
      </c>
      <c r="AA643" s="129">
        <v>6.2015234180723411E-3</v>
      </c>
    </row>
    <row r="644" spans="19:27" x14ac:dyDescent="0.2">
      <c r="S644" s="1"/>
      <c r="T644" s="109"/>
      <c r="W644" s="130" t="str">
        <f t="shared" si="19"/>
        <v>1w</v>
      </c>
      <c r="X644" s="128">
        <f>_xll.qlCalendarAdvance(Calendar,X643,W644,"f",FALSE)</f>
        <v>43748</v>
      </c>
      <c r="Y644" s="131">
        <f>_xll.qlCalendarAdvance(Calendar,X644,NDays&amp;"D")</f>
        <v>43752</v>
      </c>
      <c r="Z644" s="132">
        <v>6.6232726069995803E-3</v>
      </c>
      <c r="AA644" s="129">
        <v>6.2551386525644403E-3</v>
      </c>
    </row>
    <row r="645" spans="19:27" x14ac:dyDescent="0.2">
      <c r="S645" s="1"/>
      <c r="T645" s="109"/>
      <c r="W645" s="130" t="str">
        <f t="shared" si="19"/>
        <v>1w</v>
      </c>
      <c r="X645" s="128">
        <f>_xll.qlCalendarAdvance(Calendar,X644,W645,"f",FALSE)</f>
        <v>43755</v>
      </c>
      <c r="Y645" s="131">
        <f>_xll.qlCalendarAdvance(Calendar,X645,NDays&amp;"D")</f>
        <v>43759</v>
      </c>
      <c r="Z645" s="132">
        <v>6.6803324132612366E-3</v>
      </c>
      <c r="AA645" s="129">
        <v>6.3092003918896467E-3</v>
      </c>
    </row>
    <row r="646" spans="19:27" x14ac:dyDescent="0.2">
      <c r="S646" s="1"/>
      <c r="T646" s="109"/>
      <c r="W646" s="130" t="str">
        <f t="shared" si="19"/>
        <v>1w</v>
      </c>
      <c r="X646" s="128">
        <f>_xll.qlCalendarAdvance(Calendar,X645,W646,"f",FALSE)</f>
        <v>43762</v>
      </c>
      <c r="Y646" s="131">
        <f>_xll.qlCalendarAdvance(Calendar,X646,NDays&amp;"D")</f>
        <v>43766</v>
      </c>
      <c r="Z646" s="132">
        <v>6.7378403079701088E-3</v>
      </c>
      <c r="AA646" s="129">
        <v>6.3637086362078321E-3</v>
      </c>
    </row>
    <row r="647" spans="19:27" x14ac:dyDescent="0.2">
      <c r="S647" s="1"/>
      <c r="T647" s="109"/>
      <c r="W647" s="130" t="str">
        <f t="shared" si="19"/>
        <v>1w</v>
      </c>
      <c r="X647" s="128">
        <f>_xll.qlCalendarAdvance(Calendar,X646,W647,"f",FALSE)</f>
        <v>43769</v>
      </c>
      <c r="Y647" s="131">
        <f>_xll.qlCalendarAdvance(Calendar,X647,NDays&amp;"D")</f>
        <v>43773</v>
      </c>
      <c r="Z647" s="132">
        <v>6.7957963108260912E-3</v>
      </c>
      <c r="AA647" s="129">
        <v>6.418663385838741E-3</v>
      </c>
    </row>
    <row r="648" spans="19:27" x14ac:dyDescent="0.2">
      <c r="S648" s="1"/>
      <c r="T648" s="109"/>
      <c r="W648" s="130" t="str">
        <f t="shared" si="19"/>
        <v>1w</v>
      </c>
      <c r="X648" s="128">
        <f>_xll.qlCalendarAdvance(Calendar,X647,W648,"f",FALSE)</f>
        <v>43776</v>
      </c>
      <c r="Y648" s="131">
        <f>_xll.qlCalendarAdvance(Calendar,X648,NDays&amp;"D")</f>
        <v>43780</v>
      </c>
      <c r="Z648" s="132">
        <v>6.8542004416793931E-3</v>
      </c>
      <c r="AA648" s="129">
        <v>6.4740646408623093E-3</v>
      </c>
    </row>
    <row r="649" spans="19:27" x14ac:dyDescent="0.2">
      <c r="S649" s="1"/>
      <c r="T649" s="109"/>
      <c r="W649" s="130" t="str">
        <f t="shared" si="19"/>
        <v>1w</v>
      </c>
      <c r="X649" s="128">
        <f>_xll.qlCalendarAdvance(Calendar,X648,W649,"f",FALSE)</f>
        <v>43783</v>
      </c>
      <c r="Y649" s="131">
        <f>_xll.qlCalendarAdvance(Calendar,X649,NDays&amp;"D")</f>
        <v>43787</v>
      </c>
      <c r="Z649" s="132">
        <v>6.9130527205357494E-3</v>
      </c>
      <c r="AA649" s="129">
        <v>6.5299124015183452E-3</v>
      </c>
    </row>
    <row r="650" spans="19:27" x14ac:dyDescent="0.2">
      <c r="S650" s="1"/>
      <c r="T650" s="109"/>
      <c r="W650" s="130" t="str">
        <f t="shared" si="19"/>
        <v>1w</v>
      </c>
      <c r="X650" s="128">
        <f>_xll.qlCalendarAdvance(Calendar,X649,W650,"f",FALSE)</f>
        <v>43790</v>
      </c>
      <c r="Y650" s="131">
        <f>_xll.qlCalendarAdvance(Calendar,X650,NDays&amp;"D")</f>
        <v>43794</v>
      </c>
      <c r="Z650" s="132">
        <v>6.9723531675538178E-3</v>
      </c>
      <c r="AA650" s="129">
        <v>6.5862066680466569E-3</v>
      </c>
    </row>
    <row r="651" spans="19:27" x14ac:dyDescent="0.2">
      <c r="S651" s="1"/>
      <c r="T651" s="109"/>
      <c r="W651" s="130" t="str">
        <f t="shared" si="19"/>
        <v>1w</v>
      </c>
      <c r="X651" s="128">
        <f>_xll.qlCalendarAdvance(Calendar,X650,W651,"f",FALSE)</f>
        <v>43797</v>
      </c>
      <c r="Y651" s="131">
        <f>_xll.qlCalendarAdvance(Calendar,X651,NDays&amp;"D")</f>
        <v>43801</v>
      </c>
      <c r="Z651" s="132">
        <v>7.0276810208699412E-3</v>
      </c>
      <c r="AA651" s="129">
        <v>6.6429474406870526E-3</v>
      </c>
    </row>
    <row r="652" spans="19:27" x14ac:dyDescent="0.2">
      <c r="S652" s="1"/>
      <c r="T652" s="109"/>
      <c r="W652" s="130" t="str">
        <f t="shared" si="19"/>
        <v>1w</v>
      </c>
      <c r="X652" s="128">
        <f>_xll.qlCalendarAdvance(Calendar,X651,W652,"f",FALSE)</f>
        <v>43804</v>
      </c>
      <c r="Y652" s="131">
        <f>_xll.qlCalendarAdvance(Calendar,X652,NDays&amp;"D")</f>
        <v>43808</v>
      </c>
      <c r="Z652" s="132">
        <v>7.0878446701658554E-3</v>
      </c>
      <c r="AA652" s="129">
        <v>6.7001347195994043E-3</v>
      </c>
    </row>
    <row r="653" spans="19:27" x14ac:dyDescent="0.2">
      <c r="S653" s="1"/>
      <c r="T653" s="109"/>
      <c r="W653" s="130" t="str">
        <f t="shared" si="19"/>
        <v>1w</v>
      </c>
      <c r="X653" s="128">
        <f>_xll.qlCalendarAdvance(Calendar,X652,W653,"f",FALSE)</f>
        <v>43811</v>
      </c>
      <c r="Y653" s="131">
        <f>_xll.qlCalendarAdvance(Calendar,X653,NDays&amp;"D")</f>
        <v>43815</v>
      </c>
      <c r="Z653" s="132">
        <v>7.1484565286071729E-3</v>
      </c>
      <c r="AA653" s="129">
        <v>6.7577685050235203E-3</v>
      </c>
    </row>
    <row r="654" spans="19:27" x14ac:dyDescent="0.2">
      <c r="S654" s="1"/>
      <c r="T654" s="109"/>
      <c r="W654" s="130" t="str">
        <f t="shared" si="19"/>
        <v>1w</v>
      </c>
      <c r="X654" s="128">
        <f>_xll.qlCalendarAdvance(Calendar,X653,W654,"f",FALSE)</f>
        <v>43818</v>
      </c>
      <c r="Y654" s="131">
        <f>_xll.qlCalendarAdvance(Calendar,X654,NDays&amp;"D")</f>
        <v>43822</v>
      </c>
      <c r="Z654" s="132">
        <v>7.2095166167313101E-3</v>
      </c>
      <c r="AA654" s="129">
        <v>6.8158487970393367E-3</v>
      </c>
    </row>
    <row r="655" spans="19:27" x14ac:dyDescent="0.2">
      <c r="S655" s="1"/>
      <c r="T655" s="109"/>
      <c r="W655" s="130" t="str">
        <f t="shared" si="19"/>
        <v>1w</v>
      </c>
      <c r="X655" s="128">
        <f>_xll.qlCalendarAdvance(Calendar,X654,W655,"f",FALSE)</f>
        <v>43826</v>
      </c>
      <c r="Y655" s="131">
        <f>_xll.qlCalendarAdvance(Calendar,X655,NDays&amp;"D")</f>
        <v>43830</v>
      </c>
      <c r="Z655" s="132">
        <v>7.2798484538082239E-3</v>
      </c>
      <c r="AA655" s="129">
        <v>6.8870421592048814E-3</v>
      </c>
    </row>
    <row r="656" spans="19:27" x14ac:dyDescent="0.2">
      <c r="S656" s="1"/>
      <c r="T656" s="109"/>
      <c r="W656" s="130" t="str">
        <f t="shared" si="19"/>
        <v>1w</v>
      </c>
      <c r="X656" s="128">
        <f>_xll.qlCalendarAdvance(Calendar,X655,W656,"f",FALSE)</f>
        <v>43833</v>
      </c>
      <c r="Y656" s="131">
        <f>_xll.qlCalendarAdvance(Calendar,X656,NDays&amp;"D")</f>
        <v>43837</v>
      </c>
      <c r="Z656" s="132">
        <v>7.3418691039710627E-3</v>
      </c>
      <c r="AA656" s="129">
        <v>6.9418101099394391E-3</v>
      </c>
    </row>
    <row r="657" spans="19:27" x14ac:dyDescent="0.2">
      <c r="S657" s="1"/>
      <c r="T657" s="109"/>
      <c r="W657" s="130" t="str">
        <f t="shared" si="19"/>
        <v>1w</v>
      </c>
      <c r="X657" s="128">
        <f>_xll.qlCalendarAdvance(Calendar,X656,W657,"f",FALSE)</f>
        <v>43840</v>
      </c>
      <c r="Y657" s="131">
        <f>_xll.qlCalendarAdvance(Calendar,X657,NDays&amp;"D")</f>
        <v>43844</v>
      </c>
      <c r="Z657" s="132">
        <v>7.4043380493502347E-3</v>
      </c>
      <c r="AA657" s="129">
        <v>7.0012937102248429E-3</v>
      </c>
    </row>
    <row r="658" spans="19:27" x14ac:dyDescent="0.2">
      <c r="S658" s="1"/>
      <c r="T658" s="109"/>
      <c r="W658" s="130" t="str">
        <f t="shared" si="19"/>
        <v>1w</v>
      </c>
      <c r="X658" s="128">
        <f>_xll.qlCalendarAdvance(Calendar,X657,W658,"f",FALSE)</f>
        <v>43847</v>
      </c>
      <c r="Y658" s="131">
        <f>_xll.qlCalendarAdvance(Calendar,X658,NDays&amp;"D")</f>
        <v>43851</v>
      </c>
      <c r="Z658" s="132">
        <v>7.4672553111129842E-3</v>
      </c>
      <c r="AA658" s="129">
        <v>7.0612238182210518E-3</v>
      </c>
    </row>
    <row r="659" spans="19:27" x14ac:dyDescent="0.2">
      <c r="S659" s="1"/>
      <c r="T659" s="109"/>
      <c r="W659" s="130" t="str">
        <f t="shared" si="19"/>
        <v>1w</v>
      </c>
      <c r="X659" s="128">
        <f>_xll.qlCalendarAdvance(Calendar,X658,W659,"f",FALSE)</f>
        <v>43854</v>
      </c>
      <c r="Y659" s="131">
        <f>_xll.qlCalendarAdvance(Calendar,X659,NDays&amp;"D")</f>
        <v>43858</v>
      </c>
      <c r="Z659" s="132">
        <v>7.5306209105793992E-3</v>
      </c>
      <c r="AA659" s="129">
        <v>7.1216004339280659E-3</v>
      </c>
    </row>
    <row r="660" spans="19:27" x14ac:dyDescent="0.2">
      <c r="S660" s="1"/>
      <c r="T660" s="109"/>
      <c r="W660" s="130" t="str">
        <f t="shared" si="19"/>
        <v>1w</v>
      </c>
      <c r="X660" s="128">
        <f>_xll.qlCalendarAdvance(Calendar,X659,W660,"f",FALSE)</f>
        <v>43861</v>
      </c>
      <c r="Y660" s="131">
        <f>_xll.qlCalendarAdvance(Calendar,X660,NDays&amp;"D")</f>
        <v>43865</v>
      </c>
      <c r="Z660" s="132">
        <v>7.5897130529245516E-3</v>
      </c>
      <c r="AA660" s="129">
        <v>7.1824235579054374E-3</v>
      </c>
    </row>
    <row r="661" spans="19:27" x14ac:dyDescent="0.2">
      <c r="S661" s="1"/>
      <c r="T661" s="109"/>
      <c r="W661" s="130" t="str">
        <f t="shared" ref="W661:W724" si="20">W660</f>
        <v>1w</v>
      </c>
      <c r="X661" s="128">
        <f>_xll.qlCalendarAdvance(Calendar,X660,W661,"f",FALSE)</f>
        <v>43868</v>
      </c>
      <c r="Y661" s="131">
        <f>_xll.qlCalendarAdvance(Calendar,X661,NDays&amp;"D")</f>
        <v>43872</v>
      </c>
      <c r="Z661" s="132">
        <v>7.6539420047634366E-3</v>
      </c>
      <c r="AA661" s="129">
        <v>7.2436931899133583E-3</v>
      </c>
    </row>
    <row r="662" spans="19:27" x14ac:dyDescent="0.2">
      <c r="S662" s="1"/>
      <c r="T662" s="109"/>
      <c r="W662" s="130" t="str">
        <f t="shared" si="20"/>
        <v>1w</v>
      </c>
      <c r="X662" s="128">
        <f>_xll.qlCalendarAdvance(Calendar,X661,W662,"f",FALSE)</f>
        <v>43875</v>
      </c>
      <c r="Y662" s="131">
        <f>_xll.qlCalendarAdvance(Calendar,X662,NDays&amp;"D")</f>
        <v>43879</v>
      </c>
      <c r="Z662" s="132">
        <v>7.7186193365657019E-3</v>
      </c>
      <c r="AA662" s="129">
        <v>7.3054093306712531E-3</v>
      </c>
    </row>
    <row r="663" spans="19:27" x14ac:dyDescent="0.2">
      <c r="S663" s="1"/>
      <c r="T663" s="109"/>
      <c r="W663" s="130" t="str">
        <f t="shared" si="20"/>
        <v>1w</v>
      </c>
      <c r="X663" s="128">
        <f>_xll.qlCalendarAdvance(Calendar,X662,W663,"f",FALSE)</f>
        <v>43882</v>
      </c>
      <c r="Y663" s="131">
        <f>_xll.qlCalendarAdvance(Calendar,X663,NDays&amp;"D")</f>
        <v>43886</v>
      </c>
      <c r="Z663" s="132">
        <v>7.7837450700029009E-3</v>
      </c>
      <c r="AA663" s="129">
        <v>7.3675719800192496E-3</v>
      </c>
    </row>
    <row r="664" spans="19:27" x14ac:dyDescent="0.2">
      <c r="S664" s="1"/>
      <c r="T664" s="109"/>
      <c r="W664" s="130" t="str">
        <f t="shared" si="20"/>
        <v>1w</v>
      </c>
      <c r="X664" s="128">
        <f>_xll.qlCalendarAdvance(Calendar,X663,W664,"f",FALSE)</f>
        <v>43889</v>
      </c>
      <c r="Y664" s="131">
        <f>_xll.qlCalendarAdvance(Calendar,X664,NDays&amp;"D")</f>
        <v>43893</v>
      </c>
      <c r="Z664" s="132">
        <v>7.8590334919442072E-3</v>
      </c>
      <c r="AA664" s="129">
        <v>7.4301811383570282E-3</v>
      </c>
    </row>
    <row r="665" spans="19:27" x14ac:dyDescent="0.2">
      <c r="S665" s="1"/>
      <c r="T665" s="109"/>
      <c r="W665" s="130" t="str">
        <f t="shared" si="20"/>
        <v>1w</v>
      </c>
      <c r="X665" s="128">
        <f>_xll.qlCalendarAdvance(Calendar,X664,W665,"f",FALSE)</f>
        <v>43896</v>
      </c>
      <c r="Y665" s="131">
        <f>_xll.qlCalendarAdvance(Calendar,X665,NDays&amp;"D")</f>
        <v>43900</v>
      </c>
      <c r="Z665" s="132">
        <v>7.9251230567102607E-3</v>
      </c>
      <c r="AA665" s="129">
        <v>7.4932368060043331E-3</v>
      </c>
    </row>
    <row r="666" spans="19:27" x14ac:dyDescent="0.2">
      <c r="S666" s="1"/>
      <c r="T666" s="109"/>
      <c r="W666" s="130" t="str">
        <f t="shared" si="20"/>
        <v>1w</v>
      </c>
      <c r="X666" s="128">
        <f>_xll.qlCalendarAdvance(Calendar,X665,W666,"f",FALSE)</f>
        <v>43903</v>
      </c>
      <c r="Y666" s="131">
        <f>_xll.qlCalendarAdvance(Calendar,X666,NDays&amp;"D")</f>
        <v>43907</v>
      </c>
      <c r="Z666" s="132">
        <v>7.9916611363380873E-3</v>
      </c>
      <c r="AA666" s="129">
        <v>7.5567389830411003E-3</v>
      </c>
    </row>
    <row r="667" spans="19:27" x14ac:dyDescent="0.2">
      <c r="S667" s="1"/>
      <c r="T667" s="109"/>
      <c r="W667" s="130" t="str">
        <f t="shared" si="20"/>
        <v>1w</v>
      </c>
      <c r="X667" s="128">
        <f>_xll.qlCalendarAdvance(Calendar,X666,W667,"f",FALSE)</f>
        <v>43910</v>
      </c>
      <c r="Y667" s="131">
        <f>_xll.qlCalendarAdvance(Calendar,X667,NDays&amp;"D")</f>
        <v>43914</v>
      </c>
      <c r="Z667" s="132">
        <v>8.0586477536224946E-3</v>
      </c>
      <c r="AA667" s="129">
        <v>7.620687669787074E-3</v>
      </c>
    </row>
    <row r="668" spans="19:27" x14ac:dyDescent="0.2">
      <c r="S668" s="1"/>
      <c r="T668" s="109"/>
      <c r="W668" s="130" t="str">
        <f t="shared" si="20"/>
        <v>1w</v>
      </c>
      <c r="X668" s="128">
        <f>_xll.qlCalendarAdvance(Calendar,X667,W668,"f",FALSE)</f>
        <v>43917</v>
      </c>
      <c r="Y668" s="131">
        <f>_xll.qlCalendarAdvance(Calendar,X668,NDays&amp;"D")</f>
        <v>43921</v>
      </c>
      <c r="Z668" s="132">
        <v>8.1210900952903061E-3</v>
      </c>
      <c r="AA668" s="129">
        <v>7.6850828664820625E-3</v>
      </c>
    </row>
    <row r="669" spans="19:27" x14ac:dyDescent="0.2">
      <c r="S669" s="1"/>
      <c r="T669" s="109"/>
      <c r="W669" s="130" t="str">
        <f t="shared" si="20"/>
        <v>1w</v>
      </c>
      <c r="X669" s="128">
        <f>_xll.qlCalendarAdvance(Calendar,X668,W669,"f",FALSE)</f>
        <v>43924</v>
      </c>
      <c r="Y669" s="131">
        <f>_xll.qlCalendarAdvance(Calendar,X669,NDays&amp;"D")</f>
        <v>43928</v>
      </c>
      <c r="Z669" s="132">
        <v>8.1889402777913164E-3</v>
      </c>
      <c r="AA669" s="129">
        <v>7.7499245732060018E-3</v>
      </c>
    </row>
    <row r="670" spans="19:27" x14ac:dyDescent="0.2">
      <c r="S670" s="1"/>
      <c r="T670" s="109"/>
      <c r="W670" s="130" t="str">
        <f t="shared" si="20"/>
        <v>1w</v>
      </c>
      <c r="X670" s="128">
        <f>_xll.qlCalendarAdvance(Calendar,X669,W670,"f",FALSE)</f>
        <v>43935</v>
      </c>
      <c r="Y670" s="131">
        <f>_xll.qlCalendarAdvance(Calendar,X670,NDays&amp;"D")</f>
        <v>43937</v>
      </c>
      <c r="Z670" s="132">
        <v>8.2768353712260687E-3</v>
      </c>
      <c r="AA670" s="129">
        <v>7.8339485789591379E-3</v>
      </c>
    </row>
    <row r="671" spans="19:27" x14ac:dyDescent="0.2">
      <c r="S671" s="1"/>
      <c r="T671" s="109"/>
      <c r="W671" s="130" t="str">
        <f t="shared" si="20"/>
        <v>1w</v>
      </c>
      <c r="X671" s="128">
        <f>_xll.qlCalendarAdvance(Calendar,X670,W671,"f",FALSE)</f>
        <v>43942</v>
      </c>
      <c r="Y671" s="131">
        <f>_xll.qlCalendarAdvance(Calendar,X671,NDays&amp;"D")</f>
        <v>43944</v>
      </c>
      <c r="Z671" s="132">
        <v>8.3457109186233659E-3</v>
      </c>
      <c r="AA671" s="129">
        <v>7.8998108813710388E-3</v>
      </c>
    </row>
    <row r="672" spans="19:27" x14ac:dyDescent="0.2">
      <c r="S672" s="1"/>
      <c r="T672" s="109"/>
      <c r="W672" s="130" t="str">
        <f t="shared" si="20"/>
        <v>1w</v>
      </c>
      <c r="X672" s="128">
        <f>_xll.qlCalendarAdvance(Calendar,X671,W672,"f",FALSE)</f>
        <v>43949</v>
      </c>
      <c r="Y672" s="131">
        <f>_xll.qlCalendarAdvance(Calendar,X672,NDays&amp;"D")</f>
        <v>43951</v>
      </c>
      <c r="Z672" s="132">
        <v>8.420172023497088E-3</v>
      </c>
      <c r="AA672" s="129">
        <v>7.9806578782282145E-3</v>
      </c>
    </row>
    <row r="673" spans="19:27" x14ac:dyDescent="0.2">
      <c r="S673" s="1"/>
      <c r="T673" s="109"/>
      <c r="W673" s="130" t="str">
        <f t="shared" si="20"/>
        <v>1w</v>
      </c>
      <c r="X673" s="128">
        <f>_xll.qlCalendarAdvance(Calendar,X672,W673,"f",FALSE)</f>
        <v>43956</v>
      </c>
      <c r="Y673" s="131">
        <f>_xll.qlCalendarAdvance(Calendar,X673,NDays&amp;"D")</f>
        <v>43958</v>
      </c>
      <c r="Z673" s="132">
        <v>8.4899785520512038E-3</v>
      </c>
      <c r="AA673" s="129">
        <v>8.0328750190794551E-3</v>
      </c>
    </row>
    <row r="674" spans="19:27" x14ac:dyDescent="0.2">
      <c r="S674" s="1"/>
      <c r="T674" s="109"/>
      <c r="W674" s="130" t="str">
        <f t="shared" si="20"/>
        <v>1w</v>
      </c>
      <c r="X674" s="128">
        <f>_xll.qlCalendarAdvance(Calendar,X673,W674,"f",FALSE)</f>
        <v>43963</v>
      </c>
      <c r="Y674" s="131">
        <f>_xll.qlCalendarAdvance(Calendar,X674,NDays&amp;"D")</f>
        <v>43965</v>
      </c>
      <c r="Z674" s="132">
        <v>8.5602337889931577E-3</v>
      </c>
      <c r="AA674" s="129">
        <v>8.100076855175331E-3</v>
      </c>
    </row>
    <row r="675" spans="19:27" x14ac:dyDescent="0.2">
      <c r="S675" s="1"/>
      <c r="T675" s="109"/>
      <c r="W675" s="130" t="str">
        <f t="shared" si="20"/>
        <v>1w</v>
      </c>
      <c r="X675" s="128">
        <f>_xll.qlCalendarAdvance(Calendar,X674,W675,"f",FALSE)</f>
        <v>43970</v>
      </c>
      <c r="Y675" s="131">
        <f>_xll.qlCalendarAdvance(Calendar,X675,NDays&amp;"D")</f>
        <v>43972</v>
      </c>
      <c r="Z675" s="132">
        <v>8.6309377583932596E-3</v>
      </c>
      <c r="AA675" s="129">
        <v>8.1677252028988789E-3</v>
      </c>
    </row>
    <row r="676" spans="19:27" x14ac:dyDescent="0.2">
      <c r="S676" s="1"/>
      <c r="T676" s="109"/>
      <c r="W676" s="130" t="str">
        <f t="shared" si="20"/>
        <v>1w</v>
      </c>
      <c r="X676" s="128">
        <f>_xll.qlCalendarAdvance(Calendar,X675,W676,"f",FALSE)</f>
        <v>43977</v>
      </c>
      <c r="Y676" s="131">
        <f>_xll.qlCalendarAdvance(Calendar,X676,NDays&amp;"D")</f>
        <v>43979</v>
      </c>
      <c r="Z676" s="132">
        <v>8.7020904844782171E-3</v>
      </c>
      <c r="AA676" s="129">
        <v>8.2358200624899069E-3</v>
      </c>
    </row>
    <row r="677" spans="19:27" x14ac:dyDescent="0.2">
      <c r="S677" s="1"/>
      <c r="T677" s="109"/>
      <c r="W677" s="130" t="str">
        <f t="shared" si="20"/>
        <v>1w</v>
      </c>
      <c r="X677" s="128">
        <f>_xll.qlCalendarAdvance(Calendar,X676,W677,"f",FALSE)</f>
        <v>43984</v>
      </c>
      <c r="Y677" s="131">
        <f>_xll.qlCalendarAdvance(Calendar,X677,NDays&amp;"D")</f>
        <v>43986</v>
      </c>
      <c r="Z677" s="132">
        <v>8.7736919916259204E-3</v>
      </c>
      <c r="AA677" s="129">
        <v>8.3043614343480954E-3</v>
      </c>
    </row>
    <row r="678" spans="19:27" x14ac:dyDescent="0.2">
      <c r="S678" s="1"/>
      <c r="T678" s="109"/>
      <c r="W678" s="130" t="str">
        <f t="shared" si="20"/>
        <v>1w</v>
      </c>
      <c r="X678" s="128">
        <f>_xll.qlCalendarAdvance(Calendar,X677,W678,"f",FALSE)</f>
        <v>43991</v>
      </c>
      <c r="Y678" s="131">
        <f>_xll.qlCalendarAdvance(Calendar,X678,NDays&amp;"D")</f>
        <v>43993</v>
      </c>
      <c r="Z678" s="132">
        <v>8.8457423043715282E-3</v>
      </c>
      <c r="AA678" s="129">
        <v>8.3733493187132524E-3</v>
      </c>
    </row>
    <row r="679" spans="19:27" x14ac:dyDescent="0.2">
      <c r="S679" s="1"/>
      <c r="T679" s="109"/>
      <c r="W679" s="130" t="str">
        <f t="shared" si="20"/>
        <v>1w</v>
      </c>
      <c r="X679" s="128">
        <f>_xll.qlCalendarAdvance(Calendar,X678,W679,"f",FALSE)</f>
        <v>43998</v>
      </c>
      <c r="Y679" s="131">
        <f>_xll.qlCalendarAdvance(Calendar,X679,NDays&amp;"D")</f>
        <v>44000</v>
      </c>
      <c r="Z679" s="132">
        <v>8.9182304997351258E-3</v>
      </c>
      <c r="AA679" s="129">
        <v>8.4427837157452501E-3</v>
      </c>
    </row>
    <row r="680" spans="19:27" x14ac:dyDescent="0.2">
      <c r="S680" s="1"/>
      <c r="T680" s="109"/>
      <c r="W680" s="130" t="str">
        <f t="shared" si="20"/>
        <v>1w</v>
      </c>
      <c r="X680" s="128">
        <f>_xll.qlCalendarAdvance(Calendar,X679,W680,"f",FALSE)</f>
        <v>44005</v>
      </c>
      <c r="Y680" s="131">
        <f>_xll.qlCalendarAdvance(Calendar,X680,NDays&amp;"D")</f>
        <v>44007</v>
      </c>
      <c r="Z680" s="132">
        <v>8.9911018626007994E-3</v>
      </c>
      <c r="AA680" s="129">
        <v>8.5126646257638328E-3</v>
      </c>
    </row>
    <row r="681" spans="19:27" x14ac:dyDescent="0.2">
      <c r="S681" s="1"/>
      <c r="T681" s="109"/>
      <c r="W681" s="130" t="str">
        <f t="shared" si="20"/>
        <v>1w</v>
      </c>
      <c r="X681" s="128">
        <f>_xll.qlCalendarAdvance(Calendar,X680,W681,"f",FALSE)</f>
        <v>44012</v>
      </c>
      <c r="Y681" s="131">
        <f>_xll.qlCalendarAdvance(Calendar,X681,NDays&amp;"D")</f>
        <v>44014</v>
      </c>
      <c r="Z681" s="132">
        <v>9.0642907258316023E-3</v>
      </c>
      <c r="AA681" s="129">
        <v>8.5829920490887446E-3</v>
      </c>
    </row>
    <row r="682" spans="19:27" x14ac:dyDescent="0.2">
      <c r="S682" s="1"/>
      <c r="T682" s="109"/>
      <c r="W682" s="130" t="str">
        <f t="shared" si="20"/>
        <v>1w</v>
      </c>
      <c r="X682" s="128">
        <f>_xll.qlCalendarAdvance(Calendar,X681,W682,"f",FALSE)</f>
        <v>44019</v>
      </c>
      <c r="Y682" s="131">
        <f>_xll.qlCalendarAdvance(Calendar,X682,NDays&amp;"D")</f>
        <v>44021</v>
      </c>
      <c r="Z682" s="132">
        <v>9.1377314174779165E-3</v>
      </c>
      <c r="AA682" s="129">
        <v>8.6537659857999216E-3</v>
      </c>
    </row>
    <row r="683" spans="19:27" x14ac:dyDescent="0.2">
      <c r="S683" s="1"/>
      <c r="T683" s="109"/>
      <c r="W683" s="130" t="str">
        <f t="shared" si="20"/>
        <v>1w</v>
      </c>
      <c r="X683" s="128">
        <f>_xll.qlCalendarAdvance(Calendar,X682,W683,"f",FALSE)</f>
        <v>44026</v>
      </c>
      <c r="Y683" s="131">
        <f>_xll.qlCalendarAdvance(Calendar,X683,NDays&amp;"D")</f>
        <v>44028</v>
      </c>
      <c r="Z683" s="132">
        <v>9.21135826072619E-3</v>
      </c>
      <c r="AA683" s="129">
        <v>8.7249864363769802E-3</v>
      </c>
    </row>
    <row r="684" spans="19:27" x14ac:dyDescent="0.2">
      <c r="S684" s="1"/>
      <c r="T684" s="109"/>
      <c r="W684" s="130" t="str">
        <f t="shared" si="20"/>
        <v>1w</v>
      </c>
      <c r="X684" s="128">
        <f>_xll.qlCalendarAdvance(Calendar,X683,W684,"f",FALSE)</f>
        <v>44033</v>
      </c>
      <c r="Y684" s="131">
        <f>_xll.qlCalendarAdvance(Calendar,X684,NDays&amp;"D")</f>
        <v>44035</v>
      </c>
      <c r="Z684" s="132">
        <v>9.2851055738667875E-3</v>
      </c>
      <c r="AA684" s="129">
        <v>8.7966534008998565E-3</v>
      </c>
    </row>
    <row r="685" spans="19:27" x14ac:dyDescent="0.2">
      <c r="S685" s="1"/>
      <c r="T685" s="109"/>
      <c r="W685" s="130" t="str">
        <f t="shared" si="20"/>
        <v>1w</v>
      </c>
      <c r="X685" s="128">
        <f>_xll.qlCalendarAdvance(Calendar,X684,W685,"f",FALSE)</f>
        <v>44040</v>
      </c>
      <c r="Y685" s="131">
        <f>_xll.qlCalendarAdvance(Calendar,X685,NDays&amp;"D")</f>
        <v>44042</v>
      </c>
      <c r="Z685" s="132">
        <v>9.3589076702635752E-3</v>
      </c>
      <c r="AA685" s="129">
        <v>8.8687668796882946E-3</v>
      </c>
    </row>
    <row r="686" spans="19:27" x14ac:dyDescent="0.2">
      <c r="S686" s="1"/>
      <c r="T686" s="109"/>
      <c r="W686" s="130" t="str">
        <f t="shared" si="20"/>
        <v>1w</v>
      </c>
      <c r="X686" s="128">
        <f>_xll.qlCalendarAdvance(Calendar,X685,W686,"f",FALSE)</f>
        <v>44047</v>
      </c>
      <c r="Y686" s="131">
        <f>_xll.qlCalendarAdvance(Calendar,X686,NDays&amp;"D")</f>
        <v>44049</v>
      </c>
      <c r="Z686" s="132">
        <v>9.4326988583435054E-3</v>
      </c>
      <c r="AA686" s="129">
        <v>8.9413268731419748E-3</v>
      </c>
    </row>
    <row r="687" spans="19:27" x14ac:dyDescent="0.2">
      <c r="S687" s="1"/>
      <c r="T687" s="109"/>
      <c r="W687" s="130" t="str">
        <f t="shared" si="20"/>
        <v>1w</v>
      </c>
      <c r="X687" s="128">
        <f>_xll.qlCalendarAdvance(Calendar,X686,W687,"f",FALSE)</f>
        <v>44054</v>
      </c>
      <c r="Y687" s="131">
        <f>_xll.qlCalendarAdvance(Calendar,X687,NDays&amp;"D")</f>
        <v>44056</v>
      </c>
      <c r="Z687" s="132">
        <v>9.5064134415887864E-3</v>
      </c>
      <c r="AA687" s="129">
        <v>9.0143333813408333E-3</v>
      </c>
    </row>
    <row r="688" spans="19:27" x14ac:dyDescent="0.2">
      <c r="S688" s="1"/>
      <c r="T688" s="109"/>
      <c r="W688" s="130" t="str">
        <f t="shared" si="20"/>
        <v>1w</v>
      </c>
      <c r="X688" s="128">
        <f>_xll.qlCalendarAdvance(Calendar,X687,W688,"f",FALSE)</f>
        <v>44061</v>
      </c>
      <c r="Y688" s="131">
        <f>_xll.qlCalendarAdvance(Calendar,X688,NDays&amp;"D")</f>
        <v>44063</v>
      </c>
      <c r="Z688" s="132">
        <v>9.579985718548182E-3</v>
      </c>
      <c r="AA688" s="129">
        <v>9.0877864047644863E-3</v>
      </c>
    </row>
    <row r="689" spans="19:27" x14ac:dyDescent="0.2">
      <c r="S689" s="1"/>
      <c r="T689" s="109"/>
      <c r="W689" s="130" t="str">
        <f t="shared" si="20"/>
        <v>1w</v>
      </c>
      <c r="X689" s="128">
        <f>_xll.qlCalendarAdvance(Calendar,X688,W689,"f",FALSE)</f>
        <v>44068</v>
      </c>
      <c r="Y689" s="131">
        <f>_xll.qlCalendarAdvance(Calendar,X689,NDays&amp;"D")</f>
        <v>44070</v>
      </c>
      <c r="Z689" s="132">
        <v>9.6533499828517812E-3</v>
      </c>
      <c r="AA689" s="129">
        <v>9.1616859434928699E-3</v>
      </c>
    </row>
    <row r="690" spans="19:27" x14ac:dyDescent="0.2">
      <c r="S690" s="1"/>
      <c r="T690" s="109"/>
      <c r="W690" s="130" t="str">
        <f t="shared" si="20"/>
        <v>1w</v>
      </c>
      <c r="X690" s="128">
        <f>_xll.qlCalendarAdvance(Calendar,X689,W690,"f",FALSE)</f>
        <v>44075</v>
      </c>
      <c r="Y690" s="131">
        <f>_xll.qlCalendarAdvance(Calendar,X690,NDays&amp;"D")</f>
        <v>44077</v>
      </c>
      <c r="Z690" s="132">
        <v>9.7211607392152424E-3</v>
      </c>
      <c r="AA690" s="129">
        <v>9.2360319979256644E-3</v>
      </c>
    </row>
    <row r="691" spans="19:27" x14ac:dyDescent="0.2">
      <c r="S691" s="1"/>
      <c r="T691" s="109"/>
      <c r="W691" s="130" t="str">
        <f t="shared" si="20"/>
        <v>1w</v>
      </c>
      <c r="X691" s="128">
        <f>_xll.qlCalendarAdvance(Calendar,X690,W691,"f",FALSE)</f>
        <v>44082</v>
      </c>
      <c r="Y691" s="131">
        <f>_xll.qlCalendarAdvance(Calendar,X691,NDays&amp;"D")</f>
        <v>44084</v>
      </c>
      <c r="Z691" s="132">
        <v>9.7939393009040827E-3</v>
      </c>
      <c r="AA691" s="129">
        <v>9.310824568222742E-3</v>
      </c>
    </row>
    <row r="692" spans="19:27" x14ac:dyDescent="0.2">
      <c r="S692" s="1"/>
      <c r="T692" s="109"/>
      <c r="W692" s="130" t="str">
        <f t="shared" si="20"/>
        <v>1w</v>
      </c>
      <c r="X692" s="128">
        <f>_xll.qlCalendarAdvance(Calendar,X691,W692,"f",FALSE)</f>
        <v>44089</v>
      </c>
      <c r="Y692" s="131">
        <f>_xll.qlCalendarAdvance(Calendar,X692,NDays&amp;"D")</f>
        <v>44091</v>
      </c>
      <c r="Z692" s="132">
        <v>9.8663197742622707E-3</v>
      </c>
      <c r="AA692" s="129">
        <v>9.3856915702605903E-3</v>
      </c>
    </row>
    <row r="693" spans="19:27" x14ac:dyDescent="0.2">
      <c r="S693" s="1"/>
      <c r="T693" s="109"/>
      <c r="W693" s="130" t="str">
        <f t="shared" si="20"/>
        <v>1w</v>
      </c>
      <c r="X693" s="128">
        <f>_xll.qlCalendarAdvance(Calendar,X692,W693,"f",FALSE)</f>
        <v>44096</v>
      </c>
      <c r="Y693" s="131">
        <f>_xll.qlCalendarAdvance(Calendar,X693,NDays&amp;"D")</f>
        <v>44098</v>
      </c>
      <c r="Z693" s="132">
        <v>9.938285709143067E-3</v>
      </c>
      <c r="AA693" s="129">
        <v>9.460146657156443E-3</v>
      </c>
    </row>
    <row r="694" spans="19:27" x14ac:dyDescent="0.2">
      <c r="S694" s="1"/>
      <c r="T694" s="109"/>
      <c r="W694" s="130" t="str">
        <f t="shared" si="20"/>
        <v>1w</v>
      </c>
      <c r="X694" s="128">
        <f>_xll.qlCalendarAdvance(Calendar,X693,W694,"f",FALSE)</f>
        <v>44103</v>
      </c>
      <c r="Y694" s="131">
        <f>_xll.qlCalendarAdvance(Calendar,X694,NDays&amp;"D")</f>
        <v>44105</v>
      </c>
      <c r="Z694" s="132">
        <v>1.0030499453174264E-2</v>
      </c>
      <c r="AA694" s="129">
        <v>9.5341868988541023E-3</v>
      </c>
    </row>
    <row r="695" spans="19:27" x14ac:dyDescent="0.2">
      <c r="S695" s="1"/>
      <c r="T695" s="109"/>
      <c r="W695" s="130" t="str">
        <f t="shared" si="20"/>
        <v>1w</v>
      </c>
      <c r="X695" s="128">
        <f>_xll.qlCalendarAdvance(Calendar,X694,W695,"f",FALSE)</f>
        <v>44110</v>
      </c>
      <c r="Y695" s="131">
        <f>_xll.qlCalendarAdvance(Calendar,X695,NDays&amp;"D")</f>
        <v>44112</v>
      </c>
      <c r="Z695" s="132">
        <v>1.0086115553485014E-2</v>
      </c>
      <c r="AA695" s="129">
        <v>9.6078122951936962E-3</v>
      </c>
    </row>
    <row r="696" spans="19:27" x14ac:dyDescent="0.2">
      <c r="S696" s="1"/>
      <c r="T696" s="109"/>
      <c r="W696" s="130" t="str">
        <f t="shared" si="20"/>
        <v>1w</v>
      </c>
      <c r="X696" s="128">
        <f>_xll.qlCalendarAdvance(Calendar,X695,W696,"f",FALSE)</f>
        <v>44117</v>
      </c>
      <c r="Y696" s="131">
        <f>_xll.qlCalendarAdvance(Calendar,X696,NDays&amp;"D")</f>
        <v>44119</v>
      </c>
      <c r="Z696" s="132">
        <v>1.0156810006908414E-2</v>
      </c>
      <c r="AA696" s="129">
        <v>9.6810228458554803E-3</v>
      </c>
    </row>
    <row r="697" spans="19:27" x14ac:dyDescent="0.2">
      <c r="S697" s="1"/>
      <c r="T697" s="109"/>
      <c r="W697" s="130" t="str">
        <f t="shared" si="20"/>
        <v>1w</v>
      </c>
      <c r="X697" s="128">
        <f>_xll.qlCalendarAdvance(Calendar,X696,W697,"f",FALSE)</f>
        <v>44124</v>
      </c>
      <c r="Y697" s="131">
        <f>_xll.qlCalendarAdvance(Calendar,X697,NDays&amp;"D")</f>
        <v>44126</v>
      </c>
      <c r="Z697" s="132">
        <v>1.0227089800401074E-2</v>
      </c>
      <c r="AA697" s="129">
        <v>9.7538185505996466E-3</v>
      </c>
    </row>
    <row r="698" spans="19:27" x14ac:dyDescent="0.2">
      <c r="S698" s="1"/>
      <c r="T698" s="109"/>
      <c r="W698" s="130" t="str">
        <f t="shared" si="20"/>
        <v>1w</v>
      </c>
      <c r="X698" s="128">
        <f>_xll.qlCalendarAdvance(Calendar,X697,W698,"f",FALSE)</f>
        <v>44131</v>
      </c>
      <c r="Y698" s="131">
        <f>_xll.qlCalendarAdvance(Calendar,X698,NDays&amp;"D")</f>
        <v>44133</v>
      </c>
      <c r="Z698" s="132">
        <v>1.0296954911633897E-2</v>
      </c>
      <c r="AA698" s="129">
        <v>9.8261994091064508E-3</v>
      </c>
    </row>
    <row r="699" spans="19:27" x14ac:dyDescent="0.2">
      <c r="S699" s="1"/>
      <c r="T699" s="109"/>
      <c r="W699" s="130" t="str">
        <f t="shared" si="20"/>
        <v>1w</v>
      </c>
      <c r="X699" s="128">
        <f>_xll.qlCalendarAdvance(Calendar,X698,W699,"f",FALSE)</f>
        <v>44138</v>
      </c>
      <c r="Y699" s="131">
        <f>_xll.qlCalendarAdvance(Calendar,X699,NDays&amp;"D")</f>
        <v>44140</v>
      </c>
      <c r="Z699" s="132">
        <v>1.0366405318407254E-2</v>
      </c>
      <c r="AA699" s="129">
        <v>9.8981654212160208E-3</v>
      </c>
    </row>
    <row r="700" spans="19:27" x14ac:dyDescent="0.2">
      <c r="S700" s="1"/>
      <c r="T700" s="109"/>
      <c r="W700" s="130" t="str">
        <f t="shared" si="20"/>
        <v>1w</v>
      </c>
      <c r="X700" s="128">
        <f>_xll.qlCalendarAdvance(Calendar,X699,W700,"f",FALSE)</f>
        <v>44145</v>
      </c>
      <c r="Y700" s="131">
        <f>_xll.qlCalendarAdvance(Calendar,X700,NDays&amp;"D")</f>
        <v>44147</v>
      </c>
      <c r="Z700" s="132">
        <v>1.0435440998654446E-2</v>
      </c>
      <c r="AA700" s="129">
        <v>9.9697165866885484E-3</v>
      </c>
    </row>
    <row r="701" spans="19:27" x14ac:dyDescent="0.2">
      <c r="S701" s="1"/>
      <c r="T701" s="109"/>
      <c r="W701" s="130" t="str">
        <f t="shared" si="20"/>
        <v>1w</v>
      </c>
      <c r="X701" s="128">
        <f>_xll.qlCalendarAdvance(Calendar,X700,W701,"f",FALSE)</f>
        <v>44152</v>
      </c>
      <c r="Y701" s="131">
        <f>_xll.qlCalendarAdvance(Calendar,X701,NDays&amp;"D")</f>
        <v>44154</v>
      </c>
      <c r="Z701" s="132">
        <v>1.0504061930440844E-2</v>
      </c>
      <c r="AA701" s="129">
        <v>1.0040852905284225E-2</v>
      </c>
    </row>
    <row r="702" spans="19:27" x14ac:dyDescent="0.2">
      <c r="S702" s="1"/>
      <c r="T702" s="109"/>
      <c r="W702" s="130" t="str">
        <f t="shared" si="20"/>
        <v>1w</v>
      </c>
      <c r="X702" s="128">
        <f>_xll.qlCalendarAdvance(Calendar,X701,W702,"f",FALSE)</f>
        <v>44159</v>
      </c>
      <c r="Y702" s="131">
        <f>_xll.qlCalendarAdvance(Calendar,X702,NDays&amp;"D")</f>
        <v>44161</v>
      </c>
      <c r="Z702" s="132">
        <v>1.0572268091960416E-2</v>
      </c>
      <c r="AA702" s="129">
        <v>1.0111574376683308E-2</v>
      </c>
    </row>
    <row r="703" spans="19:27" x14ac:dyDescent="0.2">
      <c r="S703" s="1"/>
      <c r="T703" s="109"/>
      <c r="W703" s="130" t="str">
        <f t="shared" si="20"/>
        <v>1w</v>
      </c>
      <c r="X703" s="128">
        <f>_xll.qlCalendarAdvance(Calendar,X702,W703,"f",FALSE)</f>
        <v>44166</v>
      </c>
      <c r="Y703" s="131">
        <f>_xll.qlCalendarAdvance(Calendar,X703,NDays&amp;"D")</f>
        <v>44168</v>
      </c>
      <c r="Z703" s="132">
        <v>1.0630215509594976E-2</v>
      </c>
      <c r="AA703" s="129">
        <v>1.0181881000645987E-2</v>
      </c>
    </row>
    <row r="704" spans="19:27" x14ac:dyDescent="0.2">
      <c r="S704" s="1"/>
      <c r="T704" s="109"/>
      <c r="W704" s="130" t="str">
        <f t="shared" si="20"/>
        <v>1w</v>
      </c>
      <c r="X704" s="128">
        <f>_xll.qlCalendarAdvance(Calendar,X703,W704,"f",FALSE)</f>
        <v>44173</v>
      </c>
      <c r="Y704" s="131">
        <f>_xll.qlCalendarAdvance(Calendar,X704,NDays&amp;"D")</f>
        <v>44175</v>
      </c>
      <c r="Z704" s="132">
        <v>1.0697647338556493E-2</v>
      </c>
      <c r="AA704" s="129">
        <v>1.0251772776932455E-2</v>
      </c>
    </row>
    <row r="705" spans="19:27" x14ac:dyDescent="0.2">
      <c r="S705" s="1"/>
      <c r="T705" s="109"/>
      <c r="W705" s="130" t="str">
        <f t="shared" si="20"/>
        <v>1w</v>
      </c>
      <c r="X705" s="128">
        <f>_xll.qlCalendarAdvance(Calendar,X704,W705,"f",FALSE)</f>
        <v>44180</v>
      </c>
      <c r="Y705" s="131">
        <f>_xll.qlCalendarAdvance(Calendar,X705,NDays&amp;"D")</f>
        <v>44182</v>
      </c>
      <c r="Z705" s="132">
        <v>1.0764664335246366E-2</v>
      </c>
      <c r="AA705" s="129">
        <v>1.0321249705302904E-2</v>
      </c>
    </row>
    <row r="706" spans="19:27" x14ac:dyDescent="0.2">
      <c r="S706" s="1"/>
      <c r="T706" s="109"/>
      <c r="W706" s="130" t="str">
        <f t="shared" si="20"/>
        <v>1w</v>
      </c>
      <c r="X706" s="128">
        <f>_xll.qlCalendarAdvance(Calendar,X705,W706,"f",FALSE)</f>
        <v>44187</v>
      </c>
      <c r="Y706" s="131">
        <f>_xll.qlCalendarAdvance(Calendar,X706,NDays&amp;"D")</f>
        <v>44189</v>
      </c>
      <c r="Z706" s="132">
        <v>1.0831266478834145E-2</v>
      </c>
      <c r="AA706" s="129">
        <v>1.0405502651902321E-2</v>
      </c>
    </row>
    <row r="707" spans="19:27" x14ac:dyDescent="0.2">
      <c r="S707" s="1"/>
      <c r="T707" s="109"/>
      <c r="W707" s="130" t="str">
        <f t="shared" si="20"/>
        <v>1w</v>
      </c>
      <c r="X707" s="128">
        <f>_xll.qlCalendarAdvance(Calendar,X706,W707,"f",FALSE)</f>
        <v>44194</v>
      </c>
      <c r="Y707" s="131">
        <f>_xll.qlCalendarAdvance(Calendar,X707,NDays&amp;"D")</f>
        <v>44196</v>
      </c>
      <c r="Z707" s="132">
        <v>1.0897453748614616E-2</v>
      </c>
      <c r="AA707" s="129">
        <v>1.0474066952059768E-2</v>
      </c>
    </row>
    <row r="708" spans="19:27" x14ac:dyDescent="0.2">
      <c r="S708" s="1"/>
      <c r="T708" s="109"/>
      <c r="W708" s="130" t="str">
        <f t="shared" si="20"/>
        <v>1w</v>
      </c>
      <c r="X708" s="128">
        <f>_xll.qlCalendarAdvance(Calendar,X707,W708,"f",FALSE)</f>
        <v>44201</v>
      </c>
      <c r="Y708" s="131">
        <f>_xll.qlCalendarAdvance(Calendar,X708,NDays&amp;"D")</f>
        <v>44203</v>
      </c>
      <c r="Z708" s="132">
        <v>1.0963226124012238E-2</v>
      </c>
      <c r="AA708" s="129">
        <v>1.0527191400839797E-2</v>
      </c>
    </row>
    <row r="709" spans="19:27" x14ac:dyDescent="0.2">
      <c r="S709" s="1"/>
      <c r="T709" s="109"/>
      <c r="W709" s="130" t="str">
        <f t="shared" si="20"/>
        <v>1w</v>
      </c>
      <c r="X709" s="128">
        <f>_xll.qlCalendarAdvance(Calendar,X708,W709,"f",FALSE)</f>
        <v>44208</v>
      </c>
      <c r="Y709" s="131">
        <f>_xll.qlCalendarAdvance(Calendar,X709,NDays&amp;"D")</f>
        <v>44210</v>
      </c>
      <c r="Z709" s="132">
        <v>1.1028583584580254E-2</v>
      </c>
      <c r="AA709" s="129">
        <v>1.0595008935307959E-2</v>
      </c>
    </row>
    <row r="710" spans="19:27" x14ac:dyDescent="0.2">
      <c r="S710" s="1"/>
      <c r="T710" s="109"/>
      <c r="W710" s="130" t="str">
        <f t="shared" si="20"/>
        <v>1w</v>
      </c>
      <c r="X710" s="128">
        <f>_xll.qlCalendarAdvance(Calendar,X709,W710,"f",FALSE)</f>
        <v>44215</v>
      </c>
      <c r="Y710" s="131">
        <f>_xll.qlCalendarAdvance(Calendar,X710,NDays&amp;"D")</f>
        <v>44217</v>
      </c>
      <c r="Z710" s="132">
        <v>1.1093526110001584E-2</v>
      </c>
      <c r="AA710" s="129">
        <v>1.0662411620661061E-2</v>
      </c>
    </row>
    <row r="711" spans="19:27" x14ac:dyDescent="0.2">
      <c r="S711" s="1"/>
      <c r="T711" s="109"/>
      <c r="W711" s="130" t="str">
        <f t="shared" si="20"/>
        <v>1w</v>
      </c>
      <c r="X711" s="128">
        <f>_xll.qlCalendarAdvance(Calendar,X710,W711,"f",FALSE)</f>
        <v>44222</v>
      </c>
      <c r="Y711" s="131">
        <f>_xll.qlCalendarAdvance(Calendar,X711,NDays&amp;"D")</f>
        <v>44224</v>
      </c>
      <c r="Z711" s="132">
        <v>1.1158053680087932E-2</v>
      </c>
      <c r="AA711" s="129">
        <v>1.072939945673923E-2</v>
      </c>
    </row>
    <row r="712" spans="19:27" x14ac:dyDescent="0.2">
      <c r="S712" s="1"/>
      <c r="T712" s="109"/>
      <c r="W712" s="130" t="str">
        <f t="shared" si="20"/>
        <v>1w</v>
      </c>
      <c r="X712" s="128">
        <f>_xll.qlCalendarAdvance(Calendar,X711,W712,"f",FALSE)</f>
        <v>44229</v>
      </c>
      <c r="Y712" s="131">
        <f>_xll.qlCalendarAdvance(Calendar,X712,NDays&amp;"D")</f>
        <v>44231</v>
      </c>
      <c r="Z712" s="132">
        <v>1.1217489280558336E-2</v>
      </c>
      <c r="AA712" s="129">
        <v>1.0795972443222723E-2</v>
      </c>
    </row>
    <row r="713" spans="19:27" x14ac:dyDescent="0.2">
      <c r="S713" s="1"/>
      <c r="T713" s="109"/>
      <c r="W713" s="130" t="str">
        <f t="shared" si="20"/>
        <v>1w</v>
      </c>
      <c r="X713" s="128">
        <f>_xll.qlCalendarAdvance(Calendar,X712,W713,"f",FALSE)</f>
        <v>44236</v>
      </c>
      <c r="Y713" s="131">
        <f>_xll.qlCalendarAdvance(Calendar,X713,NDays&amp;"D")</f>
        <v>44238</v>
      </c>
      <c r="Z713" s="132">
        <v>1.1281214535541331E-2</v>
      </c>
      <c r="AA713" s="129">
        <v>1.0862130579951668E-2</v>
      </c>
    </row>
    <row r="714" spans="19:27" x14ac:dyDescent="0.2">
      <c r="S714" s="1"/>
      <c r="T714" s="109"/>
      <c r="W714" s="130" t="str">
        <f t="shared" si="20"/>
        <v>1w</v>
      </c>
      <c r="X714" s="128">
        <f>_xll.qlCalendarAdvance(Calendar,X713,W714,"f",FALSE)</f>
        <v>44243</v>
      </c>
      <c r="Y714" s="131">
        <f>_xll.qlCalendarAdvance(Calendar,X714,NDays&amp;"D")</f>
        <v>44245</v>
      </c>
      <c r="Z714" s="132">
        <v>1.1344524778608256E-2</v>
      </c>
      <c r="AA714" s="129">
        <v>1.0927873866686255E-2</v>
      </c>
    </row>
    <row r="715" spans="19:27" x14ac:dyDescent="0.2">
      <c r="S715" s="1"/>
      <c r="T715" s="109"/>
      <c r="W715" s="130" t="str">
        <f t="shared" si="20"/>
        <v>1w</v>
      </c>
      <c r="X715" s="128">
        <f>_xll.qlCalendarAdvance(Calendar,X714,W715,"f",FALSE)</f>
        <v>44250</v>
      </c>
      <c r="Y715" s="131">
        <f>_xll.qlCalendarAdvance(Calendar,X715,NDays&amp;"D")</f>
        <v>44252</v>
      </c>
      <c r="Z715" s="132">
        <v>1.140741999029693E-2</v>
      </c>
      <c r="AA715" s="129">
        <v>1.0993202303186678E-2</v>
      </c>
    </row>
    <row r="716" spans="19:27" x14ac:dyDescent="0.2">
      <c r="S716" s="1"/>
      <c r="T716" s="109"/>
      <c r="W716" s="130" t="str">
        <f t="shared" si="20"/>
        <v>1w</v>
      </c>
      <c r="X716" s="128">
        <f>_xll.qlCalendarAdvance(Calendar,X715,W716,"f",FALSE)</f>
        <v>44257</v>
      </c>
      <c r="Y716" s="131">
        <f>_xll.qlCalendarAdvance(Calendar,X716,NDays&amp;"D")</f>
        <v>44259</v>
      </c>
      <c r="Z716" s="132">
        <v>1.1483591578274057E-2</v>
      </c>
      <c r="AA716" s="129">
        <v>1.1058115889213127E-2</v>
      </c>
    </row>
    <row r="717" spans="19:27" x14ac:dyDescent="0.2">
      <c r="S717" s="1"/>
      <c r="T717" s="109"/>
      <c r="W717" s="130" t="str">
        <f t="shared" si="20"/>
        <v>1w</v>
      </c>
      <c r="X717" s="128">
        <f>_xll.qlCalendarAdvance(Calendar,X716,W717,"f",FALSE)</f>
        <v>44264</v>
      </c>
      <c r="Y717" s="131">
        <f>_xll.qlCalendarAdvance(Calendar,X717,NDays&amp;"D")</f>
        <v>44266</v>
      </c>
      <c r="Z717" s="132">
        <v>1.154557365880737E-2</v>
      </c>
      <c r="AA717" s="129">
        <v>1.1122614624605731E-2</v>
      </c>
    </row>
    <row r="718" spans="19:27" x14ac:dyDescent="0.2">
      <c r="S718" s="1"/>
      <c r="T718" s="109"/>
      <c r="W718" s="130" t="str">
        <f t="shared" si="20"/>
        <v>1w</v>
      </c>
      <c r="X718" s="128">
        <f>_xll.qlCalendarAdvance(Calendar,X717,W718,"f",FALSE)</f>
        <v>44271</v>
      </c>
      <c r="Y718" s="131">
        <f>_xll.qlCalendarAdvance(Calendar,X718,NDays&amp;"D")</f>
        <v>44273</v>
      </c>
      <c r="Z718" s="132">
        <v>1.1607140638109035E-2</v>
      </c>
      <c r="AA718" s="129">
        <v>1.1186698509044746E-2</v>
      </c>
    </row>
    <row r="719" spans="19:27" x14ac:dyDescent="0.2">
      <c r="S719" s="1"/>
      <c r="T719" s="109"/>
      <c r="W719" s="130" t="str">
        <f t="shared" si="20"/>
        <v>1w</v>
      </c>
      <c r="X719" s="128">
        <f>_xll.qlCalendarAdvance(Calendar,X718,W719,"f",FALSE)</f>
        <v>44278</v>
      </c>
      <c r="Y719" s="131">
        <f>_xll.qlCalendarAdvance(Calendar,X719,NDays&amp;"D")</f>
        <v>44280</v>
      </c>
      <c r="Z719" s="132">
        <v>1.1668292496611225E-2</v>
      </c>
      <c r="AA719" s="129">
        <v>1.1250367542290363E-2</v>
      </c>
    </row>
    <row r="720" spans="19:27" x14ac:dyDescent="0.2">
      <c r="S720" s="1"/>
      <c r="T720" s="109"/>
      <c r="W720" s="130" t="str">
        <f t="shared" si="20"/>
        <v>1w</v>
      </c>
      <c r="X720" s="128">
        <f>_xll.qlCalendarAdvance(Calendar,X719,W720,"f",FALSE)</f>
        <v>44285</v>
      </c>
      <c r="Y720" s="131">
        <f>_xll.qlCalendarAdvance(Calendar,X720,NDays&amp;"D")</f>
        <v>44287</v>
      </c>
      <c r="Z720" s="132">
        <v>1.1724578656405761E-2</v>
      </c>
      <c r="AA720" s="129">
        <v>1.1332323069614958E-2</v>
      </c>
    </row>
    <row r="721" spans="19:27" x14ac:dyDescent="0.2">
      <c r="S721" s="1"/>
      <c r="T721" s="109"/>
      <c r="W721" s="130" t="str">
        <f t="shared" si="20"/>
        <v>1w</v>
      </c>
      <c r="X721" s="128">
        <f>_xll.qlCalendarAdvance(Calendar,X720,W721,"f",FALSE)</f>
        <v>44292</v>
      </c>
      <c r="Y721" s="131">
        <f>_xll.qlCalendarAdvance(Calendar,X721,NDays&amp;"D")</f>
        <v>44294</v>
      </c>
      <c r="Z721" s="132">
        <v>1.1784927903384833E-2</v>
      </c>
      <c r="AA721" s="129">
        <v>1.1376461054721787E-2</v>
      </c>
    </row>
    <row r="722" spans="19:27" x14ac:dyDescent="0.2">
      <c r="S722" s="1"/>
      <c r="T722" s="109"/>
      <c r="W722" s="130" t="str">
        <f t="shared" si="20"/>
        <v>1w</v>
      </c>
      <c r="X722" s="128">
        <f>_xll.qlCalendarAdvance(Calendar,X721,W722,"f",FALSE)</f>
        <v>44299</v>
      </c>
      <c r="Y722" s="131">
        <f>_xll.qlCalendarAdvance(Calendar,X722,NDays&amp;"D")</f>
        <v>44301</v>
      </c>
      <c r="Z722" s="132">
        <v>1.1844861976568779E-2</v>
      </c>
      <c r="AA722" s="129">
        <v>1.1438885533348042E-2</v>
      </c>
    </row>
    <row r="723" spans="19:27" x14ac:dyDescent="0.2">
      <c r="S723" s="1"/>
      <c r="T723" s="109"/>
      <c r="W723" s="130" t="str">
        <f t="shared" si="20"/>
        <v>1w</v>
      </c>
      <c r="X723" s="128">
        <f>_xll.qlCalendarAdvance(Calendar,X722,W723,"f",FALSE)</f>
        <v>44306</v>
      </c>
      <c r="Y723" s="131">
        <f>_xll.qlCalendarAdvance(Calendar,X723,NDays&amp;"D")</f>
        <v>44308</v>
      </c>
      <c r="Z723" s="132">
        <v>1.1904380857115532E-2</v>
      </c>
      <c r="AA723" s="129">
        <v>1.1500895159981539E-2</v>
      </c>
    </row>
    <row r="724" spans="19:27" x14ac:dyDescent="0.2">
      <c r="S724" s="1"/>
      <c r="T724" s="109"/>
      <c r="W724" s="130" t="str">
        <f t="shared" si="20"/>
        <v>1w</v>
      </c>
      <c r="X724" s="128">
        <f>_xll.qlCalendarAdvance(Calendar,X723,W724,"f",FALSE)</f>
        <v>44313</v>
      </c>
      <c r="Y724" s="131">
        <f>_xll.qlCalendarAdvance(Calendar,X724,NDays&amp;"D")</f>
        <v>44315</v>
      </c>
      <c r="Z724" s="132">
        <v>1.1963484526313906E-2</v>
      </c>
      <c r="AA724" s="129">
        <v>1.1562489934382469E-2</v>
      </c>
    </row>
    <row r="725" spans="19:27" x14ac:dyDescent="0.2">
      <c r="S725" s="1"/>
      <c r="T725" s="109"/>
      <c r="W725" s="130" t="str">
        <f t="shared" ref="W725:W788" si="21">W724</f>
        <v>1w</v>
      </c>
      <c r="X725" s="128">
        <f>_xll.qlCalendarAdvance(Calendar,X724,W725,"f",FALSE)</f>
        <v>44320</v>
      </c>
      <c r="Y725" s="131">
        <f>_xll.qlCalendarAdvance(Calendar,X725,NDays&amp;"D")</f>
        <v>44322</v>
      </c>
      <c r="Z725" s="132">
        <v>1.202648503174294E-2</v>
      </c>
      <c r="AA725" s="129">
        <v>1.1623669856390961E-2</v>
      </c>
    </row>
    <row r="726" spans="19:27" x14ac:dyDescent="0.2">
      <c r="S726" s="1"/>
      <c r="T726" s="109"/>
      <c r="W726" s="130" t="str">
        <f t="shared" si="21"/>
        <v>1w</v>
      </c>
      <c r="X726" s="128">
        <f>_xll.qlCalendarAdvance(Calendar,X725,W726,"f",FALSE)</f>
        <v>44327</v>
      </c>
      <c r="Y726" s="131">
        <f>_xll.qlCalendarAdvance(Calendar,X726,NDays&amp;"D")</f>
        <v>44329</v>
      </c>
      <c r="Z726" s="132">
        <v>1.208473050786428E-2</v>
      </c>
      <c r="AA726" s="129">
        <v>1.1684434925767206E-2</v>
      </c>
    </row>
    <row r="727" spans="19:27" x14ac:dyDescent="0.2">
      <c r="S727" s="1"/>
      <c r="T727" s="109"/>
      <c r="W727" s="130" t="str">
        <f t="shared" si="21"/>
        <v>1w</v>
      </c>
      <c r="X727" s="128">
        <f>_xll.qlCalendarAdvance(Calendar,X726,W727,"f",FALSE)</f>
        <v>44334</v>
      </c>
      <c r="Y727" s="131">
        <f>_xll.qlCalendarAdvance(Calendar,X727,NDays&amp;"D")</f>
        <v>44336</v>
      </c>
      <c r="Z727" s="132">
        <v>1.2142560711400607E-2</v>
      </c>
      <c r="AA727" s="129">
        <v>1.1744785142191461E-2</v>
      </c>
    </row>
    <row r="728" spans="19:27" x14ac:dyDescent="0.2">
      <c r="S728" s="1"/>
      <c r="T728" s="109"/>
      <c r="W728" s="130" t="str">
        <f t="shared" si="21"/>
        <v>1w</v>
      </c>
      <c r="X728" s="128">
        <f>_xll.qlCalendarAdvance(Calendar,X727,W728,"f",FALSE)</f>
        <v>44341</v>
      </c>
      <c r="Y728" s="131">
        <f>_xll.qlCalendarAdvance(Calendar,X728,NDays&amp;"D")</f>
        <v>44343</v>
      </c>
      <c r="Z728" s="132">
        <v>1.21999756239701E-2</v>
      </c>
      <c r="AA728" s="129">
        <v>1.180472050574366E-2</v>
      </c>
    </row>
    <row r="729" spans="19:27" x14ac:dyDescent="0.2">
      <c r="S729" s="1"/>
      <c r="T729" s="109"/>
      <c r="W729" s="130" t="str">
        <f t="shared" si="21"/>
        <v>1w</v>
      </c>
      <c r="X729" s="128">
        <f>_xll.qlCalendarAdvance(Calendar,X728,W729,"f",FALSE)</f>
        <v>44348</v>
      </c>
      <c r="Y729" s="131">
        <f>_xll.qlCalendarAdvance(Calendar,X729,NDays&amp;"D")</f>
        <v>44350</v>
      </c>
      <c r="Z729" s="132">
        <v>1.2256975227323878E-2</v>
      </c>
      <c r="AA729" s="129">
        <v>1.1864241015864252E-2</v>
      </c>
    </row>
    <row r="730" spans="19:27" x14ac:dyDescent="0.2">
      <c r="S730" s="1"/>
      <c r="T730" s="109"/>
      <c r="W730" s="130" t="str">
        <f t="shared" si="21"/>
        <v>1w</v>
      </c>
      <c r="X730" s="128">
        <f>_xll.qlCalendarAdvance(Calendar,X729,W730,"f",FALSE)</f>
        <v>44355</v>
      </c>
      <c r="Y730" s="131">
        <f>_xll.qlCalendarAdvance(Calendar,X730,NDays&amp;"D")</f>
        <v>44357</v>
      </c>
      <c r="Z730" s="132">
        <v>1.2313559503346002E-2</v>
      </c>
      <c r="AA730" s="129">
        <v>1.1923346672553237E-2</v>
      </c>
    </row>
    <row r="731" spans="19:27" x14ac:dyDescent="0.2">
      <c r="S731" s="1"/>
      <c r="T731" s="109"/>
      <c r="W731" s="130" t="str">
        <f t="shared" si="21"/>
        <v>1w</v>
      </c>
      <c r="X731" s="128">
        <f>_xll.qlCalendarAdvance(Calendar,X730,W731,"f",FALSE)</f>
        <v>44362</v>
      </c>
      <c r="Y731" s="131">
        <f>_xll.qlCalendarAdvance(Calendar,X731,NDays&amp;"D")</f>
        <v>44364</v>
      </c>
      <c r="Z731" s="132">
        <v>1.2369729422401126E-2</v>
      </c>
      <c r="AA731" s="129">
        <v>1.1982037475650742E-2</v>
      </c>
    </row>
    <row r="732" spans="19:27" x14ac:dyDescent="0.2">
      <c r="S732" s="1"/>
      <c r="T732" s="109"/>
      <c r="W732" s="130" t="str">
        <f t="shared" si="21"/>
        <v>1w</v>
      </c>
      <c r="X732" s="128">
        <f>_xll.qlCalendarAdvance(Calendar,X731,W732,"f",FALSE)</f>
        <v>44369</v>
      </c>
      <c r="Y732" s="131">
        <f>_xll.qlCalendarAdvance(Calendar,X732,NDays&amp;"D")</f>
        <v>44371</v>
      </c>
      <c r="Z732" s="132">
        <v>1.2425502556473119E-2</v>
      </c>
      <c r="AA732" s="129">
        <v>1.2040313424757088E-2</v>
      </c>
    </row>
    <row r="733" spans="19:27" x14ac:dyDescent="0.2">
      <c r="S733" s="1"/>
      <c r="T733" s="109"/>
      <c r="W733" s="130" t="str">
        <f t="shared" si="21"/>
        <v>1w</v>
      </c>
      <c r="X733" s="128">
        <f>_xll.qlCalendarAdvance(Calendar,X732,W733,"f",FALSE)</f>
        <v>44376</v>
      </c>
      <c r="Y733" s="131">
        <f>_xll.qlCalendarAdvance(Calendar,X733,NDays&amp;"D")</f>
        <v>44378</v>
      </c>
      <c r="Z733" s="132">
        <v>1.2480910254187415E-2</v>
      </c>
      <c r="AA733" s="129">
        <v>1.2098174519872273E-2</v>
      </c>
    </row>
    <row r="734" spans="19:27" x14ac:dyDescent="0.2">
      <c r="S734" s="1"/>
      <c r="T734" s="109"/>
      <c r="W734" s="130" t="str">
        <f t="shared" si="21"/>
        <v>1w</v>
      </c>
      <c r="X734" s="128">
        <f>_xll.qlCalendarAdvance(Calendar,X733,W734,"f",FALSE)</f>
        <v>44383</v>
      </c>
      <c r="Y734" s="131">
        <f>_xll.qlCalendarAdvance(Calendar,X734,NDays&amp;"D")</f>
        <v>44385</v>
      </c>
      <c r="Z734" s="132">
        <v>1.253598428302918E-2</v>
      </c>
      <c r="AA734" s="129">
        <v>1.2155620760676555E-2</v>
      </c>
    </row>
    <row r="735" spans="19:27" x14ac:dyDescent="0.2">
      <c r="S735" s="1"/>
      <c r="T735" s="109"/>
      <c r="W735" s="130" t="str">
        <f t="shared" si="21"/>
        <v>1w</v>
      </c>
      <c r="X735" s="128">
        <f>_xll.qlCalendarAdvance(Calendar,X734,W735,"f",FALSE)</f>
        <v>44390</v>
      </c>
      <c r="Y735" s="131">
        <f>_xll.qlCalendarAdvance(Calendar,X735,NDays&amp;"D")</f>
        <v>44392</v>
      </c>
      <c r="Z735" s="132">
        <v>1.2590756412355993E-2</v>
      </c>
      <c r="AA735" s="129">
        <v>1.2212652147010061E-2</v>
      </c>
    </row>
    <row r="736" spans="19:27" x14ac:dyDescent="0.2">
      <c r="S736" s="1"/>
      <c r="T736" s="109"/>
      <c r="W736" s="130" t="str">
        <f t="shared" si="21"/>
        <v>1w</v>
      </c>
      <c r="X736" s="128">
        <f>_xll.qlCalendarAdvance(Calendar,X735,W736,"f",FALSE)</f>
        <v>44397</v>
      </c>
      <c r="Y736" s="131">
        <f>_xll.qlCalendarAdvance(Calendar,X736,NDays&amp;"D")</f>
        <v>44399</v>
      </c>
      <c r="Z736" s="132">
        <v>1.2645258413373519E-2</v>
      </c>
      <c r="AA736" s="129">
        <v>1.2269268678632983E-2</v>
      </c>
    </row>
    <row r="737" spans="19:27" x14ac:dyDescent="0.2">
      <c r="S737" s="1"/>
      <c r="T737" s="109"/>
      <c r="W737" s="130" t="str">
        <f t="shared" si="21"/>
        <v>1w</v>
      </c>
      <c r="X737" s="128">
        <f>_xll.qlCalendarAdvance(Calendar,X736,W737,"f",FALSE)</f>
        <v>44404</v>
      </c>
      <c r="Y737" s="131">
        <f>_xll.qlCalendarAdvance(Calendar,X737,NDays&amp;"D")</f>
        <v>44406</v>
      </c>
      <c r="Z737" s="132">
        <v>1.269952205911553E-2</v>
      </c>
      <c r="AA737" s="129">
        <v>1.2325470355385448E-2</v>
      </c>
    </row>
    <row r="738" spans="19:27" x14ac:dyDescent="0.2">
      <c r="S738" s="1"/>
      <c r="T738" s="109"/>
      <c r="W738" s="130" t="str">
        <f t="shared" si="21"/>
        <v>1w</v>
      </c>
      <c r="X738" s="128">
        <f>_xll.qlCalendarAdvance(Calendar,X737,W738,"f",FALSE)</f>
        <v>44411</v>
      </c>
      <c r="Y738" s="131">
        <f>_xll.qlCalendarAdvance(Calendar,X738,NDays&amp;"D")</f>
        <v>44413</v>
      </c>
      <c r="Z738" s="132">
        <v>1.2753579124417828E-2</v>
      </c>
      <c r="AA738" s="129">
        <v>1.2381257177107585E-2</v>
      </c>
    </row>
    <row r="739" spans="19:27" x14ac:dyDescent="0.2">
      <c r="S739" s="1"/>
      <c r="T739" s="109"/>
      <c r="W739" s="130" t="str">
        <f t="shared" si="21"/>
        <v>1w</v>
      </c>
      <c r="X739" s="128">
        <f>_xll.qlCalendarAdvance(Calendar,X738,W739,"f",FALSE)</f>
        <v>44418</v>
      </c>
      <c r="Y739" s="131">
        <f>_xll.qlCalendarAdvance(Calendar,X739,NDays&amp;"D")</f>
        <v>44420</v>
      </c>
      <c r="Z739" s="132">
        <v>1.2807461385905225E-2</v>
      </c>
      <c r="AA739" s="129">
        <v>1.2436629143639522E-2</v>
      </c>
    </row>
    <row r="740" spans="19:27" x14ac:dyDescent="0.2">
      <c r="S740" s="1"/>
      <c r="T740" s="109"/>
      <c r="W740" s="130" t="str">
        <f t="shared" si="21"/>
        <v>1w</v>
      </c>
      <c r="X740" s="128">
        <f>_xll.qlCalendarAdvance(Calendar,X739,W740,"f",FALSE)</f>
        <v>44425</v>
      </c>
      <c r="Y740" s="131">
        <f>_xll.qlCalendarAdvance(Calendar,X740,NDays&amp;"D")</f>
        <v>44427</v>
      </c>
      <c r="Z740" s="132">
        <v>1.2861200621972419E-2</v>
      </c>
      <c r="AA740" s="129">
        <v>1.2491586254661513E-2</v>
      </c>
    </row>
    <row r="741" spans="19:27" x14ac:dyDescent="0.2">
      <c r="S741" s="1"/>
      <c r="T741" s="109"/>
      <c r="W741" s="130" t="str">
        <f t="shared" si="21"/>
        <v>1w</v>
      </c>
      <c r="X741" s="128">
        <f>_xll.qlCalendarAdvance(Calendar,X740,W741,"f",FALSE)</f>
        <v>44432</v>
      </c>
      <c r="Y741" s="131">
        <f>_xll.qlCalendarAdvance(Calendar,X741,NDays&amp;"D")</f>
        <v>44434</v>
      </c>
      <c r="Z741" s="132">
        <v>1.2914828612772702E-2</v>
      </c>
      <c r="AA741" s="129">
        <v>1.2546128510013688E-2</v>
      </c>
    </row>
    <row r="742" spans="19:27" x14ac:dyDescent="0.2">
      <c r="S742" s="1"/>
      <c r="T742" s="109"/>
      <c r="W742" s="130" t="str">
        <f t="shared" si="21"/>
        <v>1w</v>
      </c>
      <c r="X742" s="128">
        <f>_xll.qlCalendarAdvance(Calendar,X741,W742,"f",FALSE)</f>
        <v>44439</v>
      </c>
      <c r="Y742" s="131">
        <f>_xll.qlCalendarAdvance(Calendar,X742,NDays&amp;"D")</f>
        <v>44441</v>
      </c>
      <c r="Z742" s="132">
        <v>1.2964323486189066E-2</v>
      </c>
      <c r="AA742" s="129">
        <v>1.2600255909536173E-2</v>
      </c>
    </row>
    <row r="743" spans="19:27" x14ac:dyDescent="0.2">
      <c r="S743" s="1"/>
      <c r="T743" s="109"/>
      <c r="W743" s="130" t="str">
        <f t="shared" si="21"/>
        <v>1w</v>
      </c>
      <c r="X743" s="128">
        <f>_xll.qlCalendarAdvance(Calendar,X742,W743,"f",FALSE)</f>
        <v>44446</v>
      </c>
      <c r="Y743" s="131">
        <f>_xll.qlCalendarAdvance(Calendar,X743,NDays&amp;"D")</f>
        <v>44448</v>
      </c>
      <c r="Z743" s="132">
        <v>1.3017822459384312E-2</v>
      </c>
      <c r="AA743" s="129">
        <v>1.2653968453069098E-2</v>
      </c>
    </row>
    <row r="744" spans="19:27" x14ac:dyDescent="0.2">
      <c r="S744" s="1"/>
      <c r="T744" s="109"/>
      <c r="W744" s="130" t="str">
        <f t="shared" si="21"/>
        <v>1w</v>
      </c>
      <c r="X744" s="128">
        <f>_xll.qlCalendarAdvance(Calendar,X743,W744,"f",FALSE)</f>
        <v>44453</v>
      </c>
      <c r="Y744" s="131">
        <f>_xll.qlCalendarAdvance(Calendar,X744,NDays&amp;"D")</f>
        <v>44455</v>
      </c>
      <c r="Z744" s="132">
        <v>1.3071304909706817E-2</v>
      </c>
      <c r="AA744" s="129">
        <v>1.2707318544453727E-2</v>
      </c>
    </row>
    <row r="745" spans="19:27" x14ac:dyDescent="0.2">
      <c r="S745" s="1"/>
      <c r="T745" s="109"/>
      <c r="W745" s="130" t="str">
        <f t="shared" si="21"/>
        <v>1w</v>
      </c>
      <c r="X745" s="128">
        <f>_xll.qlCalendarAdvance(Calendar,X744,W745,"f",FALSE)</f>
        <v>44460</v>
      </c>
      <c r="Y745" s="131">
        <f>_xll.qlCalendarAdvance(Calendar,X745,NDays&amp;"D")</f>
        <v>44462</v>
      </c>
      <c r="Z745" s="132">
        <v>1.3124788622077372E-2</v>
      </c>
      <c r="AA745" s="129">
        <v>1.2760617775402494E-2</v>
      </c>
    </row>
    <row r="746" spans="19:27" x14ac:dyDescent="0.2">
      <c r="S746" s="1"/>
      <c r="T746" s="109"/>
      <c r="W746" s="130" t="str">
        <f t="shared" si="21"/>
        <v>1w</v>
      </c>
      <c r="X746" s="128">
        <f>_xll.qlCalendarAdvance(Calendar,X745,W746,"f",FALSE)</f>
        <v>44467</v>
      </c>
      <c r="Y746" s="131">
        <f>_xll.qlCalendarAdvance(Calendar,X746,NDays&amp;"D")</f>
        <v>44469</v>
      </c>
      <c r="Z746" s="132">
        <v>1.3182336428172653E-2</v>
      </c>
      <c r="AA746" s="129">
        <v>1.2813918549916536E-2</v>
      </c>
    </row>
    <row r="747" spans="19:27" x14ac:dyDescent="0.2">
      <c r="S747" s="1"/>
      <c r="T747" s="109"/>
      <c r="W747" s="130" t="str">
        <f t="shared" si="21"/>
        <v>1w</v>
      </c>
      <c r="X747" s="128">
        <f>_xll.qlCalendarAdvance(Calendar,X746,W747,"f",FALSE)</f>
        <v>44474</v>
      </c>
      <c r="Y747" s="131">
        <f>_xll.qlCalendarAdvance(Calendar,X747,NDays&amp;"D")</f>
        <v>44476</v>
      </c>
      <c r="Z747" s="132">
        <v>1.3235826784402238E-2</v>
      </c>
      <c r="AA747" s="129">
        <v>1.2867220868155727E-2</v>
      </c>
    </row>
    <row r="748" spans="19:27" x14ac:dyDescent="0.2">
      <c r="S748" s="1"/>
      <c r="T748" s="109"/>
      <c r="W748" s="130" t="str">
        <f t="shared" si="21"/>
        <v>1w</v>
      </c>
      <c r="X748" s="128">
        <f>_xll.qlCalendarAdvance(Calendar,X747,W748,"f",FALSE)</f>
        <v>44481</v>
      </c>
      <c r="Y748" s="131">
        <f>_xll.qlCalendarAdvance(Calendar,X748,NDays&amp;"D")</f>
        <v>44483</v>
      </c>
      <c r="Z748" s="132">
        <v>1.3289319410245887E-2</v>
      </c>
      <c r="AA748" s="129">
        <v>1.2920524729880256E-2</v>
      </c>
    </row>
    <row r="749" spans="19:27" x14ac:dyDescent="0.2">
      <c r="S749" s="1"/>
      <c r="T749" s="109"/>
      <c r="W749" s="130" t="str">
        <f t="shared" si="21"/>
        <v>1w</v>
      </c>
      <c r="X749" s="128">
        <f>_xll.qlCalendarAdvance(Calendar,X748,W749,"f",FALSE)</f>
        <v>44488</v>
      </c>
      <c r="Y749" s="131">
        <f>_xll.qlCalendarAdvance(Calendar,X749,NDays&amp;"D")</f>
        <v>44490</v>
      </c>
      <c r="Z749" s="132">
        <v>1.3342814305775712E-2</v>
      </c>
      <c r="AA749" s="129">
        <v>1.2973830135170061E-2</v>
      </c>
    </row>
    <row r="750" spans="19:27" x14ac:dyDescent="0.2">
      <c r="S750" s="1"/>
      <c r="T750" s="109"/>
      <c r="W750" s="130" t="str">
        <f t="shared" si="21"/>
        <v>1w</v>
      </c>
      <c r="X750" s="128">
        <f>_xll.qlCalendarAdvance(Calendar,X749,W750,"f",FALSE)</f>
        <v>44495</v>
      </c>
      <c r="Y750" s="131">
        <f>_xll.qlCalendarAdvance(Calendar,X750,NDays&amp;"D")</f>
        <v>44497</v>
      </c>
      <c r="Z750" s="132">
        <v>1.3396311471067308E-2</v>
      </c>
      <c r="AA750" s="129">
        <v>1.3027137084185014E-2</v>
      </c>
    </row>
    <row r="751" spans="19:27" x14ac:dyDescent="0.2">
      <c r="S751" s="1"/>
      <c r="T751" s="109"/>
      <c r="W751" s="130" t="str">
        <f t="shared" si="21"/>
        <v>1w</v>
      </c>
      <c r="X751" s="128">
        <f>_xll.qlCalendarAdvance(Calendar,X750,W751,"f",FALSE)</f>
        <v>44502</v>
      </c>
      <c r="Y751" s="131">
        <f>_xll.qlCalendarAdvance(Calendar,X751,NDays&amp;"D")</f>
        <v>44504</v>
      </c>
      <c r="Z751" s="132">
        <v>1.3449810906191052E-2</v>
      </c>
      <c r="AA751" s="129">
        <v>1.3080445576765243E-2</v>
      </c>
    </row>
    <row r="752" spans="19:27" x14ac:dyDescent="0.2">
      <c r="S752" s="1"/>
      <c r="T752" s="109"/>
      <c r="W752" s="130" t="str">
        <f t="shared" si="21"/>
        <v>1w</v>
      </c>
      <c r="X752" s="128">
        <f>_xll.qlCalendarAdvance(Calendar,X751,W752,"f",FALSE)</f>
        <v>44509</v>
      </c>
      <c r="Y752" s="131">
        <f>_xll.qlCalendarAdvance(Calendar,X752,NDays&amp;"D")</f>
        <v>44511</v>
      </c>
      <c r="Z752" s="132">
        <v>1.3503312611219931E-2</v>
      </c>
      <c r="AA752" s="129">
        <v>1.3133755612830811E-2</v>
      </c>
    </row>
    <row r="753" spans="19:27" x14ac:dyDescent="0.2">
      <c r="S753" s="1"/>
      <c r="T753" s="109"/>
      <c r="W753" s="130" t="str">
        <f t="shared" si="21"/>
        <v>1w</v>
      </c>
      <c r="X753" s="128">
        <f>_xll.qlCalendarAdvance(Calendar,X752,W753,"f",FALSE)</f>
        <v>44516</v>
      </c>
      <c r="Y753" s="131">
        <f>_xll.qlCalendarAdvance(Calendar,X753,NDays&amp;"D")</f>
        <v>44518</v>
      </c>
      <c r="Z753" s="132">
        <v>1.3556816586228664E-2</v>
      </c>
      <c r="AA753" s="129">
        <v>1.3187067192621527E-2</v>
      </c>
    </row>
    <row r="754" spans="19:27" x14ac:dyDescent="0.2">
      <c r="S754" s="1"/>
      <c r="T754" s="109"/>
      <c r="W754" s="130" t="str">
        <f t="shared" si="21"/>
        <v>1w</v>
      </c>
      <c r="X754" s="128">
        <f>_xll.qlCalendarAdvance(Calendar,X753,W754,"f",FALSE)</f>
        <v>44523</v>
      </c>
      <c r="Y754" s="131">
        <f>_xll.qlCalendarAdvance(Calendar,X754,NDays&amp;"D")</f>
        <v>44525</v>
      </c>
      <c r="Z754" s="132">
        <v>1.3610322831288501E-2</v>
      </c>
      <c r="AA754" s="129">
        <v>1.3240380315977518E-2</v>
      </c>
    </row>
    <row r="755" spans="19:27" x14ac:dyDescent="0.2">
      <c r="S755" s="1"/>
      <c r="T755" s="109"/>
      <c r="W755" s="130" t="str">
        <f t="shared" si="21"/>
        <v>1w</v>
      </c>
      <c r="X755" s="128">
        <f>_xll.qlCalendarAdvance(Calendar,X754,W755,"f",FALSE)</f>
        <v>44530</v>
      </c>
      <c r="Y755" s="131">
        <f>_xll.qlCalendarAdvance(Calendar,X755,NDays&amp;"D")</f>
        <v>44532</v>
      </c>
      <c r="Z755" s="132">
        <v>1.3655669239789781E-2</v>
      </c>
      <c r="AA755" s="129">
        <v>1.3293694982978721E-2</v>
      </c>
    </row>
    <row r="756" spans="19:27" x14ac:dyDescent="0.2">
      <c r="S756" s="1"/>
      <c r="T756" s="109"/>
      <c r="W756" s="130" t="str">
        <f t="shared" si="21"/>
        <v>1w</v>
      </c>
      <c r="X756" s="128">
        <f>_xll.qlCalendarAdvance(Calendar,X755,W756,"f",FALSE)</f>
        <v>44537</v>
      </c>
      <c r="Y756" s="131">
        <f>_xll.qlCalendarAdvance(Calendar,X756,NDays&amp;"D")</f>
        <v>44539</v>
      </c>
      <c r="Z756" s="132">
        <v>1.3709175640427063E-2</v>
      </c>
      <c r="AA756" s="129">
        <v>1.33470111935452E-2</v>
      </c>
    </row>
    <row r="757" spans="19:27" x14ac:dyDescent="0.2">
      <c r="S757" s="1"/>
      <c r="T757" s="109"/>
      <c r="W757" s="130" t="str">
        <f t="shared" si="21"/>
        <v>1w</v>
      </c>
      <c r="X757" s="128">
        <f>_xll.qlCalendarAdvance(Calendar,X756,W757,"f",FALSE)</f>
        <v>44544</v>
      </c>
      <c r="Y757" s="131">
        <f>_xll.qlCalendarAdvance(Calendar,X757,NDays&amp;"D")</f>
        <v>44546</v>
      </c>
      <c r="Z757" s="132">
        <v>1.3762684295300254E-2</v>
      </c>
      <c r="AA757" s="129">
        <v>1.3400328947676954E-2</v>
      </c>
    </row>
    <row r="758" spans="19:27" x14ac:dyDescent="0.2">
      <c r="S758" s="1"/>
      <c r="T758" s="109"/>
      <c r="W758" s="130" t="str">
        <f t="shared" si="21"/>
        <v>1w</v>
      </c>
      <c r="X758" s="128">
        <f>_xll.qlCalendarAdvance(Calendar,X757,W758,"f",FALSE)</f>
        <v>44551</v>
      </c>
      <c r="Y758" s="131">
        <f>_xll.qlCalendarAdvance(Calendar,X758,NDays&amp;"D")</f>
        <v>44553</v>
      </c>
      <c r="Z758" s="132">
        <v>1.381619520447952E-2</v>
      </c>
      <c r="AA758" s="129">
        <v>1.345364824545392E-2</v>
      </c>
    </row>
    <row r="759" spans="19:27" x14ac:dyDescent="0.2">
      <c r="S759" s="1"/>
      <c r="T759" s="109"/>
      <c r="W759" s="130" t="str">
        <f t="shared" si="21"/>
        <v>1w</v>
      </c>
      <c r="X759" s="128">
        <f>_xll.qlCalendarAdvance(Calendar,X758,W759,"f",FALSE)</f>
        <v>44558</v>
      </c>
      <c r="Y759" s="131">
        <f>_xll.qlCalendarAdvance(Calendar,X759,NDays&amp;"D")</f>
        <v>44560</v>
      </c>
      <c r="Z759" s="132">
        <v>1.386970836803858E-2</v>
      </c>
      <c r="AA759" s="129">
        <v>1.3506969086876097E-2</v>
      </c>
    </row>
    <row r="760" spans="19:27" x14ac:dyDescent="0.2">
      <c r="S760" s="1"/>
      <c r="T760" s="109"/>
      <c r="W760" s="130" t="str">
        <f t="shared" si="21"/>
        <v>1w</v>
      </c>
      <c r="X760" s="128">
        <f>_xll.qlCalendarAdvance(Calendar,X759,W760,"f",FALSE)</f>
        <v>44565</v>
      </c>
      <c r="Y760" s="131">
        <f>_xll.qlCalendarAdvance(Calendar,X760,NDays&amp;"D")</f>
        <v>44567</v>
      </c>
      <c r="Z760" s="132">
        <v>1.3923223786046712E-2</v>
      </c>
      <c r="AA760" s="129">
        <v>1.3560291471943486E-2</v>
      </c>
    </row>
    <row r="761" spans="19:27" x14ac:dyDescent="0.2">
      <c r="S761" s="1"/>
      <c r="T761" s="109"/>
      <c r="W761" s="130" t="str">
        <f t="shared" si="21"/>
        <v>1w</v>
      </c>
      <c r="X761" s="128">
        <f>_xll.qlCalendarAdvance(Calendar,X760,W761,"f",FALSE)</f>
        <v>44572</v>
      </c>
      <c r="Y761" s="131">
        <f>_xll.qlCalendarAdvance(Calendar,X761,NDays&amp;"D")</f>
        <v>44574</v>
      </c>
      <c r="Z761" s="132">
        <v>1.3976741458574971E-2</v>
      </c>
      <c r="AA761" s="129">
        <v>1.3613615400496215E-2</v>
      </c>
    </row>
    <row r="762" spans="19:27" x14ac:dyDescent="0.2">
      <c r="S762" s="1"/>
      <c r="T762" s="109"/>
      <c r="W762" s="130" t="str">
        <f t="shared" si="21"/>
        <v>1w</v>
      </c>
      <c r="X762" s="128">
        <f>_xll.qlCalendarAdvance(Calendar,X761,W762,"f",FALSE)</f>
        <v>44579</v>
      </c>
      <c r="Y762" s="131">
        <f>_xll.qlCalendarAdvance(Calendar,X762,NDays&amp;"D")</f>
        <v>44581</v>
      </c>
      <c r="Z762" s="132">
        <v>1.4030261385694409E-2</v>
      </c>
      <c r="AA762" s="129">
        <v>1.3666940872694155E-2</v>
      </c>
    </row>
    <row r="763" spans="19:27" x14ac:dyDescent="0.2">
      <c r="S763" s="1"/>
      <c r="T763" s="109"/>
      <c r="W763" s="130" t="str">
        <f t="shared" si="21"/>
        <v>1w</v>
      </c>
      <c r="X763" s="128">
        <f>_xll.qlCalendarAdvance(Calendar,X762,W763,"f",FALSE)</f>
        <v>44586</v>
      </c>
      <c r="Y763" s="131">
        <f>_xll.qlCalendarAdvance(Calendar,X763,NDays&amp;"D")</f>
        <v>44588</v>
      </c>
      <c r="Z763" s="132">
        <v>1.4083783567476971E-2</v>
      </c>
      <c r="AA763" s="129">
        <v>1.3720267888537307E-2</v>
      </c>
    </row>
    <row r="764" spans="19:27" x14ac:dyDescent="0.2">
      <c r="S764" s="1"/>
      <c r="T764" s="109"/>
      <c r="W764" s="130" t="str">
        <f t="shared" si="21"/>
        <v>1w</v>
      </c>
      <c r="X764" s="128">
        <f>_xll.qlCalendarAdvance(Calendar,X763,W764,"f",FALSE)</f>
        <v>44593</v>
      </c>
      <c r="Y764" s="131">
        <f>_xll.qlCalendarAdvance(Calendar,X764,NDays&amp;"D")</f>
        <v>44595</v>
      </c>
      <c r="Z764" s="132">
        <v>1.4133207412386934E-2</v>
      </c>
      <c r="AA764" s="129">
        <v>1.3773596448025671E-2</v>
      </c>
    </row>
    <row r="765" spans="19:27" x14ac:dyDescent="0.2">
      <c r="S765" s="1"/>
      <c r="T765" s="109"/>
      <c r="W765" s="130" t="str">
        <f t="shared" si="21"/>
        <v>1w</v>
      </c>
      <c r="X765" s="128">
        <f>_xll.qlCalendarAdvance(Calendar,X764,W765,"f",FALSE)</f>
        <v>44600</v>
      </c>
      <c r="Y765" s="131">
        <f>_xll.qlCalendarAdvance(Calendar,X765,NDays&amp;"D")</f>
        <v>44602</v>
      </c>
      <c r="Z765" s="132">
        <v>1.4186731840991281E-2</v>
      </c>
      <c r="AA765" s="129">
        <v>1.382692655107931E-2</v>
      </c>
    </row>
    <row r="766" spans="19:27" x14ac:dyDescent="0.2">
      <c r="S766" s="1"/>
      <c r="T766" s="109"/>
      <c r="W766" s="130" t="str">
        <f t="shared" si="21"/>
        <v>1w</v>
      </c>
      <c r="X766" s="128">
        <f>_xll.qlCalendarAdvance(Calendar,X765,W766,"f",FALSE)</f>
        <v>44607</v>
      </c>
      <c r="Y766" s="131">
        <f>_xll.qlCalendarAdvance(Calendar,X766,NDays&amp;"D")</f>
        <v>44609</v>
      </c>
      <c r="Z766" s="132">
        <v>1.4240258516448218E-2</v>
      </c>
      <c r="AA766" s="129">
        <v>1.3880258197698225E-2</v>
      </c>
    </row>
    <row r="767" spans="19:27" x14ac:dyDescent="0.2">
      <c r="S767" s="1"/>
      <c r="T767" s="109"/>
      <c r="W767" s="130" t="str">
        <f t="shared" si="21"/>
        <v>1w</v>
      </c>
      <c r="X767" s="128">
        <f>_xll.qlCalendarAdvance(Calendar,X766,W767,"f",FALSE)</f>
        <v>44614</v>
      </c>
      <c r="Y767" s="131">
        <f>_xll.qlCalendarAdvance(Calendar,X767,NDays&amp;"D")</f>
        <v>44616</v>
      </c>
      <c r="Z767" s="132">
        <v>1.4293787438827804E-2</v>
      </c>
      <c r="AA767" s="129">
        <v>1.3933591388042288E-2</v>
      </c>
    </row>
    <row r="768" spans="19:27" x14ac:dyDescent="0.2">
      <c r="S768" s="1"/>
      <c r="T768" s="109"/>
      <c r="W768" s="130" t="str">
        <f t="shared" si="21"/>
        <v>1w</v>
      </c>
      <c r="X768" s="128">
        <f>_xll.qlCalendarAdvance(Calendar,X767,W768,"f",FALSE)</f>
        <v>44621</v>
      </c>
      <c r="Y768" s="131">
        <f>_xll.qlCalendarAdvance(Calendar,X768,NDays&amp;"D")</f>
        <v>44623</v>
      </c>
      <c r="Z768" s="132">
        <v>1.4359648658407203E-2</v>
      </c>
      <c r="AA768" s="129">
        <v>1.3986926121951626E-2</v>
      </c>
    </row>
    <row r="769" spans="19:27" x14ac:dyDescent="0.2">
      <c r="S769" s="1"/>
      <c r="T769" s="109"/>
      <c r="W769" s="130" t="str">
        <f t="shared" si="21"/>
        <v>1w</v>
      </c>
      <c r="X769" s="128">
        <f>_xll.qlCalendarAdvance(Calendar,X768,W769,"f",FALSE)</f>
        <v>44628</v>
      </c>
      <c r="Y769" s="131">
        <f>_xll.qlCalendarAdvance(Calendar,X769,NDays&amp;"D")</f>
        <v>44630</v>
      </c>
      <c r="Z769" s="132">
        <v>1.4413188962997019E-2</v>
      </c>
      <c r="AA769" s="129">
        <v>1.404026239942624E-2</v>
      </c>
    </row>
    <row r="770" spans="19:27" x14ac:dyDescent="0.2">
      <c r="S770" s="1"/>
      <c r="T770" s="109"/>
      <c r="W770" s="130" t="str">
        <f t="shared" si="21"/>
        <v>1w</v>
      </c>
      <c r="X770" s="128">
        <f>_xll.qlCalendarAdvance(Calendar,X769,W770,"f",FALSE)</f>
        <v>44635</v>
      </c>
      <c r="Y770" s="131">
        <f>_xll.qlCalendarAdvance(Calendar,X770,NDays&amp;"D")</f>
        <v>44637</v>
      </c>
      <c r="Z770" s="132">
        <v>1.44667315388057E-2</v>
      </c>
      <c r="AA770" s="129">
        <v>1.4093600220626001E-2</v>
      </c>
    </row>
    <row r="771" spans="19:27" x14ac:dyDescent="0.2">
      <c r="S771" s="1"/>
      <c r="T771" s="109"/>
      <c r="W771" s="130" t="str">
        <f t="shared" si="21"/>
        <v>1w</v>
      </c>
      <c r="X771" s="128">
        <f>_xll.qlCalendarAdvance(Calendar,X770,W771,"f",FALSE)</f>
        <v>44642</v>
      </c>
      <c r="Y771" s="131">
        <f>_xll.qlCalendarAdvance(Calendar,X771,NDays&amp;"D")</f>
        <v>44644</v>
      </c>
      <c r="Z771" s="132">
        <v>1.4520276385905364E-2</v>
      </c>
      <c r="AA771" s="129">
        <v>1.4146939585311102E-2</v>
      </c>
    </row>
    <row r="772" spans="19:27" x14ac:dyDescent="0.2">
      <c r="S772" s="1"/>
      <c r="T772" s="109"/>
      <c r="W772" s="130" t="str">
        <f t="shared" si="21"/>
        <v>1w</v>
      </c>
      <c r="X772" s="128">
        <f>_xll.qlCalendarAdvance(Calendar,X771,W772,"f",FALSE)</f>
        <v>44649</v>
      </c>
      <c r="Y772" s="131">
        <f>_xll.qlCalendarAdvance(Calendar,X772,NDays&amp;"D")</f>
        <v>44651</v>
      </c>
      <c r="Z772" s="132">
        <v>1.4569703924164602E-2</v>
      </c>
      <c r="AA772" s="129">
        <v>1.4200280493641415E-2</v>
      </c>
    </row>
    <row r="773" spans="19:27" x14ac:dyDescent="0.2">
      <c r="S773" s="1"/>
      <c r="T773" s="109"/>
      <c r="W773" s="130" t="str">
        <f t="shared" si="21"/>
        <v>1w</v>
      </c>
      <c r="X773" s="128">
        <f>_xll.qlCalendarAdvance(Calendar,X772,W773,"f",FALSE)</f>
        <v>44656</v>
      </c>
      <c r="Y773" s="131">
        <f>_xll.qlCalendarAdvance(Calendar,X773,NDays&amp;"D")</f>
        <v>44658</v>
      </c>
      <c r="Z773" s="132">
        <v>1.46232509846619E-2</v>
      </c>
      <c r="AA773" s="129">
        <v>1.4253622945616939E-2</v>
      </c>
    </row>
    <row r="774" spans="19:27" x14ac:dyDescent="0.2">
      <c r="S774" s="1"/>
      <c r="T774" s="109"/>
      <c r="W774" s="130" t="str">
        <f t="shared" si="21"/>
        <v>1w</v>
      </c>
      <c r="X774" s="128">
        <f>_xll.qlCalendarAdvance(Calendar,X773,W774,"f",FALSE)</f>
        <v>44663</v>
      </c>
      <c r="Y774" s="131">
        <f>_xll.qlCalendarAdvance(Calendar,X774,NDays&amp;"D")</f>
        <v>44665</v>
      </c>
      <c r="Z774" s="132">
        <v>1.4676800308636516E-2</v>
      </c>
      <c r="AA774" s="129">
        <v>1.4323348029995131E-2</v>
      </c>
    </row>
    <row r="775" spans="19:27" x14ac:dyDescent="0.2">
      <c r="S775" s="1"/>
      <c r="T775" s="109"/>
      <c r="W775" s="130" t="str">
        <f t="shared" si="21"/>
        <v>1w</v>
      </c>
      <c r="X775" s="128">
        <f>_xll.qlCalendarAdvance(Calendar,X774,W775,"f",FALSE)</f>
        <v>44670</v>
      </c>
      <c r="Y775" s="131">
        <f>_xll.qlCalendarAdvance(Calendar,X775,NDays&amp;"D")</f>
        <v>44672</v>
      </c>
      <c r="Z775" s="132">
        <v>1.4730351896162237E-2</v>
      </c>
      <c r="AA775" s="129">
        <v>1.4360312480503623E-2</v>
      </c>
    </row>
    <row r="776" spans="19:27" x14ac:dyDescent="0.2">
      <c r="S776" s="1"/>
      <c r="T776" s="109"/>
      <c r="W776" s="130" t="str">
        <f t="shared" si="21"/>
        <v>1w</v>
      </c>
      <c r="X776" s="128">
        <f>_xll.qlCalendarAdvance(Calendar,X775,W776,"f",FALSE)</f>
        <v>44677</v>
      </c>
      <c r="Y776" s="131">
        <f>_xll.qlCalendarAdvance(Calendar,X776,NDays&amp;"D")</f>
        <v>44679</v>
      </c>
      <c r="Z776" s="132">
        <v>1.4783905747310214E-2</v>
      </c>
      <c r="AA776" s="129">
        <v>1.4413659563334846E-2</v>
      </c>
    </row>
    <row r="777" spans="19:27" x14ac:dyDescent="0.2">
      <c r="S777" s="1"/>
      <c r="T777" s="109"/>
      <c r="W777" s="130" t="str">
        <f t="shared" si="21"/>
        <v>1w</v>
      </c>
      <c r="X777" s="128">
        <f>_xll.qlCalendarAdvance(Calendar,X776,W777,"f",FALSE)</f>
        <v>44684</v>
      </c>
      <c r="Y777" s="131">
        <f>_xll.qlCalendarAdvance(Calendar,X777,NDays&amp;"D")</f>
        <v>44686</v>
      </c>
      <c r="Z777" s="132">
        <v>1.4841593169729788E-2</v>
      </c>
      <c r="AA777" s="129">
        <v>1.4467008189731345E-2</v>
      </c>
    </row>
    <row r="778" spans="19:27" x14ac:dyDescent="0.2">
      <c r="S778" s="1"/>
      <c r="T778" s="109"/>
      <c r="W778" s="130" t="str">
        <f t="shared" si="21"/>
        <v>1w</v>
      </c>
      <c r="X778" s="128">
        <f>_xll.qlCalendarAdvance(Calendar,X777,W778,"f",FALSE)</f>
        <v>44691</v>
      </c>
      <c r="Y778" s="131">
        <f>_xll.qlCalendarAdvance(Calendar,X778,NDays&amp;"D")</f>
        <v>44693</v>
      </c>
      <c r="Z778" s="132">
        <v>1.4895153917918591E-2</v>
      </c>
      <c r="AA778" s="129">
        <v>1.4520358359852992E-2</v>
      </c>
    </row>
    <row r="779" spans="19:27" x14ac:dyDescent="0.2">
      <c r="S779" s="1"/>
      <c r="T779" s="109"/>
      <c r="W779" s="130" t="str">
        <f t="shared" si="21"/>
        <v>1w</v>
      </c>
      <c r="X779" s="128">
        <f>_xll.qlCalendarAdvance(Calendar,X778,W779,"f",FALSE)</f>
        <v>44698</v>
      </c>
      <c r="Y779" s="131">
        <f>_xll.qlCalendarAdvance(Calendar,X779,NDays&amp;"D")</f>
        <v>44700</v>
      </c>
      <c r="Z779" s="132">
        <v>1.4948716937982259E-2</v>
      </c>
      <c r="AA779" s="129">
        <v>1.4573710073539914E-2</v>
      </c>
    </row>
    <row r="780" spans="19:27" x14ac:dyDescent="0.2">
      <c r="S780" s="1"/>
      <c r="T780" s="109"/>
      <c r="W780" s="130" t="str">
        <f t="shared" si="21"/>
        <v>1w</v>
      </c>
      <c r="X780" s="128">
        <f>_xll.qlCalendarAdvance(Calendar,X779,W780,"f",FALSE)</f>
        <v>44705</v>
      </c>
      <c r="Y780" s="131">
        <f>_xll.qlCalendarAdvance(Calendar,X780,NDays&amp;"D")</f>
        <v>44707</v>
      </c>
      <c r="Z780" s="132">
        <v>1.5002282229997247E-2</v>
      </c>
      <c r="AA780" s="129">
        <v>1.4627063330872048E-2</v>
      </c>
    </row>
    <row r="781" spans="19:27" x14ac:dyDescent="0.2">
      <c r="S781" s="1"/>
      <c r="T781" s="109"/>
      <c r="W781" s="130" t="str">
        <f t="shared" si="21"/>
        <v>1w</v>
      </c>
      <c r="X781" s="128">
        <f>_xll.qlCalendarAdvance(Calendar,X780,W781,"f",FALSE)</f>
        <v>44712</v>
      </c>
      <c r="Y781" s="131">
        <f>_xll.qlCalendarAdvance(Calendar,X781,NDays&amp;"D")</f>
        <v>44714</v>
      </c>
      <c r="Z781" s="132">
        <v>1.5055849794032199E-2</v>
      </c>
      <c r="AA781" s="129">
        <v>1.4680418131769457E-2</v>
      </c>
    </row>
    <row r="782" spans="19:27" x14ac:dyDescent="0.2">
      <c r="S782" s="1"/>
      <c r="T782" s="109"/>
      <c r="W782" s="130" t="str">
        <f t="shared" si="21"/>
        <v>1w</v>
      </c>
      <c r="X782" s="128">
        <f>_xll.qlCalendarAdvance(Calendar,X781,W782,"f",FALSE)</f>
        <v>44719</v>
      </c>
      <c r="Y782" s="131">
        <f>_xll.qlCalendarAdvance(Calendar,X782,NDays&amp;"D")</f>
        <v>44721</v>
      </c>
      <c r="Z782" s="132">
        <v>1.5109419630163575E-2</v>
      </c>
      <c r="AA782" s="129">
        <v>1.4733774476392014E-2</v>
      </c>
    </row>
    <row r="783" spans="19:27" x14ac:dyDescent="0.2">
      <c r="S783" s="1"/>
      <c r="T783" s="109"/>
      <c r="W783" s="130" t="str">
        <f t="shared" si="21"/>
        <v>1w</v>
      </c>
      <c r="X783" s="128">
        <f>_xll.qlCalendarAdvance(Calendar,X782,W783,"f",FALSE)</f>
        <v>44726</v>
      </c>
      <c r="Y783" s="131">
        <f>_xll.qlCalendarAdvance(Calendar,X783,NDays&amp;"D")</f>
        <v>44728</v>
      </c>
      <c r="Z783" s="132">
        <v>1.5162991081372588E-2</v>
      </c>
      <c r="AA783" s="129">
        <v>1.4787132364579847E-2</v>
      </c>
    </row>
    <row r="784" spans="19:27" x14ac:dyDescent="0.2">
      <c r="S784" s="1"/>
      <c r="T784" s="109"/>
      <c r="W784" s="130" t="str">
        <f t="shared" si="21"/>
        <v>1w</v>
      </c>
      <c r="X784" s="128">
        <f>_xll.qlCalendarAdvance(Calendar,X783,W784,"f",FALSE)</f>
        <v>44733</v>
      </c>
      <c r="Y784" s="131">
        <f>_xll.qlCalendarAdvance(Calendar,X784,NDays&amp;"D")</f>
        <v>44735</v>
      </c>
      <c r="Z784" s="132">
        <v>1.5216552453378043E-2</v>
      </c>
      <c r="AA784" s="129">
        <v>1.4840491796412891E-2</v>
      </c>
    </row>
    <row r="785" spans="19:27" x14ac:dyDescent="0.2">
      <c r="S785" s="1"/>
      <c r="T785" s="109"/>
      <c r="W785" s="130" t="str">
        <f t="shared" si="21"/>
        <v>1w</v>
      </c>
      <c r="X785" s="128">
        <f>_xll.qlCalendarAdvance(Calendar,X784,W785,"f",FALSE)</f>
        <v>44740</v>
      </c>
      <c r="Y785" s="131">
        <f>_xll.qlCalendarAdvance(Calendar,X785,NDays&amp;"D")</f>
        <v>44742</v>
      </c>
      <c r="Z785" s="132">
        <v>1.5270082892807867E-2</v>
      </c>
      <c r="AA785" s="129">
        <v>1.4893852771811211E-2</v>
      </c>
    </row>
    <row r="786" spans="19:27" x14ac:dyDescent="0.2">
      <c r="S786" s="1"/>
      <c r="T786" s="109"/>
      <c r="W786" s="130" t="str">
        <f t="shared" si="21"/>
        <v>1w</v>
      </c>
      <c r="X786" s="128">
        <f>_xll.qlCalendarAdvance(Calendar,X785,W786,"f",FALSE)</f>
        <v>44747</v>
      </c>
      <c r="Y786" s="131">
        <f>_xll.qlCalendarAdvance(Calendar,X786,NDays&amp;"D")</f>
        <v>44749</v>
      </c>
      <c r="Z786" s="132">
        <v>1.5323561267930911E-2</v>
      </c>
      <c r="AA786" s="129">
        <v>1.4947215290854743E-2</v>
      </c>
    </row>
    <row r="787" spans="19:27" x14ac:dyDescent="0.2">
      <c r="S787" s="1"/>
      <c r="T787" s="109"/>
      <c r="W787" s="130" t="str">
        <f t="shared" si="21"/>
        <v>1w</v>
      </c>
      <c r="X787" s="128">
        <f>_xll.qlCalendarAdvance(Calendar,X786,W787,"f",FALSE)</f>
        <v>44754</v>
      </c>
      <c r="Y787" s="131">
        <f>_xll.qlCalendarAdvance(Calendar,X787,NDays&amp;"D")</f>
        <v>44756</v>
      </c>
      <c r="Z787" s="132">
        <v>1.5376966445868251E-2</v>
      </c>
      <c r="AA787" s="129">
        <v>1.5000579353623422E-2</v>
      </c>
    </row>
    <row r="788" spans="19:27" x14ac:dyDescent="0.2">
      <c r="S788" s="1"/>
      <c r="T788" s="109"/>
      <c r="W788" s="130" t="str">
        <f t="shared" si="21"/>
        <v>1w</v>
      </c>
      <c r="X788" s="128">
        <f>_xll.qlCalendarAdvance(Calendar,X787,W788,"f",FALSE)</f>
        <v>44761</v>
      </c>
      <c r="Y788" s="131">
        <f>_xll.qlCalendarAdvance(Calendar,X788,NDays&amp;"D")</f>
        <v>44763</v>
      </c>
      <c r="Z788" s="132">
        <v>1.5430277292591447E-2</v>
      </c>
      <c r="AA788" s="129">
        <v>1.5053944959957377E-2</v>
      </c>
    </row>
    <row r="789" spans="19:27" x14ac:dyDescent="0.2">
      <c r="S789" s="1"/>
      <c r="T789" s="109"/>
      <c r="W789" s="130" t="str">
        <f t="shared" ref="W789:W852" si="22">W788</f>
        <v>1w</v>
      </c>
      <c r="X789" s="128">
        <f>_xll.qlCalendarAdvance(Calendar,X788,W789,"f",FALSE)</f>
        <v>44768</v>
      </c>
      <c r="Y789" s="131">
        <f>_xll.qlCalendarAdvance(Calendar,X789,NDays&amp;"D")</f>
        <v>44770</v>
      </c>
      <c r="Z789" s="132">
        <v>1.5483472672938182E-2</v>
      </c>
      <c r="AA789" s="129">
        <v>1.5107312109856608E-2</v>
      </c>
    </row>
    <row r="790" spans="19:27" x14ac:dyDescent="0.2">
      <c r="S790" s="1"/>
      <c r="T790" s="109"/>
      <c r="W790" s="130" t="str">
        <f t="shared" si="22"/>
        <v>1w</v>
      </c>
      <c r="X790" s="128">
        <f>_xll.qlCalendarAdvance(Calendar,X789,W790,"f",FALSE)</f>
        <v>44775</v>
      </c>
      <c r="Y790" s="131">
        <f>_xll.qlCalendarAdvance(Calendar,X790,NDays&amp;"D")</f>
        <v>44777</v>
      </c>
      <c r="Z790" s="132">
        <v>1.5536531450603578E-2</v>
      </c>
      <c r="AA790" s="129">
        <v>1.5160680803480986E-2</v>
      </c>
    </row>
    <row r="791" spans="19:27" x14ac:dyDescent="0.2">
      <c r="S791" s="1"/>
      <c r="T791" s="109"/>
      <c r="W791" s="130" t="str">
        <f t="shared" si="22"/>
        <v>1w</v>
      </c>
      <c r="X791" s="128">
        <f>_xll.qlCalendarAdvance(Calendar,X790,W791,"f",FALSE)</f>
        <v>44782</v>
      </c>
      <c r="Y791" s="131">
        <f>_xll.qlCalendarAdvance(Calendar,X791,NDays&amp;"D")</f>
        <v>44784</v>
      </c>
      <c r="Z791" s="132">
        <v>1.5589432488157567E-2</v>
      </c>
      <c r="AA791" s="129">
        <v>1.5214051040750576E-2</v>
      </c>
    </row>
    <row r="792" spans="19:27" x14ac:dyDescent="0.2">
      <c r="S792" s="1"/>
      <c r="T792" s="109"/>
      <c r="W792" s="130" t="str">
        <f t="shared" si="22"/>
        <v>1w</v>
      </c>
      <c r="X792" s="128">
        <f>_xll.qlCalendarAdvance(Calendar,X791,W792,"f",FALSE)</f>
        <v>44789</v>
      </c>
      <c r="Y792" s="131">
        <f>_xll.qlCalendarAdvance(Calendar,X792,NDays&amp;"D")</f>
        <v>44791</v>
      </c>
      <c r="Z792" s="132">
        <v>1.5642154647048368E-2</v>
      </c>
      <c r="AA792" s="129">
        <v>1.5267422821505505E-2</v>
      </c>
    </row>
    <row r="793" spans="19:27" x14ac:dyDescent="0.2">
      <c r="S793" s="1"/>
      <c r="T793" s="109"/>
      <c r="W793" s="130" t="str">
        <f t="shared" si="22"/>
        <v>1w</v>
      </c>
      <c r="X793" s="128">
        <f>_xll.qlCalendarAdvance(Calendar,X792,W793,"f",FALSE)</f>
        <v>44796</v>
      </c>
      <c r="Y793" s="131">
        <f>_xll.qlCalendarAdvance(Calendar,X793,NDays&amp;"D")</f>
        <v>44798</v>
      </c>
      <c r="Z793" s="132">
        <v>1.5694676787611182E-2</v>
      </c>
      <c r="AA793" s="129">
        <v>1.5320796145985582E-2</v>
      </c>
    </row>
    <row r="794" spans="19:27" x14ac:dyDescent="0.2">
      <c r="S794" s="1"/>
      <c r="T794" s="109"/>
      <c r="W794" s="130" t="str">
        <f t="shared" si="22"/>
        <v>1w</v>
      </c>
      <c r="X794" s="128">
        <f>_xll.qlCalendarAdvance(Calendar,X793,W794,"f",FALSE)</f>
        <v>44803</v>
      </c>
      <c r="Y794" s="131">
        <f>_xll.qlCalendarAdvance(Calendar,X794,NDays&amp;"D")</f>
        <v>44805</v>
      </c>
      <c r="Z794" s="132">
        <v>1.5742947178617451E-2</v>
      </c>
      <c r="AA794" s="129">
        <v>1.5374171014110871E-2</v>
      </c>
    </row>
    <row r="795" spans="19:27" x14ac:dyDescent="0.2">
      <c r="S795" s="1"/>
      <c r="T795" s="109"/>
      <c r="W795" s="130" t="str">
        <f t="shared" si="22"/>
        <v>1w</v>
      </c>
      <c r="X795" s="128">
        <f>_xll.qlCalendarAdvance(Calendar,X794,W795,"f",FALSE)</f>
        <v>44810</v>
      </c>
      <c r="Y795" s="131">
        <f>_xll.qlCalendarAdvance(Calendar,X795,NDays&amp;"D")</f>
        <v>44812</v>
      </c>
      <c r="Z795" s="132">
        <v>1.5795023119731074E-2</v>
      </c>
      <c r="AA795" s="129">
        <v>1.5427547425881372E-2</v>
      </c>
    </row>
    <row r="796" spans="19:27" x14ac:dyDescent="0.2">
      <c r="S796" s="1"/>
      <c r="T796" s="109"/>
      <c r="W796" s="130" t="str">
        <f t="shared" si="22"/>
        <v>1w</v>
      </c>
      <c r="X796" s="128">
        <f>_xll.qlCalendarAdvance(Calendar,X795,W796,"f",FALSE)</f>
        <v>44817</v>
      </c>
      <c r="Y796" s="131">
        <f>_xll.qlCalendarAdvance(Calendar,X796,NDays&amp;"D")</f>
        <v>44819</v>
      </c>
      <c r="Z796" s="132">
        <v>1.5846836034790136E-2</v>
      </c>
      <c r="AA796" s="129">
        <v>1.5480890565626737E-2</v>
      </c>
    </row>
    <row r="797" spans="19:27" x14ac:dyDescent="0.2">
      <c r="S797" s="1"/>
      <c r="T797" s="109"/>
      <c r="W797" s="130" t="str">
        <f t="shared" si="22"/>
        <v>1w</v>
      </c>
      <c r="X797" s="128">
        <f>_xll.qlCalendarAdvance(Calendar,X796,W797,"f",FALSE)</f>
        <v>44824</v>
      </c>
      <c r="Y797" s="131">
        <f>_xll.qlCalendarAdvance(Calendar,X797,NDays&amp;"D")</f>
        <v>44826</v>
      </c>
      <c r="Z797" s="132">
        <v>1.5898374089118098E-2</v>
      </c>
      <c r="AA797" s="129">
        <v>1.553399342157924E-2</v>
      </c>
    </row>
    <row r="798" spans="19:27" x14ac:dyDescent="0.2">
      <c r="S798" s="1"/>
      <c r="T798" s="109"/>
      <c r="W798" s="130" t="str">
        <f t="shared" si="22"/>
        <v>1w</v>
      </c>
      <c r="X798" s="128">
        <f>_xll.qlCalendarAdvance(Calendar,X797,W798,"f",FALSE)</f>
        <v>44831</v>
      </c>
      <c r="Y798" s="131">
        <f>_xll.qlCalendarAdvance(Calendar,X798,NDays&amp;"D")</f>
        <v>44833</v>
      </c>
      <c r="Z798" s="132">
        <v>1.5949636607581166E-2</v>
      </c>
      <c r="AA798" s="129">
        <v>1.5586821177908661E-2</v>
      </c>
    </row>
    <row r="799" spans="19:27" x14ac:dyDescent="0.2">
      <c r="S799" s="1"/>
      <c r="T799" s="109"/>
      <c r="W799" s="130" t="str">
        <f t="shared" si="22"/>
        <v>1w</v>
      </c>
      <c r="X799" s="128">
        <f>_xll.qlCalendarAdvance(Calendar,X798,W799,"f",FALSE)</f>
        <v>44838</v>
      </c>
      <c r="Y799" s="131">
        <f>_xll.qlCalendarAdvance(Calendar,X799,NDays&amp;"D")</f>
        <v>44840</v>
      </c>
      <c r="Z799" s="132">
        <v>1.6004567249779802E-2</v>
      </c>
      <c r="AA799" s="129">
        <v>1.5639373834455128E-2</v>
      </c>
    </row>
    <row r="800" spans="19:27" x14ac:dyDescent="0.2">
      <c r="S800" s="1"/>
      <c r="T800" s="109"/>
      <c r="W800" s="130" t="str">
        <f t="shared" si="22"/>
        <v>1w</v>
      </c>
      <c r="X800" s="128">
        <f>_xll.qlCalendarAdvance(Calendar,X799,W800,"f",FALSE)</f>
        <v>44845</v>
      </c>
      <c r="Y800" s="131">
        <f>_xll.qlCalendarAdvance(Calendar,X800,NDays&amp;"D")</f>
        <v>44847</v>
      </c>
      <c r="Z800" s="132">
        <v>1.6055261233523643E-2</v>
      </c>
      <c r="AA800" s="129">
        <v>1.569165139145845E-2</v>
      </c>
    </row>
    <row r="801" spans="19:27" x14ac:dyDescent="0.2">
      <c r="S801" s="1"/>
      <c r="T801" s="109"/>
      <c r="W801" s="130" t="str">
        <f t="shared" si="22"/>
        <v>1w</v>
      </c>
      <c r="X801" s="128">
        <f>_xll.qlCalendarAdvance(Calendar,X800,W801,"f",FALSE)</f>
        <v>44852</v>
      </c>
      <c r="Y801" s="131">
        <f>_xll.qlCalendarAdvance(Calendar,X801,NDays&amp;"D")</f>
        <v>44854</v>
      </c>
      <c r="Z801" s="132">
        <v>1.6105679643573186E-2</v>
      </c>
      <c r="AA801" s="129">
        <v>1.5743653848279138E-2</v>
      </c>
    </row>
    <row r="802" spans="19:27" x14ac:dyDescent="0.2">
      <c r="S802" s="1"/>
      <c r="T802" s="109"/>
      <c r="W802" s="130" t="str">
        <f t="shared" si="22"/>
        <v>1w</v>
      </c>
      <c r="X802" s="128">
        <f>_xll.qlCalendarAdvance(Calendar,X801,W802,"f",FALSE)</f>
        <v>44859</v>
      </c>
      <c r="Y802" s="131">
        <f>_xll.qlCalendarAdvance(Calendar,X802,NDays&amp;"D")</f>
        <v>44861</v>
      </c>
      <c r="Z802" s="132">
        <v>1.6155822469306493E-2</v>
      </c>
      <c r="AA802" s="129">
        <v>1.5795381205236936E-2</v>
      </c>
    </row>
    <row r="803" spans="19:27" x14ac:dyDescent="0.2">
      <c r="S803" s="1"/>
      <c r="T803" s="109"/>
      <c r="W803" s="130" t="str">
        <f t="shared" si="22"/>
        <v>1w</v>
      </c>
      <c r="X803" s="128">
        <f>_xll.qlCalendarAdvance(Calendar,X802,W803,"f",FALSE)</f>
        <v>44866</v>
      </c>
      <c r="Y803" s="131">
        <f>_xll.qlCalendarAdvance(Calendar,X803,NDays&amp;"D")</f>
        <v>44868</v>
      </c>
      <c r="Z803" s="132">
        <v>1.6205689700152889E-2</v>
      </c>
      <c r="AA803" s="129">
        <v>1.5846833461852228E-2</v>
      </c>
    </row>
    <row r="804" spans="19:27" x14ac:dyDescent="0.2">
      <c r="S804" s="1"/>
      <c r="T804" s="109"/>
      <c r="W804" s="130" t="str">
        <f t="shared" si="22"/>
        <v>1w</v>
      </c>
      <c r="X804" s="128">
        <f>_xll.qlCalendarAdvance(Calendar,X803,W804,"f",FALSE)</f>
        <v>44873</v>
      </c>
      <c r="Y804" s="131">
        <f>_xll.qlCalendarAdvance(Calendar,X804,NDays&amp;"D")</f>
        <v>44875</v>
      </c>
      <c r="Z804" s="132">
        <v>1.6255281325605126E-2</v>
      </c>
      <c r="AA804" s="129">
        <v>1.5898010618364822E-2</v>
      </c>
    </row>
    <row r="805" spans="19:27" x14ac:dyDescent="0.2">
      <c r="S805" s="1"/>
      <c r="T805" s="109"/>
      <c r="W805" s="130" t="str">
        <f t="shared" si="22"/>
        <v>1w</v>
      </c>
      <c r="X805" s="128">
        <f>_xll.qlCalendarAdvance(Calendar,X804,W805,"f",FALSE)</f>
        <v>44880</v>
      </c>
      <c r="Y805" s="131">
        <f>_xll.qlCalendarAdvance(Calendar,X805,NDays&amp;"D")</f>
        <v>44882</v>
      </c>
      <c r="Z805" s="132">
        <v>1.6304597335211564E-2</v>
      </c>
      <c r="AA805" s="129">
        <v>1.5948912674375038E-2</v>
      </c>
    </row>
    <row r="806" spans="19:27" x14ac:dyDescent="0.2">
      <c r="S806" s="1"/>
      <c r="T806" s="109"/>
      <c r="W806" s="130" t="str">
        <f t="shared" si="22"/>
        <v>1w</v>
      </c>
      <c r="X806" s="128">
        <f>_xll.qlCalendarAdvance(Calendar,X805,W806,"f",FALSE)</f>
        <v>44887</v>
      </c>
      <c r="Y806" s="131">
        <f>_xll.qlCalendarAdvance(Calendar,X806,NDays&amp;"D")</f>
        <v>44889</v>
      </c>
      <c r="Z806" s="132">
        <v>1.6353637718578781E-2</v>
      </c>
      <c r="AA806" s="129">
        <v>1.5999539629882875E-2</v>
      </c>
    </row>
    <row r="807" spans="19:27" x14ac:dyDescent="0.2">
      <c r="S807" s="1"/>
      <c r="T807" s="109"/>
      <c r="W807" s="130" t="str">
        <f t="shared" si="22"/>
        <v>1w</v>
      </c>
      <c r="X807" s="128">
        <f>_xll.qlCalendarAdvance(Calendar,X806,W807,"f",FALSE)</f>
        <v>44894</v>
      </c>
      <c r="Y807" s="131">
        <f>_xll.qlCalendarAdvance(Calendar,X807,NDays&amp;"D")</f>
        <v>44896</v>
      </c>
      <c r="Z807" s="132">
        <v>1.6394792813085424E-2</v>
      </c>
      <c r="AA807" s="129">
        <v>1.6049891484728462E-2</v>
      </c>
    </row>
    <row r="808" spans="19:27" x14ac:dyDescent="0.2">
      <c r="S808" s="1"/>
      <c r="T808" s="109"/>
      <c r="W808" s="130" t="str">
        <f t="shared" si="22"/>
        <v>1w</v>
      </c>
      <c r="X808" s="128">
        <f>_xll.qlCalendarAdvance(Calendar,X807,W808,"f",FALSE)</f>
        <v>44901</v>
      </c>
      <c r="Y808" s="131">
        <f>_xll.qlCalendarAdvance(Calendar,X808,NDays&amp;"D")</f>
        <v>44903</v>
      </c>
      <c r="Z808" s="132">
        <v>1.6443316875470515E-2</v>
      </c>
      <c r="AA808" s="129">
        <v>1.6099968238831863E-2</v>
      </c>
    </row>
    <row r="809" spans="19:27" x14ac:dyDescent="0.2">
      <c r="S809" s="1"/>
      <c r="T809" s="109"/>
      <c r="W809" s="130" t="str">
        <f t="shared" si="22"/>
        <v>1w</v>
      </c>
      <c r="X809" s="128">
        <f>_xll.qlCalendarAdvance(Calendar,X808,W809,"f",FALSE)</f>
        <v>44908</v>
      </c>
      <c r="Y809" s="131">
        <f>_xll.qlCalendarAdvance(Calendar,X809,NDays&amp;"D")</f>
        <v>44910</v>
      </c>
      <c r="Z809" s="132">
        <v>1.6491565294410648E-2</v>
      </c>
      <c r="AA809" s="129">
        <v>1.6149769892113142E-2</v>
      </c>
    </row>
    <row r="810" spans="19:27" x14ac:dyDescent="0.2">
      <c r="S810" s="1"/>
      <c r="T810" s="109"/>
      <c r="W810" s="130" t="str">
        <f t="shared" si="22"/>
        <v>1w</v>
      </c>
      <c r="X810" s="128">
        <f>_xll.qlCalendarAdvance(Calendar,X809,W810,"f",FALSE)</f>
        <v>44915</v>
      </c>
      <c r="Y810" s="131">
        <f>_xll.qlCalendarAdvance(Calendar,X810,NDays&amp;"D")</f>
        <v>44917</v>
      </c>
      <c r="Z810" s="132">
        <v>1.6539538059956449E-2</v>
      </c>
      <c r="AA810" s="129">
        <v>1.6199296444332489E-2</v>
      </c>
    </row>
    <row r="811" spans="19:27" x14ac:dyDescent="0.2">
      <c r="S811" s="1"/>
      <c r="T811" s="109"/>
      <c r="W811" s="130" t="str">
        <f t="shared" si="22"/>
        <v>1w</v>
      </c>
      <c r="X811" s="128">
        <f>_xll.qlCalendarAdvance(Calendar,X810,W811,"f",FALSE)</f>
        <v>44922</v>
      </c>
      <c r="Y811" s="131">
        <f>_xll.qlCalendarAdvance(Calendar,X811,NDays&amp;"D")</f>
        <v>44924</v>
      </c>
      <c r="Z811" s="132">
        <v>1.6587235162218938E-2</v>
      </c>
      <c r="AA811" s="129">
        <v>1.6248547895489907E-2</v>
      </c>
    </row>
    <row r="812" spans="19:27" x14ac:dyDescent="0.2">
      <c r="S812" s="1"/>
      <c r="T812" s="109"/>
      <c r="W812" s="130" t="str">
        <f t="shared" si="22"/>
        <v>1w</v>
      </c>
      <c r="X812" s="128">
        <f>_xll.qlCalendarAdvance(Calendar,X811,W812,"f",FALSE)</f>
        <v>44929</v>
      </c>
      <c r="Y812" s="131">
        <f>_xll.qlCalendarAdvance(Calendar,X812,NDays&amp;"D")</f>
        <v>44931</v>
      </c>
      <c r="Z812" s="132">
        <v>1.6634656591362429E-2</v>
      </c>
      <c r="AA812" s="129">
        <v>1.6297524245425521E-2</v>
      </c>
    </row>
    <row r="813" spans="19:27" x14ac:dyDescent="0.2">
      <c r="S813" s="1"/>
      <c r="T813" s="109"/>
      <c r="W813" s="130" t="str">
        <f t="shared" si="22"/>
        <v>1w</v>
      </c>
      <c r="X813" s="128">
        <f>_xll.qlCalendarAdvance(Calendar,X812,W813,"f",FALSE)</f>
        <v>44936</v>
      </c>
      <c r="Y813" s="131">
        <f>_xll.qlCalendarAdvance(Calendar,X813,NDays&amp;"D")</f>
        <v>44938</v>
      </c>
      <c r="Z813" s="132">
        <v>1.6681802337609852E-2</v>
      </c>
      <c r="AA813" s="129">
        <v>1.6346225494139333E-2</v>
      </c>
    </row>
    <row r="814" spans="19:27" x14ac:dyDescent="0.2">
      <c r="S814" s="1"/>
      <c r="T814" s="109"/>
      <c r="W814" s="130" t="str">
        <f t="shared" si="22"/>
        <v>1w</v>
      </c>
      <c r="X814" s="128">
        <f>_xll.qlCalendarAdvance(Calendar,X813,W814,"f",FALSE)</f>
        <v>44943</v>
      </c>
      <c r="Y814" s="131">
        <f>_xll.qlCalendarAdvance(Calendar,X814,NDays&amp;"D")</f>
        <v>44945</v>
      </c>
      <c r="Z814" s="132">
        <v>1.6728672391240096E-2</v>
      </c>
      <c r="AA814" s="129">
        <v>1.6394651641311597E-2</v>
      </c>
    </row>
    <row r="815" spans="19:27" x14ac:dyDescent="0.2">
      <c r="S815" s="1"/>
      <c r="T815" s="109"/>
      <c r="W815" s="130" t="str">
        <f t="shared" si="22"/>
        <v>1w</v>
      </c>
      <c r="X815" s="128">
        <f>_xll.qlCalendarAdvance(Calendar,X814,W815,"f",FALSE)</f>
        <v>44950</v>
      </c>
      <c r="Y815" s="131">
        <f>_xll.qlCalendarAdvance(Calendar,X815,NDays&amp;"D")</f>
        <v>44952</v>
      </c>
      <c r="Z815" s="132">
        <v>1.6775266742589778E-2</v>
      </c>
      <c r="AA815" s="129">
        <v>1.6442802687022251E-2</v>
      </c>
    </row>
    <row r="816" spans="19:27" x14ac:dyDescent="0.2">
      <c r="S816" s="1"/>
      <c r="T816" s="109"/>
      <c r="W816" s="130" t="str">
        <f t="shared" si="22"/>
        <v>1w</v>
      </c>
      <c r="X816" s="128">
        <f>_xll.qlCalendarAdvance(Calendar,X815,W816,"f",FALSE)</f>
        <v>44957</v>
      </c>
      <c r="Y816" s="131">
        <f>_xll.qlCalendarAdvance(Calendar,X816,NDays&amp;"D")</f>
        <v>44959</v>
      </c>
      <c r="Z816" s="132">
        <v>1.6817935799863324E-2</v>
      </c>
      <c r="AA816" s="129">
        <v>1.6490678631031486E-2</v>
      </c>
    </row>
    <row r="817" spans="19:27" x14ac:dyDescent="0.2">
      <c r="S817" s="1"/>
      <c r="T817" s="109"/>
      <c r="W817" s="130" t="str">
        <f t="shared" si="22"/>
        <v>1w</v>
      </c>
      <c r="X817" s="128">
        <f>_xll.qlCalendarAdvance(Calendar,X816,W817,"f",FALSE)</f>
        <v>44964</v>
      </c>
      <c r="Y817" s="131">
        <f>_xll.qlCalendarAdvance(Calendar,X817,NDays&amp;"D")</f>
        <v>44966</v>
      </c>
      <c r="Z817" s="132">
        <v>1.6863996262766884E-2</v>
      </c>
      <c r="AA817" s="129">
        <v>1.6538279473259365E-2</v>
      </c>
    </row>
    <row r="818" spans="19:27" x14ac:dyDescent="0.2">
      <c r="S818" s="1"/>
      <c r="T818" s="109"/>
      <c r="W818" s="130" t="str">
        <f t="shared" si="22"/>
        <v>1w</v>
      </c>
      <c r="X818" s="128">
        <f>_xll.qlCalendarAdvance(Calendar,X817,W818,"f",FALSE)</f>
        <v>44971</v>
      </c>
      <c r="Y818" s="131">
        <f>_xll.qlCalendarAdvance(Calendar,X818,NDays&amp;"D")</f>
        <v>44973</v>
      </c>
      <c r="Z818" s="132">
        <v>1.6909781002467074E-2</v>
      </c>
      <c r="AA818" s="129">
        <v>1.6585605213625954E-2</v>
      </c>
    </row>
    <row r="819" spans="19:27" x14ac:dyDescent="0.2">
      <c r="S819" s="1"/>
      <c r="T819" s="109"/>
      <c r="W819" s="130" t="str">
        <f t="shared" si="22"/>
        <v>1w</v>
      </c>
      <c r="X819" s="128">
        <f>_xll.qlCalendarAdvance(Calendar,X818,W819,"f",FALSE)</f>
        <v>44978</v>
      </c>
      <c r="Y819" s="131">
        <f>_xll.qlCalendarAdvance(Calendar,X819,NDays&amp;"D")</f>
        <v>44980</v>
      </c>
      <c r="Z819" s="132">
        <v>1.695529000962934E-2</v>
      </c>
      <c r="AA819" s="129">
        <v>1.6632655851971379E-2</v>
      </c>
    </row>
    <row r="820" spans="19:27" x14ac:dyDescent="0.2">
      <c r="S820" s="1"/>
      <c r="T820" s="109"/>
      <c r="W820" s="130" t="str">
        <f t="shared" si="22"/>
        <v>1w</v>
      </c>
      <c r="X820" s="128">
        <f>_xll.qlCalendarAdvance(Calendar,X819,W820,"f",FALSE)</f>
        <v>44985</v>
      </c>
      <c r="Y820" s="131">
        <f>_xll.qlCalendarAdvance(Calendar,X820,NDays&amp;"D")</f>
        <v>44987</v>
      </c>
      <c r="Z820" s="132">
        <v>1.7011256648402254E-2</v>
      </c>
      <c r="AA820" s="129">
        <v>1.6679431388375576E-2</v>
      </c>
    </row>
    <row r="821" spans="19:27" x14ac:dyDescent="0.2">
      <c r="S821" s="1"/>
      <c r="T821" s="109"/>
      <c r="W821" s="130" t="str">
        <f t="shared" si="22"/>
        <v>1w</v>
      </c>
      <c r="X821" s="128">
        <f>_xll.qlCalendarAdvance(Calendar,X820,W821,"f",FALSE)</f>
        <v>44992</v>
      </c>
      <c r="Y821" s="131">
        <f>_xll.qlCalendarAdvance(Calendar,X821,NDays&amp;"D")</f>
        <v>44994</v>
      </c>
      <c r="Z821" s="132">
        <v>1.7056161430432433E-2</v>
      </c>
      <c r="AA821" s="129">
        <v>1.6725931822438866E-2</v>
      </c>
    </row>
    <row r="822" spans="19:27" x14ac:dyDescent="0.2">
      <c r="S822" s="1"/>
      <c r="T822" s="109"/>
      <c r="W822" s="130" t="str">
        <f t="shared" si="22"/>
        <v>1w</v>
      </c>
      <c r="X822" s="128">
        <f>_xll.qlCalendarAdvance(Calendar,X821,W822,"f",FALSE)</f>
        <v>44999</v>
      </c>
      <c r="Y822" s="131">
        <f>_xll.qlCalendarAdvance(Calendar,X822,NDays&amp;"D")</f>
        <v>45001</v>
      </c>
      <c r="Z822" s="132">
        <v>1.7100790427821397E-2</v>
      </c>
      <c r="AA822" s="129">
        <v>1.6772157154321121E-2</v>
      </c>
    </row>
    <row r="823" spans="19:27" x14ac:dyDescent="0.2">
      <c r="S823" s="1"/>
      <c r="T823" s="109"/>
      <c r="W823" s="130" t="str">
        <f t="shared" si="22"/>
        <v>1w</v>
      </c>
      <c r="X823" s="128">
        <f>_xll.qlCalendarAdvance(Calendar,X822,W823,"f",FALSE)</f>
        <v>45006</v>
      </c>
      <c r="Y823" s="131">
        <f>_xll.qlCalendarAdvance(Calendar,X823,NDays&amp;"D")</f>
        <v>45008</v>
      </c>
      <c r="Z823" s="132">
        <v>1.7145143631162766E-2</v>
      </c>
      <c r="AA823" s="129">
        <v>1.6818107383702596E-2</v>
      </c>
    </row>
    <row r="824" spans="19:27" x14ac:dyDescent="0.2">
      <c r="S824" s="1"/>
      <c r="T824" s="109"/>
      <c r="W824" s="130" t="str">
        <f t="shared" si="22"/>
        <v>1w</v>
      </c>
      <c r="X824" s="128">
        <f>_xll.qlCalendarAdvance(Calendar,X823,W824,"f",FALSE)</f>
        <v>45013</v>
      </c>
      <c r="Y824" s="131">
        <f>_xll.qlCalendarAdvance(Calendar,X824,NDays&amp;"D")</f>
        <v>45015</v>
      </c>
      <c r="Z824" s="132">
        <v>1.7189221031107489E-2</v>
      </c>
      <c r="AA824" s="129">
        <v>1.6863782510663228E-2</v>
      </c>
    </row>
    <row r="825" spans="19:27" x14ac:dyDescent="0.2">
      <c r="S825" s="1"/>
      <c r="T825" s="109"/>
      <c r="W825" s="130" t="str">
        <f t="shared" si="22"/>
        <v>1w</v>
      </c>
      <c r="X825" s="128">
        <f>_xll.qlCalendarAdvance(Calendar,X824,W825,"f",FALSE)</f>
        <v>45020</v>
      </c>
      <c r="Y825" s="131">
        <f>_xll.qlCalendarAdvance(Calendar,X825,NDays&amp;"D")</f>
        <v>45022</v>
      </c>
      <c r="Z825" s="132">
        <v>1.7229534366839005E-2</v>
      </c>
      <c r="AA825" s="129">
        <v>1.692368877609951E-2</v>
      </c>
    </row>
    <row r="826" spans="19:27" x14ac:dyDescent="0.2">
      <c r="S826" s="1"/>
      <c r="T826" s="109"/>
      <c r="W826" s="130" t="str">
        <f t="shared" si="22"/>
        <v>1w</v>
      </c>
      <c r="X826" s="128">
        <f>_xll.qlCalendarAdvance(Calendar,X825,W826,"f",FALSE)</f>
        <v>45027</v>
      </c>
      <c r="Y826" s="131">
        <f>_xll.qlCalendarAdvance(Calendar,X826,NDays&amp;"D")</f>
        <v>45029</v>
      </c>
      <c r="Z826" s="132">
        <v>1.7273077752397337E-2</v>
      </c>
      <c r="AA826" s="129">
        <v>1.6954307456522599E-2</v>
      </c>
    </row>
    <row r="827" spans="19:27" x14ac:dyDescent="0.2">
      <c r="S827" s="1"/>
      <c r="T827" s="109"/>
      <c r="W827" s="130" t="str">
        <f t="shared" si="22"/>
        <v>1w</v>
      </c>
      <c r="X827" s="128">
        <f>_xll.qlCalendarAdvance(Calendar,X826,W827,"f",FALSE)</f>
        <v>45034</v>
      </c>
      <c r="Y827" s="131">
        <f>_xll.qlCalendarAdvance(Calendar,X827,NDays&amp;"D")</f>
        <v>45036</v>
      </c>
      <c r="Z827" s="132">
        <v>1.731634531550507E-2</v>
      </c>
      <c r="AA827" s="129">
        <v>1.6999157275181531E-2</v>
      </c>
    </row>
    <row r="828" spans="19:27" x14ac:dyDescent="0.2">
      <c r="S828" s="1"/>
      <c r="T828" s="109"/>
      <c r="W828" s="130" t="str">
        <f t="shared" si="22"/>
        <v>1w</v>
      </c>
      <c r="X828" s="128">
        <f>_xll.qlCalendarAdvance(Calendar,X827,W828,"f",FALSE)</f>
        <v>45041</v>
      </c>
      <c r="Y828" s="131">
        <f>_xll.qlCalendarAdvance(Calendar,X828,NDays&amp;"D")</f>
        <v>45043</v>
      </c>
      <c r="Z828" s="132">
        <v>1.7359337047142615E-2</v>
      </c>
      <c r="AA828" s="129">
        <v>1.7043731991019939E-2</v>
      </c>
    </row>
    <row r="829" spans="19:27" x14ac:dyDescent="0.2">
      <c r="S829" s="1"/>
      <c r="T829" s="109"/>
      <c r="W829" s="130" t="str">
        <f t="shared" si="22"/>
        <v>1w</v>
      </c>
      <c r="X829" s="128">
        <f>_xll.qlCalendarAdvance(Calendar,X828,W829,"f",FALSE)</f>
        <v>45048</v>
      </c>
      <c r="Y829" s="131">
        <f>_xll.qlCalendarAdvance(Calendar,X829,NDays&amp;"D")</f>
        <v>45050</v>
      </c>
      <c r="Z829" s="132">
        <v>1.7405470656729531E-2</v>
      </c>
      <c r="AA829" s="129">
        <v>1.7088031603798015E-2</v>
      </c>
    </row>
    <row r="830" spans="19:27" x14ac:dyDescent="0.2">
      <c r="S830" s="1"/>
      <c r="T830" s="109"/>
      <c r="W830" s="130" t="str">
        <f t="shared" si="22"/>
        <v>1w</v>
      </c>
      <c r="X830" s="128">
        <f>_xll.qlCalendarAdvance(Calendar,X829,W830,"f",FALSE)</f>
        <v>45055</v>
      </c>
      <c r="Y830" s="131">
        <f>_xll.qlCalendarAdvance(Calendar,X830,NDays&amp;"D")</f>
        <v>45057</v>
      </c>
      <c r="Z830" s="132">
        <v>1.7447893043219278E-2</v>
      </c>
      <c r="AA830" s="129">
        <v>1.7132056113435823E-2</v>
      </c>
    </row>
    <row r="831" spans="19:27" x14ac:dyDescent="0.2">
      <c r="S831" s="1"/>
      <c r="T831" s="109"/>
      <c r="W831" s="130" t="str">
        <f t="shared" si="22"/>
        <v>1w</v>
      </c>
      <c r="X831" s="128">
        <f>_xll.qlCalendarAdvance(Calendar,X830,W831,"f",FALSE)</f>
        <v>45062</v>
      </c>
      <c r="Y831" s="131">
        <f>_xll.qlCalendarAdvance(Calendar,X831,NDays&amp;"D")</f>
        <v>45064</v>
      </c>
      <c r="Z831" s="132">
        <v>1.7490039562497343E-2</v>
      </c>
      <c r="AA831" s="129">
        <v>1.7175805519933363E-2</v>
      </c>
    </row>
    <row r="832" spans="19:27" x14ac:dyDescent="0.2">
      <c r="S832" s="1"/>
      <c r="T832" s="109"/>
      <c r="W832" s="130" t="str">
        <f t="shared" si="22"/>
        <v>1w</v>
      </c>
      <c r="X832" s="128">
        <f>_xll.qlCalendarAdvance(Calendar,X831,W832,"f",FALSE)</f>
        <v>45069</v>
      </c>
      <c r="Y832" s="131">
        <f>_xll.qlCalendarAdvance(Calendar,X832,NDays&amp;"D")</f>
        <v>45071</v>
      </c>
      <c r="Z832" s="132">
        <v>1.7531910205678656E-2</v>
      </c>
      <c r="AA832" s="129">
        <v>1.721927982297089E-2</v>
      </c>
    </row>
    <row r="833" spans="19:27" x14ac:dyDescent="0.2">
      <c r="S833" s="1"/>
      <c r="T833" s="109"/>
      <c r="W833" s="130" t="str">
        <f t="shared" si="22"/>
        <v>1w</v>
      </c>
      <c r="X833" s="128">
        <f>_xll.qlCalendarAdvance(Calendar,X832,W833,"f",FALSE)</f>
        <v>45076</v>
      </c>
      <c r="Y833" s="131">
        <f>_xll.qlCalendarAdvance(Calendar,X833,NDays&amp;"D")</f>
        <v>45078</v>
      </c>
      <c r="Z833" s="132">
        <v>1.7573504963938107E-2</v>
      </c>
      <c r="AA833" s="129">
        <v>1.7262479022628341E-2</v>
      </c>
    </row>
    <row r="834" spans="19:27" x14ac:dyDescent="0.2">
      <c r="S834" s="1"/>
      <c r="T834" s="109"/>
      <c r="W834" s="130" t="str">
        <f t="shared" si="22"/>
        <v>1w</v>
      </c>
      <c r="X834" s="128">
        <f>_xll.qlCalendarAdvance(Calendar,X833,W834,"f",FALSE)</f>
        <v>45083</v>
      </c>
      <c r="Y834" s="131">
        <f>_xll.qlCalendarAdvance(Calendar,X834,NDays&amp;"D")</f>
        <v>45085</v>
      </c>
      <c r="Z834" s="132">
        <v>1.7614823828507056E-2</v>
      </c>
      <c r="AA834" s="129">
        <v>1.7305403118745843E-2</v>
      </c>
    </row>
    <row r="835" spans="19:27" x14ac:dyDescent="0.2">
      <c r="S835" s="1"/>
      <c r="T835" s="109"/>
      <c r="W835" s="130" t="str">
        <f t="shared" si="22"/>
        <v>1w</v>
      </c>
      <c r="X835" s="128">
        <f>_xll.qlCalendarAdvance(Calendar,X834,W835,"f",FALSE)</f>
        <v>45090</v>
      </c>
      <c r="Y835" s="131">
        <f>_xll.qlCalendarAdvance(Calendar,X835,NDays&amp;"D")</f>
        <v>45092</v>
      </c>
      <c r="Z835" s="132">
        <v>1.765586643088549E-2</v>
      </c>
      <c r="AA835" s="129">
        <v>1.7348052111163526E-2</v>
      </c>
    </row>
    <row r="836" spans="19:27" x14ac:dyDescent="0.2">
      <c r="S836" s="1"/>
      <c r="T836" s="109"/>
      <c r="W836" s="130" t="str">
        <f t="shared" si="22"/>
        <v>1w</v>
      </c>
      <c r="X836" s="128">
        <f>_xll.qlCalendarAdvance(Calendar,X835,W836,"f",FALSE)</f>
        <v>45097</v>
      </c>
      <c r="Y836" s="131">
        <f>_xll.qlCalendarAdvance(Calendar,X836,NDays&amp;"D")</f>
        <v>45099</v>
      </c>
      <c r="Z836" s="132">
        <v>1.7696626359199767E-2</v>
      </c>
      <c r="AA836" s="129">
        <v>1.7390425999961323E-2</v>
      </c>
    </row>
    <row r="837" spans="19:27" x14ac:dyDescent="0.2">
      <c r="S837" s="1"/>
      <c r="T837" s="109"/>
      <c r="W837" s="130" t="str">
        <f t="shared" si="22"/>
        <v>1w</v>
      </c>
      <c r="X837" s="128">
        <f>_xll.qlCalendarAdvance(Calendar,X836,W837,"f",FALSE)</f>
        <v>45104</v>
      </c>
      <c r="Y837" s="131">
        <f>_xll.qlCalendarAdvance(Calendar,X837,NDays&amp;"D")</f>
        <v>45106</v>
      </c>
      <c r="Z837" s="132">
        <v>1.7737092186686874E-2</v>
      </c>
      <c r="AA837" s="129">
        <v>1.7432524784979364E-2</v>
      </c>
    </row>
    <row r="838" spans="19:27" x14ac:dyDescent="0.2">
      <c r="S838" s="1"/>
      <c r="T838" s="109"/>
      <c r="W838" s="130" t="str">
        <f t="shared" si="22"/>
        <v>1w</v>
      </c>
      <c r="X838" s="128">
        <f>_xll.qlCalendarAdvance(Calendar,X837,W838,"f",FALSE)</f>
        <v>45111</v>
      </c>
      <c r="Y838" s="131">
        <f>_xll.qlCalendarAdvance(Calendar,X838,NDays&amp;"D")</f>
        <v>45113</v>
      </c>
      <c r="Z838" s="132">
        <v>1.7777252334389888E-2</v>
      </c>
      <c r="AA838" s="129">
        <v>1.747434846597784E-2</v>
      </c>
    </row>
    <row r="839" spans="19:27" x14ac:dyDescent="0.2">
      <c r="S839" s="1"/>
      <c r="T839" s="109"/>
      <c r="W839" s="130" t="str">
        <f t="shared" si="22"/>
        <v>1w</v>
      </c>
      <c r="X839" s="128">
        <f>_xll.qlCalendarAdvance(Calendar,X838,W839,"f",FALSE)</f>
        <v>45118</v>
      </c>
      <c r="Y839" s="131">
        <f>_xll.qlCalendarAdvance(Calendar,X839,NDays&amp;"D")</f>
        <v>45120</v>
      </c>
      <c r="Z839" s="132">
        <v>1.7817095222945251E-2</v>
      </c>
      <c r="AA839" s="129">
        <v>1.7515897043036688E-2</v>
      </c>
    </row>
    <row r="840" spans="19:27" x14ac:dyDescent="0.2">
      <c r="S840" s="1"/>
      <c r="T840" s="109"/>
      <c r="W840" s="130" t="str">
        <f t="shared" si="22"/>
        <v>1w</v>
      </c>
      <c r="X840" s="128">
        <f>_xll.qlCalendarAdvance(Calendar,X839,W840,"f",FALSE)</f>
        <v>45125</v>
      </c>
      <c r="Y840" s="131">
        <f>_xll.qlCalendarAdvance(Calendar,X840,NDays&amp;"D")</f>
        <v>45127</v>
      </c>
      <c r="Z840" s="132">
        <v>1.7856609272595813E-2</v>
      </c>
      <c r="AA840" s="129">
        <v>1.7557170515836162E-2</v>
      </c>
    </row>
    <row r="841" spans="19:27" x14ac:dyDescent="0.2">
      <c r="S841" s="1"/>
      <c r="T841" s="109"/>
      <c r="W841" s="130" t="str">
        <f t="shared" si="22"/>
        <v>1w</v>
      </c>
      <c r="X841" s="128">
        <f>_xll.qlCalendarAdvance(Calendar,X840,W841,"f",FALSE)</f>
        <v>45132</v>
      </c>
      <c r="Y841" s="131">
        <f>_xll.qlCalendarAdvance(Calendar,X841,NDays&amp;"D")</f>
        <v>45134</v>
      </c>
      <c r="Z841" s="132">
        <v>1.7895782903203858E-2</v>
      </c>
      <c r="AA841" s="129">
        <v>1.7598168884536136E-2</v>
      </c>
    </row>
    <row r="842" spans="19:27" x14ac:dyDescent="0.2">
      <c r="S842" s="1"/>
      <c r="T842" s="109"/>
      <c r="W842" s="130" t="str">
        <f t="shared" si="22"/>
        <v>1w</v>
      </c>
      <c r="X842" s="128">
        <f>_xll.qlCalendarAdvance(Calendar,X841,W842,"f",FALSE)</f>
        <v>45139</v>
      </c>
      <c r="Y842" s="131">
        <f>_xll.qlCalendarAdvance(Calendar,X842,NDays&amp;"D")</f>
        <v>45141</v>
      </c>
      <c r="Z842" s="132">
        <v>1.7934604534251095E-2</v>
      </c>
      <c r="AA842" s="129">
        <v>1.7638892148976737E-2</v>
      </c>
    </row>
    <row r="843" spans="19:27" x14ac:dyDescent="0.2">
      <c r="S843" s="1"/>
      <c r="T843" s="109"/>
      <c r="W843" s="130" t="str">
        <f t="shared" si="22"/>
        <v>1w</v>
      </c>
      <c r="X843" s="128">
        <f>_xll.qlCalendarAdvance(Calendar,X842,W843,"f",FALSE)</f>
        <v>45146</v>
      </c>
      <c r="Y843" s="131">
        <f>_xll.qlCalendarAdvance(Calendar,X843,NDays&amp;"D")</f>
        <v>45148</v>
      </c>
      <c r="Z843" s="132">
        <v>1.7973062584858666E-2</v>
      </c>
      <c r="AA843" s="129">
        <v>1.7679340308918157E-2</v>
      </c>
    </row>
    <row r="844" spans="19:27" x14ac:dyDescent="0.2">
      <c r="S844" s="1"/>
      <c r="T844" s="109"/>
      <c r="W844" s="130" t="str">
        <f t="shared" si="22"/>
        <v>1w</v>
      </c>
      <c r="X844" s="128">
        <f>_xll.qlCalendarAdvance(Calendar,X843,W844,"f",FALSE)</f>
        <v>45153</v>
      </c>
      <c r="Y844" s="131">
        <f>_xll.qlCalendarAdvance(Calendar,X844,NDays&amp;"D")</f>
        <v>45155</v>
      </c>
      <c r="Z844" s="132">
        <v>1.8011145473791467E-2</v>
      </c>
      <c r="AA844" s="129">
        <v>1.7719513364440331E-2</v>
      </c>
    </row>
    <row r="845" spans="19:27" x14ac:dyDescent="0.2">
      <c r="S845" s="1"/>
      <c r="T845" s="109"/>
      <c r="W845" s="130" t="str">
        <f t="shared" si="22"/>
        <v>1w</v>
      </c>
      <c r="X845" s="128">
        <f>_xll.qlCalendarAdvance(Calendar,X844,W845,"f",FALSE)</f>
        <v>45160</v>
      </c>
      <c r="Y845" s="131">
        <f>_xll.qlCalendarAdvance(Calendar,X845,NDays&amp;"D")</f>
        <v>45162</v>
      </c>
      <c r="Z845" s="132">
        <v>1.8048841619472931E-2</v>
      </c>
      <c r="AA845" s="129">
        <v>1.7759411315303453E-2</v>
      </c>
    </row>
    <row r="846" spans="19:27" x14ac:dyDescent="0.2">
      <c r="S846" s="1"/>
      <c r="T846" s="109"/>
      <c r="W846" s="130" t="str">
        <f t="shared" si="22"/>
        <v>1w</v>
      </c>
      <c r="X846" s="128">
        <f>_xll.qlCalendarAdvance(Calendar,X845,W846,"f",FALSE)</f>
        <v>45167</v>
      </c>
      <c r="Y846" s="131">
        <f>_xll.qlCalendarAdvance(Calendar,X846,NDays&amp;"D")</f>
        <v>45169</v>
      </c>
      <c r="Z846" s="132">
        <v>1.8083100970010566E-2</v>
      </c>
      <c r="AA846" s="129">
        <v>1.7799034161667393E-2</v>
      </c>
    </row>
    <row r="847" spans="19:27" x14ac:dyDescent="0.2">
      <c r="S847" s="1"/>
      <c r="T847" s="109"/>
      <c r="W847" s="130" t="str">
        <f t="shared" si="22"/>
        <v>1w</v>
      </c>
      <c r="X847" s="128">
        <f>_xll.qlCalendarAdvance(Calendar,X846,W847,"f",FALSE)</f>
        <v>45174</v>
      </c>
      <c r="Y847" s="131">
        <f>_xll.qlCalendarAdvance(Calendar,X847,NDays&amp;"D")</f>
        <v>45176</v>
      </c>
      <c r="Z847" s="132">
        <v>1.8120017531676628E-2</v>
      </c>
      <c r="AA847" s="129">
        <v>1.7838381903052536E-2</v>
      </c>
    </row>
    <row r="848" spans="19:27" x14ac:dyDescent="0.2">
      <c r="S848" s="1"/>
      <c r="T848" s="109"/>
      <c r="W848" s="130" t="str">
        <f t="shared" si="22"/>
        <v>1w</v>
      </c>
      <c r="X848" s="128">
        <f>_xll.qlCalendarAdvance(Calendar,X847,W848,"f",FALSE)</f>
        <v>45181</v>
      </c>
      <c r="Y848" s="131">
        <f>_xll.qlCalendarAdvance(Calendar,X848,NDays&amp;"D")</f>
        <v>45183</v>
      </c>
      <c r="Z848" s="132">
        <v>1.8156512847821587E-2</v>
      </c>
      <c r="AA848" s="129">
        <v>1.7877435488378168E-2</v>
      </c>
    </row>
    <row r="849" spans="19:27" x14ac:dyDescent="0.2">
      <c r="S849" s="1"/>
      <c r="T849" s="109"/>
      <c r="W849" s="130" t="str">
        <f t="shared" si="22"/>
        <v>1w</v>
      </c>
      <c r="X849" s="128">
        <f>_xll.qlCalendarAdvance(Calendar,X848,W849,"f",FALSE)</f>
        <v>45188</v>
      </c>
      <c r="Y849" s="131">
        <f>_xll.qlCalendarAdvance(Calendar,X849,NDays&amp;"D")</f>
        <v>45190</v>
      </c>
      <c r="Z849" s="132">
        <v>1.8192580432765761E-2</v>
      </c>
      <c r="AA849" s="129">
        <v>1.7916081639137715E-2</v>
      </c>
    </row>
    <row r="850" spans="19:27" x14ac:dyDescent="0.2">
      <c r="S850" s="1"/>
      <c r="T850" s="109"/>
      <c r="W850" s="130" t="str">
        <f t="shared" si="22"/>
        <v>1w</v>
      </c>
      <c r="X850" s="128">
        <f>_xll.qlCalendarAdvance(Calendar,X849,W850,"f",FALSE)</f>
        <v>45195</v>
      </c>
      <c r="Y850" s="131">
        <f>_xll.qlCalendarAdvance(Calendar,X850,NDays&amp;"D")</f>
        <v>45197</v>
      </c>
      <c r="Z850" s="132">
        <v>1.8228219911079348E-2</v>
      </c>
      <c r="AA850" s="129">
        <v>1.795430130393072E-2</v>
      </c>
    </row>
    <row r="851" spans="19:27" x14ac:dyDescent="0.2">
      <c r="S851" s="1"/>
      <c r="T851" s="109"/>
      <c r="W851" s="130" t="str">
        <f t="shared" si="22"/>
        <v>1w</v>
      </c>
      <c r="X851" s="128">
        <f>_xll.qlCalendarAdvance(Calendar,X850,W851,"f",FALSE)</f>
        <v>45202</v>
      </c>
      <c r="Y851" s="131">
        <f>_xll.qlCalendarAdvance(Calendar,X851,NDays&amp;"D")</f>
        <v>45204</v>
      </c>
      <c r="Z851" s="132">
        <v>1.8266326003417519E-2</v>
      </c>
      <c r="AA851" s="129">
        <v>1.7992094482437437E-2</v>
      </c>
    </row>
    <row r="852" spans="19:27" x14ac:dyDescent="0.2">
      <c r="S852" s="1"/>
      <c r="T852" s="109"/>
      <c r="W852" s="130" t="str">
        <f t="shared" si="22"/>
        <v>1w</v>
      </c>
      <c r="X852" s="128">
        <f>_xll.qlCalendarAdvance(Calendar,X851,W852,"f",FALSE)</f>
        <v>45209</v>
      </c>
      <c r="Y852" s="131">
        <f>_xll.qlCalendarAdvance(Calendar,X852,NDays&amp;"D")</f>
        <v>45211</v>
      </c>
      <c r="Z852" s="132">
        <v>1.8301080413296204E-2</v>
      </c>
      <c r="AA852" s="129">
        <v>1.8029461174657868E-2</v>
      </c>
    </row>
    <row r="853" spans="19:27" x14ac:dyDescent="0.2">
      <c r="S853" s="1"/>
      <c r="T853" s="109"/>
      <c r="W853" s="130" t="str">
        <f t="shared" ref="W853:W916" si="23">W852</f>
        <v>1w</v>
      </c>
      <c r="X853" s="128">
        <f>_xll.qlCalendarAdvance(Calendar,X852,W853,"f",FALSE)</f>
        <v>45216</v>
      </c>
      <c r="Y853" s="131">
        <f>_xll.qlCalendarAdvance(Calendar,X853,NDays&amp;"D")</f>
        <v>45218</v>
      </c>
      <c r="Z853" s="132">
        <v>1.8335406663182213E-2</v>
      </c>
      <c r="AA853" s="129">
        <v>1.8066401380592012E-2</v>
      </c>
    </row>
    <row r="854" spans="19:27" x14ac:dyDescent="0.2">
      <c r="S854" s="1"/>
      <c r="T854" s="109"/>
      <c r="W854" s="130" t="str">
        <f t="shared" si="23"/>
        <v>1w</v>
      </c>
      <c r="X854" s="128">
        <f>_xll.qlCalendarAdvance(Calendar,X853,W854,"f",FALSE)</f>
        <v>45223</v>
      </c>
      <c r="Y854" s="131">
        <f>_xll.qlCalendarAdvance(Calendar,X854,NDays&amp;"D")</f>
        <v>45225</v>
      </c>
      <c r="Z854" s="132">
        <v>1.8369304741854952E-2</v>
      </c>
      <c r="AA854" s="129">
        <v>1.8102915099920125E-2</v>
      </c>
    </row>
    <row r="855" spans="19:27" x14ac:dyDescent="0.2">
      <c r="S855" s="1"/>
      <c r="T855" s="109"/>
      <c r="W855" s="130" t="str">
        <f t="shared" si="23"/>
        <v>1w</v>
      </c>
      <c r="X855" s="128">
        <f>_xll.qlCalendarAdvance(Calendar,X854,W855,"f",FALSE)</f>
        <v>45230</v>
      </c>
      <c r="Y855" s="131">
        <f>_xll.qlCalendarAdvance(Calendar,X855,NDays&amp;"D")</f>
        <v>45232</v>
      </c>
      <c r="Z855" s="132">
        <v>1.8402774638234594E-2</v>
      </c>
      <c r="AA855" s="129">
        <v>1.8139002332482335E-2</v>
      </c>
    </row>
    <row r="856" spans="19:27" x14ac:dyDescent="0.2">
      <c r="S856" s="1"/>
      <c r="T856" s="109"/>
      <c r="W856" s="130" t="str">
        <f t="shared" si="23"/>
        <v>1w</v>
      </c>
      <c r="X856" s="128">
        <f>_xll.qlCalendarAdvance(Calendar,X855,W856,"f",FALSE)</f>
        <v>45237</v>
      </c>
      <c r="Y856" s="131">
        <f>_xll.qlCalendarAdvance(Calendar,X856,NDays&amp;"D")</f>
        <v>45239</v>
      </c>
      <c r="Z856" s="132">
        <v>1.8435816341378582E-2</v>
      </c>
      <c r="AA856" s="129">
        <v>1.8174663078278641E-2</v>
      </c>
    </row>
    <row r="857" spans="19:27" x14ac:dyDescent="0.2">
      <c r="S857" s="1"/>
      <c r="T857" s="109"/>
      <c r="W857" s="130" t="str">
        <f t="shared" si="23"/>
        <v>1w</v>
      </c>
      <c r="X857" s="128">
        <f>_xll.qlCalendarAdvance(Calendar,X856,W857,"f",FALSE)</f>
        <v>45244</v>
      </c>
      <c r="Y857" s="131">
        <f>_xll.qlCalendarAdvance(Calendar,X857,NDays&amp;"D")</f>
        <v>45246</v>
      </c>
      <c r="Z857" s="132">
        <v>1.84684298404886E-2</v>
      </c>
      <c r="AA857" s="129">
        <v>1.8209897337229108E-2</v>
      </c>
    </row>
    <row r="858" spans="19:27" x14ac:dyDescent="0.2">
      <c r="S858" s="1"/>
      <c r="T858" s="109"/>
      <c r="W858" s="130" t="str">
        <f t="shared" si="23"/>
        <v>1w</v>
      </c>
      <c r="X858" s="128">
        <f>_xll.qlCalendarAdvance(Calendar,X857,W858,"f",FALSE)</f>
        <v>45251</v>
      </c>
      <c r="Y858" s="131">
        <f>_xll.qlCalendarAdvance(Calendar,X858,NDays&amp;"D")</f>
        <v>45253</v>
      </c>
      <c r="Z858" s="132">
        <v>1.8500615124901008E-2</v>
      </c>
      <c r="AA858" s="129">
        <v>1.8244705108934056E-2</v>
      </c>
    </row>
    <row r="859" spans="19:27" x14ac:dyDescent="0.2">
      <c r="S859" s="1"/>
      <c r="T859" s="109"/>
      <c r="W859" s="130" t="str">
        <f t="shared" si="23"/>
        <v>1w</v>
      </c>
      <c r="X859" s="128">
        <f>_xll.qlCalendarAdvance(Calendar,X858,W859,"f",FALSE)</f>
        <v>45258</v>
      </c>
      <c r="Y859" s="131">
        <f>_xll.qlCalendarAdvance(Calendar,X859,NDays&amp;"D")</f>
        <v>45260</v>
      </c>
      <c r="Z859" s="132">
        <v>1.8529708561856269E-2</v>
      </c>
      <c r="AA859" s="129">
        <v>1.8279086393633293E-2</v>
      </c>
    </row>
    <row r="860" spans="19:27" x14ac:dyDescent="0.2">
      <c r="S860" s="1"/>
      <c r="T860" s="109"/>
      <c r="W860" s="130" t="str">
        <f t="shared" si="23"/>
        <v>1w</v>
      </c>
      <c r="X860" s="128">
        <f>_xll.qlCalendarAdvance(Calendar,X859,W860,"f",FALSE)</f>
        <v>45265</v>
      </c>
      <c r="Y860" s="131">
        <f>_xll.qlCalendarAdvance(Calendar,X860,NDays&amp;"D")</f>
        <v>45267</v>
      </c>
      <c r="Z860" s="132">
        <v>1.8561066362919744E-2</v>
      </c>
      <c r="AA860" s="129">
        <v>1.8313041190847201E-2</v>
      </c>
    </row>
    <row r="861" spans="19:27" x14ac:dyDescent="0.2">
      <c r="S861" s="1"/>
      <c r="T861" s="109"/>
      <c r="W861" s="130" t="str">
        <f t="shared" si="23"/>
        <v>1w</v>
      </c>
      <c r="X861" s="128">
        <f>_xll.qlCalendarAdvance(Calendar,X860,W861,"f",FALSE)</f>
        <v>45272</v>
      </c>
      <c r="Y861" s="131">
        <f>_xll.qlCalendarAdvance(Calendar,X861,NDays&amp;"D")</f>
        <v>45274</v>
      </c>
      <c r="Z861" s="132">
        <v>1.8591995938207498E-2</v>
      </c>
      <c r="AA861" s="129">
        <v>1.8346569500735654E-2</v>
      </c>
    </row>
    <row r="862" spans="19:27" x14ac:dyDescent="0.2">
      <c r="S862" s="1"/>
      <c r="T862" s="109"/>
      <c r="W862" s="130" t="str">
        <f t="shared" si="23"/>
        <v>1w</v>
      </c>
      <c r="X862" s="128">
        <f>_xll.qlCalendarAdvance(Calendar,X861,W862,"f",FALSE)</f>
        <v>45279</v>
      </c>
      <c r="Y862" s="131">
        <f>_xll.qlCalendarAdvance(Calendar,X862,NDays&amp;"D")</f>
        <v>45281</v>
      </c>
      <c r="Z862" s="132">
        <v>1.8622497277721375E-2</v>
      </c>
      <c r="AA862" s="129">
        <v>1.8379671323058844E-2</v>
      </c>
    </row>
    <row r="863" spans="19:27" x14ac:dyDescent="0.2">
      <c r="S863" s="1"/>
      <c r="T863" s="109"/>
      <c r="W863" s="130" t="str">
        <f t="shared" si="23"/>
        <v>1w</v>
      </c>
      <c r="X863" s="128">
        <f>_xll.qlCalendarAdvance(Calendar,X862,W863,"f",FALSE)</f>
        <v>45287</v>
      </c>
      <c r="Y863" s="131">
        <f>_xll.qlCalendarAdvance(Calendar,X863,NDays&amp;"D")</f>
        <v>45289</v>
      </c>
      <c r="Z863" s="132">
        <v>1.8654285442943674E-2</v>
      </c>
      <c r="AA863" s="129">
        <v>1.8425322005273248E-2</v>
      </c>
    </row>
    <row r="864" spans="19:27" x14ac:dyDescent="0.2">
      <c r="S864" s="1"/>
      <c r="T864" s="109"/>
      <c r="W864" s="130" t="str">
        <f t="shared" si="23"/>
        <v>1w</v>
      </c>
      <c r="X864" s="128">
        <f>_xll.qlCalendarAdvance(Calendar,X863,W864,"f",FALSE)</f>
        <v>45294</v>
      </c>
      <c r="Y864" s="131">
        <f>_xll.qlCalendarAdvance(Calendar,X864,NDays&amp;"D")</f>
        <v>45296</v>
      </c>
      <c r="Z864" s="132">
        <v>1.8686415226856212E-2</v>
      </c>
      <c r="AA864" s="129">
        <v>1.8454674185859332E-2</v>
      </c>
    </row>
    <row r="865" spans="19:27" x14ac:dyDescent="0.2">
      <c r="S865" s="1"/>
      <c r="T865" s="109"/>
      <c r="W865" s="130" t="str">
        <f t="shared" si="23"/>
        <v>1w</v>
      </c>
      <c r="X865" s="128">
        <f>_xll.qlCalendarAdvance(Calendar,X864,W865,"f",FALSE)</f>
        <v>45301</v>
      </c>
      <c r="Y865" s="131">
        <f>_xll.qlCalendarAdvance(Calendar,X865,NDays&amp;"D")</f>
        <v>45303</v>
      </c>
      <c r="Z865" s="132">
        <v>1.8715570618938342E-2</v>
      </c>
      <c r="AA865" s="129">
        <v>1.8486377943931487E-2</v>
      </c>
    </row>
    <row r="866" spans="19:27" x14ac:dyDescent="0.2">
      <c r="S866" s="1"/>
      <c r="T866" s="109"/>
      <c r="W866" s="130" t="str">
        <f t="shared" si="23"/>
        <v>1w</v>
      </c>
      <c r="X866" s="128">
        <f>_xll.qlCalendarAdvance(Calendar,X865,W866,"f",FALSE)</f>
        <v>45308</v>
      </c>
      <c r="Y866" s="131">
        <f>_xll.qlCalendarAdvance(Calendar,X866,NDays&amp;"D")</f>
        <v>45310</v>
      </c>
      <c r="Z866" s="132">
        <v>1.8744297735288233E-2</v>
      </c>
      <c r="AA866" s="129">
        <v>1.851765517566939E-2</v>
      </c>
    </row>
    <row r="867" spans="19:27" x14ac:dyDescent="0.2">
      <c r="S867" s="1"/>
      <c r="T867" s="109"/>
      <c r="W867" s="130" t="str">
        <f t="shared" si="23"/>
        <v>1w</v>
      </c>
      <c r="X867" s="128">
        <f>_xll.qlCalendarAdvance(Calendar,X866,W867,"f",FALSE)</f>
        <v>45315</v>
      </c>
      <c r="Y867" s="131">
        <f>_xll.qlCalendarAdvance(Calendar,X867,NDays&amp;"D")</f>
        <v>45317</v>
      </c>
      <c r="Z867" s="132">
        <v>1.8772596566614851E-2</v>
      </c>
      <c r="AA867" s="129">
        <v>1.8548505880753297E-2</v>
      </c>
    </row>
    <row r="868" spans="19:27" x14ac:dyDescent="0.2">
      <c r="S868" s="1"/>
      <c r="T868" s="109"/>
      <c r="W868" s="130" t="str">
        <f t="shared" si="23"/>
        <v>1w</v>
      </c>
      <c r="X868" s="128">
        <f>_xll.qlCalendarAdvance(Calendar,X867,W868,"f",FALSE)</f>
        <v>45322</v>
      </c>
      <c r="Y868" s="131">
        <f>_xll.qlCalendarAdvance(Calendar,X868,NDays&amp;"D")</f>
        <v>45324</v>
      </c>
      <c r="Z868" s="132">
        <v>1.87980664759273E-2</v>
      </c>
      <c r="AA868" s="129">
        <v>1.8578930058810172E-2</v>
      </c>
    </row>
    <row r="869" spans="19:27" x14ac:dyDescent="0.2">
      <c r="S869" s="1"/>
      <c r="T869" s="109"/>
      <c r="W869" s="130" t="str">
        <f t="shared" si="23"/>
        <v>1w</v>
      </c>
      <c r="X869" s="128">
        <f>_xll.qlCalendarAdvance(Calendar,X868,W869,"f",FALSE)</f>
        <v>45329</v>
      </c>
      <c r="Y869" s="131">
        <f>_xll.qlCalendarAdvance(Calendar,X869,NDays&amp;"D")</f>
        <v>45331</v>
      </c>
      <c r="Z869" s="132">
        <v>1.8825537871542508E-2</v>
      </c>
      <c r="AA869" s="129">
        <v>1.8608927709573564E-2</v>
      </c>
    </row>
    <row r="870" spans="19:27" x14ac:dyDescent="0.2">
      <c r="S870" s="1"/>
      <c r="T870" s="109"/>
      <c r="W870" s="130" t="str">
        <f t="shared" si="23"/>
        <v>1w</v>
      </c>
      <c r="X870" s="128">
        <f>_xll.qlCalendarAdvance(Calendar,X869,W870,"f",FALSE)</f>
        <v>45336</v>
      </c>
      <c r="Y870" s="131">
        <f>_xll.qlCalendarAdvance(Calendar,X870,NDays&amp;"D")</f>
        <v>45338</v>
      </c>
      <c r="Z870" s="132">
        <v>1.885258097601028E-2</v>
      </c>
      <c r="AA870" s="129">
        <v>1.8638498832697081E-2</v>
      </c>
    </row>
    <row r="871" spans="19:27" x14ac:dyDescent="0.2">
      <c r="S871" s="1"/>
      <c r="T871" s="109"/>
      <c r="W871" s="130" t="str">
        <f t="shared" si="23"/>
        <v>1w</v>
      </c>
      <c r="X871" s="128">
        <f>_xll.qlCalendarAdvance(Calendar,X870,W871,"f",FALSE)</f>
        <v>45343</v>
      </c>
      <c r="Y871" s="131">
        <f>_xll.qlCalendarAdvance(Calendar,X871,NDays&amp;"D")</f>
        <v>45345</v>
      </c>
      <c r="Z871" s="132">
        <v>1.8879195780683311E-2</v>
      </c>
      <c r="AA871" s="129">
        <v>1.8667643427834335E-2</v>
      </c>
    </row>
    <row r="872" spans="19:27" x14ac:dyDescent="0.2">
      <c r="S872" s="1"/>
      <c r="T872" s="109"/>
      <c r="W872" s="130" t="str">
        <f t="shared" si="23"/>
        <v>1w</v>
      </c>
      <c r="X872" s="128">
        <f>_xll.qlCalendarAdvance(Calendar,X871,W872,"f",FALSE)</f>
        <v>45350</v>
      </c>
      <c r="Y872" s="131">
        <f>_xll.qlCalendarAdvance(Calendar,X872,NDays&amp;"D")</f>
        <v>45352</v>
      </c>
      <c r="Z872" s="132">
        <v>1.891450143921676E-2</v>
      </c>
      <c r="AA872" s="129">
        <v>1.8696361494718872E-2</v>
      </c>
    </row>
    <row r="873" spans="19:27" x14ac:dyDescent="0.2">
      <c r="S873" s="1"/>
      <c r="T873" s="109"/>
      <c r="W873" s="130" t="str">
        <f t="shared" si="23"/>
        <v>1w</v>
      </c>
      <c r="X873" s="128">
        <f>_xll.qlCalendarAdvance(Calendar,X872,W873,"f",FALSE)</f>
        <v>45357</v>
      </c>
      <c r="Y873" s="131">
        <f>_xll.qlCalendarAdvance(Calendar,X873,NDays&amp;"D")</f>
        <v>45359</v>
      </c>
      <c r="Z873" s="132">
        <v>1.8940142618064173E-2</v>
      </c>
      <c r="AA873" s="129">
        <v>1.8724653033030947E-2</v>
      </c>
    </row>
    <row r="874" spans="19:27" x14ac:dyDescent="0.2">
      <c r="S874" s="1"/>
      <c r="T874" s="109"/>
      <c r="W874" s="130" t="str">
        <f t="shared" si="23"/>
        <v>1w</v>
      </c>
      <c r="X874" s="128">
        <f>_xll.qlCalendarAdvance(Calendar,X873,W874,"f",FALSE)</f>
        <v>45364</v>
      </c>
      <c r="Y874" s="131">
        <f>_xll.qlCalendarAdvance(Calendar,X874,NDays&amp;"D")</f>
        <v>45366</v>
      </c>
      <c r="Z874" s="132">
        <v>1.896535538691475E-2</v>
      </c>
      <c r="AA874" s="129">
        <v>1.8752518042477462E-2</v>
      </c>
    </row>
    <row r="875" spans="19:27" x14ac:dyDescent="0.2">
      <c r="S875" s="1"/>
      <c r="T875" s="109"/>
      <c r="W875" s="130" t="str">
        <f t="shared" si="23"/>
        <v>1w</v>
      </c>
      <c r="X875" s="128">
        <f>_xll.qlCalendarAdvance(Calendar,X874,W875,"f",FALSE)</f>
        <v>45371</v>
      </c>
      <c r="Y875" s="131">
        <f>_xll.qlCalendarAdvance(Calendar,X875,NDays&amp;"D")</f>
        <v>45373</v>
      </c>
      <c r="Z875" s="132">
        <v>1.8990139737346284E-2</v>
      </c>
      <c r="AA875" s="129">
        <v>1.8779956522738672E-2</v>
      </c>
    </row>
    <row r="876" spans="19:27" x14ac:dyDescent="0.2">
      <c r="S876" s="1"/>
      <c r="T876" s="109"/>
      <c r="W876" s="130" t="str">
        <f t="shared" si="23"/>
        <v>1w</v>
      </c>
      <c r="X876" s="128">
        <f>_xll.qlCalendarAdvance(Calendar,X875,W876,"f",FALSE)</f>
        <v>45378</v>
      </c>
      <c r="Y876" s="131">
        <f>_xll.qlCalendarAdvance(Calendar,X876,NDays&amp;"D")</f>
        <v>45384</v>
      </c>
      <c r="Z876" s="132">
        <v>1.9021787355631897E-2</v>
      </c>
      <c r="AA876" s="129">
        <v>1.8817433738576028E-2</v>
      </c>
    </row>
    <row r="877" spans="19:27" x14ac:dyDescent="0.2">
      <c r="S877" s="1"/>
      <c r="T877" s="109"/>
      <c r="W877" s="130" t="str">
        <f t="shared" si="23"/>
        <v>1w</v>
      </c>
      <c r="X877" s="128">
        <f>_xll.qlCalendarAdvance(Calendar,X876,W877,"f",FALSE)</f>
        <v>45385</v>
      </c>
      <c r="Y877" s="131">
        <f>_xll.qlCalendarAdvance(Calendar,X877,NDays&amp;"D")</f>
        <v>45387</v>
      </c>
      <c r="Z877" s="132">
        <v>1.9032027259052915E-2</v>
      </c>
      <c r="AA877" s="129">
        <v>1.8833553894559429E-2</v>
      </c>
    </row>
    <row r="878" spans="19:27" x14ac:dyDescent="0.2">
      <c r="S878" s="1"/>
      <c r="T878" s="109"/>
      <c r="W878" s="130" t="str">
        <f t="shared" si="23"/>
        <v>1w</v>
      </c>
      <c r="X878" s="128">
        <f>_xll.qlCalendarAdvance(Calendar,X877,W878,"f",FALSE)</f>
        <v>45392</v>
      </c>
      <c r="Y878" s="131">
        <f>_xll.qlCalendarAdvance(Calendar,X878,NDays&amp;"D")</f>
        <v>45394</v>
      </c>
      <c r="Z878" s="132">
        <v>1.9055614381655255E-2</v>
      </c>
      <c r="AA878" s="129">
        <v>1.8859712785559424E-2</v>
      </c>
    </row>
    <row r="879" spans="19:27" x14ac:dyDescent="0.2">
      <c r="S879" s="1"/>
      <c r="T879" s="109"/>
      <c r="W879" s="130" t="str">
        <f t="shared" si="23"/>
        <v>1w</v>
      </c>
      <c r="X879" s="128">
        <f>_xll.qlCalendarAdvance(Calendar,X878,W879,"f",FALSE)</f>
        <v>45399</v>
      </c>
      <c r="Y879" s="131">
        <f>_xll.qlCalendarAdvance(Calendar,X879,NDays&amp;"D")</f>
        <v>45401</v>
      </c>
      <c r="Z879" s="132">
        <v>1.9078773118566716E-2</v>
      </c>
      <c r="AA879" s="129">
        <v>1.8885445146228363E-2</v>
      </c>
    </row>
    <row r="880" spans="19:27" x14ac:dyDescent="0.2">
      <c r="S880" s="1"/>
      <c r="T880" s="109"/>
      <c r="W880" s="130" t="str">
        <f t="shared" si="23"/>
        <v>1w</v>
      </c>
      <c r="X880" s="128">
        <f>_xll.qlCalendarAdvance(Calendar,X879,W880,"f",FALSE)</f>
        <v>45406</v>
      </c>
      <c r="Y880" s="131">
        <f>_xll.qlCalendarAdvance(Calendar,X880,NDays&amp;"D")</f>
        <v>45408</v>
      </c>
      <c r="Z880" s="132">
        <v>1.9101503462298788E-2</v>
      </c>
      <c r="AA880" s="129">
        <v>1.891075097632644E-2</v>
      </c>
    </row>
    <row r="881" spans="19:27" x14ac:dyDescent="0.2">
      <c r="S881" s="1"/>
      <c r="T881" s="109"/>
      <c r="W881" s="130" t="str">
        <f t="shared" si="23"/>
        <v>1w</v>
      </c>
      <c r="X881" s="128">
        <f>_xll.qlCalendarAdvance(Calendar,X880,W881,"f",FALSE)</f>
        <v>45414</v>
      </c>
      <c r="Y881" s="131">
        <f>_xll.qlCalendarAdvance(Calendar,X881,NDays&amp;"D")</f>
        <v>45418</v>
      </c>
      <c r="Z881" s="132">
        <v>1.913523675574021E-2</v>
      </c>
      <c r="AA881" s="129">
        <v>1.8941666558607295E-2</v>
      </c>
    </row>
    <row r="882" spans="19:27" x14ac:dyDescent="0.2">
      <c r="S882" s="1"/>
      <c r="T882" s="109"/>
      <c r="W882" s="130" t="str">
        <f t="shared" si="23"/>
        <v>1w</v>
      </c>
      <c r="X882" s="128">
        <f>_xll.qlCalendarAdvance(Calendar,X881,W882,"f",FALSE)</f>
        <v>45421</v>
      </c>
      <c r="Y882" s="131">
        <f>_xll.qlCalendarAdvance(Calendar,X882,NDays&amp;"D")</f>
        <v>45425</v>
      </c>
      <c r="Z882" s="132">
        <v>1.9156897233445588E-2</v>
      </c>
      <c r="AA882" s="129">
        <v>1.8965994898909599E-2</v>
      </c>
    </row>
    <row r="883" spans="19:27" x14ac:dyDescent="0.2">
      <c r="S883" s="1"/>
      <c r="T883" s="109"/>
      <c r="W883" s="130" t="str">
        <f t="shared" si="23"/>
        <v>1w</v>
      </c>
      <c r="X883" s="128">
        <f>_xll.qlCalendarAdvance(Calendar,X882,W883,"f",FALSE)</f>
        <v>45428</v>
      </c>
      <c r="Y883" s="131">
        <f>_xll.qlCalendarAdvance(Calendar,X883,NDays&amp;"D")</f>
        <v>45432</v>
      </c>
      <c r="Z883" s="132">
        <v>1.91781292713873E-2</v>
      </c>
      <c r="AA883" s="129">
        <v>1.8989896749248558E-2</v>
      </c>
    </row>
    <row r="884" spans="19:27" x14ac:dyDescent="0.2">
      <c r="S884" s="1"/>
      <c r="T884" s="109"/>
      <c r="W884" s="130" t="str">
        <f t="shared" si="23"/>
        <v>1w</v>
      </c>
      <c r="X884" s="128">
        <f>_xll.qlCalendarAdvance(Calendar,X883,W884,"f",FALSE)</f>
        <v>45435</v>
      </c>
      <c r="Y884" s="131">
        <f>_xll.qlCalendarAdvance(Calendar,X884,NDays&amp;"D")</f>
        <v>45439</v>
      </c>
      <c r="Z884" s="132">
        <v>1.919893286262481E-2</v>
      </c>
      <c r="AA884" s="129">
        <v>1.9013372109943916E-2</v>
      </c>
    </row>
    <row r="885" spans="19:27" x14ac:dyDescent="0.2">
      <c r="S885" s="1"/>
      <c r="T885" s="109"/>
      <c r="W885" s="130" t="str">
        <f t="shared" si="23"/>
        <v>1w</v>
      </c>
      <c r="X885" s="128">
        <f>_xll.qlCalendarAdvance(Calendar,X884,W885,"f",FALSE)</f>
        <v>45442</v>
      </c>
      <c r="Y885" s="131">
        <f>_xll.qlCalendarAdvance(Calendar,X885,NDays&amp;"D")</f>
        <v>45446</v>
      </c>
      <c r="Z885" s="132">
        <v>1.9219308000354866E-2</v>
      </c>
      <c r="AA885" s="129">
        <v>1.9036420980595992E-2</v>
      </c>
    </row>
    <row r="886" spans="19:27" x14ac:dyDescent="0.2">
      <c r="S886" s="1"/>
      <c r="T886" s="109"/>
      <c r="W886" s="130" t="str">
        <f t="shared" si="23"/>
        <v>1w</v>
      </c>
      <c r="X886" s="128">
        <f>_xll.qlCalendarAdvance(Calendar,X885,W886,"f",FALSE)</f>
        <v>45449</v>
      </c>
      <c r="Y886" s="131">
        <f>_xll.qlCalendarAdvance(Calendar,X886,NDays&amp;"D")</f>
        <v>45453</v>
      </c>
      <c r="Z886" s="132">
        <v>1.9239254677916706E-2</v>
      </c>
      <c r="AA886" s="129">
        <v>1.9059043361204786E-2</v>
      </c>
    </row>
    <row r="887" spans="19:27" x14ac:dyDescent="0.2">
      <c r="S887" s="1"/>
      <c r="T887" s="109"/>
      <c r="W887" s="130" t="str">
        <f t="shared" si="23"/>
        <v>1w</v>
      </c>
      <c r="X887" s="128">
        <f>_xll.qlCalendarAdvance(Calendar,X886,W887,"f",FALSE)</f>
        <v>45456</v>
      </c>
      <c r="Y887" s="131">
        <f>_xll.qlCalendarAdvance(Calendar,X887,NDays&amp;"D")</f>
        <v>45460</v>
      </c>
      <c r="Z887" s="132">
        <v>1.9258777381912725E-2</v>
      </c>
      <c r="AA887" s="129">
        <v>1.9081239251850235E-2</v>
      </c>
    </row>
    <row r="888" spans="19:27" x14ac:dyDescent="0.2">
      <c r="S888" s="1"/>
      <c r="T888" s="109"/>
      <c r="W888" s="130" t="str">
        <f t="shared" si="23"/>
        <v>1w</v>
      </c>
      <c r="X888" s="128">
        <f>_xll.qlCalendarAdvance(Calendar,X887,W888,"f",FALSE)</f>
        <v>45463</v>
      </c>
      <c r="Y888" s="131">
        <f>_xll.qlCalendarAdvance(Calendar,X888,NDays&amp;"D")</f>
        <v>45467</v>
      </c>
      <c r="Z888" s="132">
        <v>1.9277908327704606E-2</v>
      </c>
      <c r="AA888" s="129">
        <v>1.910300865229253E-2</v>
      </c>
    </row>
    <row r="889" spans="19:27" x14ac:dyDescent="0.2">
      <c r="S889" s="1"/>
      <c r="T889" s="109"/>
      <c r="W889" s="130" t="str">
        <f t="shared" si="23"/>
        <v>1w</v>
      </c>
      <c r="X889" s="128">
        <f>_xll.qlCalendarAdvance(Calendar,X888,W889,"f",FALSE)</f>
        <v>45470</v>
      </c>
      <c r="Y889" s="131">
        <f>_xll.qlCalendarAdvance(Calendar,X889,NDays&amp;"D")</f>
        <v>45474</v>
      </c>
      <c r="Z889" s="132">
        <v>1.9296690298668324E-2</v>
      </c>
      <c r="AA889" s="129">
        <v>1.9124351562531672E-2</v>
      </c>
    </row>
    <row r="890" spans="19:27" x14ac:dyDescent="0.2">
      <c r="S890" s="1"/>
      <c r="T890" s="109"/>
      <c r="W890" s="130" t="str">
        <f t="shared" si="23"/>
        <v>1w</v>
      </c>
      <c r="X890" s="128">
        <f>_xll.qlCalendarAdvance(Calendar,X889,W890,"f",FALSE)</f>
        <v>45477</v>
      </c>
      <c r="Y890" s="131">
        <f>_xll.qlCalendarAdvance(Calendar,X890,NDays&amp;"D")</f>
        <v>45481</v>
      </c>
      <c r="Z890" s="132">
        <v>1.9315166099896388E-2</v>
      </c>
      <c r="AA890" s="129">
        <v>1.9145267982407788E-2</v>
      </c>
    </row>
    <row r="891" spans="19:27" x14ac:dyDescent="0.2">
      <c r="S891" s="1"/>
      <c r="T891" s="109"/>
      <c r="W891" s="130" t="str">
        <f t="shared" si="23"/>
        <v>1w</v>
      </c>
      <c r="X891" s="128">
        <f>_xll.qlCalendarAdvance(Calendar,X890,W891,"f",FALSE)</f>
        <v>45484</v>
      </c>
      <c r="Y891" s="131">
        <f>_xll.qlCalendarAdvance(Calendar,X891,NDays&amp;"D")</f>
        <v>45488</v>
      </c>
      <c r="Z891" s="132">
        <v>1.9333378537370171E-2</v>
      </c>
      <c r="AA891" s="129">
        <v>1.9165757911920878E-2</v>
      </c>
    </row>
    <row r="892" spans="19:27" x14ac:dyDescent="0.2">
      <c r="S892" s="1"/>
      <c r="T892" s="109"/>
      <c r="W892" s="130" t="str">
        <f t="shared" si="23"/>
        <v>1w</v>
      </c>
      <c r="X892" s="128">
        <f>_xll.qlCalendarAdvance(Calendar,X891,W892,"f",FALSE)</f>
        <v>45491</v>
      </c>
      <c r="Y892" s="131">
        <f>_xll.qlCalendarAdvance(Calendar,X892,NDays&amp;"D")</f>
        <v>45495</v>
      </c>
      <c r="Z892" s="132">
        <v>1.9351370417918189E-2</v>
      </c>
      <c r="AA892" s="129">
        <v>1.918582135091107E-2</v>
      </c>
    </row>
    <row r="893" spans="19:27" x14ac:dyDescent="0.2">
      <c r="S893" s="1"/>
      <c r="T893" s="109"/>
      <c r="W893" s="130" t="str">
        <f t="shared" si="23"/>
        <v>1w</v>
      </c>
      <c r="X893" s="128">
        <f>_xll.qlCalendarAdvance(Calendar,X892,W893,"f",FALSE)</f>
        <v>45498</v>
      </c>
      <c r="Y893" s="131">
        <f>_xll.qlCalendarAdvance(Calendar,X893,NDays&amp;"D")</f>
        <v>45502</v>
      </c>
      <c r="Z893" s="132">
        <v>1.9369184549197855E-2</v>
      </c>
      <c r="AA893" s="129">
        <v>1.9205458299378364E-2</v>
      </c>
    </row>
    <row r="894" spans="19:27" x14ac:dyDescent="0.2">
      <c r="S894" s="1"/>
      <c r="T894" s="109"/>
      <c r="W894" s="130" t="str">
        <f t="shared" si="23"/>
        <v>1w</v>
      </c>
      <c r="X894" s="128">
        <f>_xll.qlCalendarAdvance(Calendar,X893,W894,"f",FALSE)</f>
        <v>45505</v>
      </c>
      <c r="Y894" s="131">
        <f>_xll.qlCalendarAdvance(Calendar,X894,NDays&amp;"D")</f>
        <v>45509</v>
      </c>
      <c r="Z894" s="132">
        <v>1.9386863739670301E-2</v>
      </c>
      <c r="AA894" s="129">
        <v>1.922466875732276E-2</v>
      </c>
    </row>
    <row r="895" spans="19:27" x14ac:dyDescent="0.2">
      <c r="S895" s="1"/>
      <c r="T895" s="109"/>
      <c r="W895" s="130" t="str">
        <f t="shared" si="23"/>
        <v>1w</v>
      </c>
      <c r="X895" s="128">
        <f>_xll.qlCalendarAdvance(Calendar,X894,W895,"f",FALSE)</f>
        <v>45512</v>
      </c>
      <c r="Y895" s="131">
        <f>_xll.qlCalendarAdvance(Calendar,X895,NDays&amp;"D")</f>
        <v>45516</v>
      </c>
      <c r="Z895" s="132">
        <v>1.9404450798583842E-2</v>
      </c>
      <c r="AA895" s="129">
        <v>1.9243452724584387E-2</v>
      </c>
    </row>
    <row r="896" spans="19:27" x14ac:dyDescent="0.2">
      <c r="S896" s="1"/>
      <c r="T896" s="109"/>
      <c r="W896" s="130" t="str">
        <f t="shared" si="23"/>
        <v>1w</v>
      </c>
      <c r="X896" s="128">
        <f>_xll.qlCalendarAdvance(Calendar,X895,W896,"f",FALSE)</f>
        <v>45519</v>
      </c>
      <c r="Y896" s="131">
        <f>_xll.qlCalendarAdvance(Calendar,X896,NDays&amp;"D")</f>
        <v>45523</v>
      </c>
      <c r="Z896" s="132">
        <v>1.9421988535958355E-2</v>
      </c>
      <c r="AA896" s="129">
        <v>1.9261810201003371E-2</v>
      </c>
    </row>
    <row r="897" spans="19:27" x14ac:dyDescent="0.2">
      <c r="S897" s="1"/>
      <c r="T897" s="109"/>
      <c r="W897" s="130" t="str">
        <f t="shared" si="23"/>
        <v>1w</v>
      </c>
      <c r="X897" s="128">
        <f>_xll.qlCalendarAdvance(Calendar,X896,W897,"f",FALSE)</f>
        <v>45526</v>
      </c>
      <c r="Y897" s="131">
        <f>_xll.qlCalendarAdvance(Calendar,X897,NDays&amp;"D")</f>
        <v>45530</v>
      </c>
      <c r="Z897" s="132">
        <v>1.9439519762586146E-2</v>
      </c>
      <c r="AA897" s="129">
        <v>1.9279741186739585E-2</v>
      </c>
    </row>
    <row r="898" spans="19:27" x14ac:dyDescent="0.2">
      <c r="S898" s="1"/>
      <c r="T898" s="109"/>
      <c r="W898" s="130" t="str">
        <f t="shared" si="23"/>
        <v>1w</v>
      </c>
      <c r="X898" s="128">
        <f>_xll.qlCalendarAdvance(Calendar,X897,W898,"f",FALSE)</f>
        <v>45533</v>
      </c>
      <c r="Y898" s="131">
        <f>_xll.qlCalendarAdvance(Calendar,X898,NDays&amp;"D")</f>
        <v>45537</v>
      </c>
      <c r="Z898" s="132">
        <v>1.9455287134193582E-2</v>
      </c>
      <c r="AA898" s="129">
        <v>1.9297245681553221E-2</v>
      </c>
    </row>
    <row r="899" spans="19:27" x14ac:dyDescent="0.2">
      <c r="S899" s="1"/>
      <c r="T899" s="109"/>
      <c r="W899" s="130" t="str">
        <f t="shared" si="23"/>
        <v>1w</v>
      </c>
      <c r="X899" s="128">
        <f>_xll.qlCalendarAdvance(Calendar,X898,W899,"f",FALSE)</f>
        <v>45540</v>
      </c>
      <c r="Y899" s="131">
        <f>_xll.qlCalendarAdvance(Calendar,X899,NDays&amp;"D")</f>
        <v>45544</v>
      </c>
      <c r="Z899" s="132">
        <v>1.9472923405596858E-2</v>
      </c>
      <c r="AA899" s="129">
        <v>1.9314323685364343E-2</v>
      </c>
    </row>
    <row r="900" spans="19:27" x14ac:dyDescent="0.2">
      <c r="S900" s="1"/>
      <c r="T900" s="109"/>
      <c r="W900" s="130" t="str">
        <f t="shared" si="23"/>
        <v>1w</v>
      </c>
      <c r="X900" s="128">
        <f>_xll.qlCalendarAdvance(Calendar,X899,W900,"f",FALSE)</f>
        <v>45547</v>
      </c>
      <c r="Y900" s="131">
        <f>_xll.qlCalendarAdvance(Calendar,X900,NDays&amp;"D")</f>
        <v>45551</v>
      </c>
      <c r="Z900" s="132">
        <v>1.9490678832463654E-2</v>
      </c>
      <c r="AA900" s="129">
        <v>1.9331148504821982E-2</v>
      </c>
    </row>
    <row r="901" spans="19:27" x14ac:dyDescent="0.2">
      <c r="S901" s="1"/>
      <c r="T901" s="109"/>
      <c r="W901" s="130" t="str">
        <f t="shared" si="23"/>
        <v>1w</v>
      </c>
      <c r="X901" s="128">
        <f>_xll.qlCalendarAdvance(Calendar,X900,W901,"f",FALSE)</f>
        <v>45554</v>
      </c>
      <c r="Y901" s="131">
        <f>_xll.qlCalendarAdvance(Calendar,X901,NDays&amp;"D")</f>
        <v>45558</v>
      </c>
      <c r="Z901" s="132">
        <v>1.9508568242743822E-2</v>
      </c>
      <c r="AA901" s="129">
        <v>1.9348093415416656E-2</v>
      </c>
    </row>
    <row r="902" spans="19:27" x14ac:dyDescent="0.2">
      <c r="S902" s="1"/>
      <c r="T902" s="109"/>
      <c r="W902" s="130" t="str">
        <f t="shared" si="23"/>
        <v>1w</v>
      </c>
      <c r="X902" s="128">
        <f>_xll.qlCalendarAdvance(Calendar,X901,W902,"f",FALSE)</f>
        <v>45561</v>
      </c>
      <c r="Y902" s="131">
        <f>_xll.qlCalendarAdvance(Calendar,X902,NDays&amp;"D")</f>
        <v>45565</v>
      </c>
      <c r="Z902" s="132">
        <v>1.9528433978600362E-2</v>
      </c>
      <c r="AA902" s="129">
        <v>1.9365171748404464E-2</v>
      </c>
    </row>
    <row r="903" spans="19:27" x14ac:dyDescent="0.2">
      <c r="S903" s="1"/>
      <c r="T903" s="109"/>
      <c r="W903" s="130" t="str">
        <f t="shared" si="23"/>
        <v>1w</v>
      </c>
      <c r="X903" s="128">
        <f>_xll.qlCalendarAdvance(Calendar,X902,W903,"f",FALSE)</f>
        <v>45568</v>
      </c>
      <c r="Y903" s="131">
        <f>_xll.qlCalendarAdvance(Calendar,X903,NDays&amp;"D")</f>
        <v>45572</v>
      </c>
      <c r="Z903" s="132">
        <v>1.9546602263845313E-2</v>
      </c>
      <c r="AA903" s="129">
        <v>1.9382383503705469E-2</v>
      </c>
    </row>
    <row r="904" spans="19:27" x14ac:dyDescent="0.2">
      <c r="S904" s="1"/>
      <c r="T904" s="109"/>
      <c r="W904" s="130" t="str">
        <f t="shared" si="23"/>
        <v>1w</v>
      </c>
      <c r="X904" s="128">
        <f>_xll.qlCalendarAdvance(Calendar,X903,W904,"f",FALSE)</f>
        <v>45575</v>
      </c>
      <c r="Y904" s="131">
        <f>_xll.qlCalendarAdvance(Calendar,X904,NDays&amp;"D")</f>
        <v>45579</v>
      </c>
      <c r="Z904" s="132">
        <v>1.9564904714533371E-2</v>
      </c>
      <c r="AA904" s="129">
        <v>1.9399728681639417E-2</v>
      </c>
    </row>
    <row r="905" spans="19:27" x14ac:dyDescent="0.2">
      <c r="S905" s="1"/>
      <c r="T905" s="109"/>
      <c r="W905" s="130" t="str">
        <f t="shared" si="23"/>
        <v>1w</v>
      </c>
      <c r="X905" s="128">
        <f>_xll.qlCalendarAdvance(Calendar,X904,W905,"f",FALSE)</f>
        <v>45582</v>
      </c>
      <c r="Y905" s="131">
        <f>_xll.qlCalendarAdvance(Calendar,X905,NDays&amp;"D")</f>
        <v>45586</v>
      </c>
      <c r="Z905" s="132">
        <v>1.9583341332536943E-2</v>
      </c>
      <c r="AA905" s="129">
        <v>1.9417207281966498E-2</v>
      </c>
    </row>
    <row r="906" spans="19:27" x14ac:dyDescent="0.2">
      <c r="S906" s="1"/>
      <c r="T906" s="109"/>
      <c r="W906" s="130" t="str">
        <f t="shared" si="23"/>
        <v>1w</v>
      </c>
      <c r="X906" s="128">
        <f>_xll.qlCalendarAdvance(Calendar,X905,W906,"f",FALSE)</f>
        <v>45589</v>
      </c>
      <c r="Y906" s="131">
        <f>_xll.qlCalendarAdvance(Calendar,X906,NDays&amp;"D")</f>
        <v>45593</v>
      </c>
      <c r="Z906" s="132">
        <v>1.9601912119742354E-2</v>
      </c>
      <c r="AA906" s="129">
        <v>1.9434819304846584E-2</v>
      </c>
    </row>
    <row r="907" spans="19:27" x14ac:dyDescent="0.2">
      <c r="S907" s="1"/>
      <c r="T907" s="109"/>
      <c r="W907" s="130" t="str">
        <f t="shared" si="23"/>
        <v>1w</v>
      </c>
      <c r="X907" s="128">
        <f>_xll.qlCalendarAdvance(Calendar,X906,W907,"f",FALSE)</f>
        <v>45596</v>
      </c>
      <c r="Y907" s="131">
        <f>_xll.qlCalendarAdvance(Calendar,X907,NDays&amp;"D")</f>
        <v>45600</v>
      </c>
      <c r="Z907" s="132">
        <v>1.9620617078048082E-2</v>
      </c>
      <c r="AA907" s="129">
        <v>1.9452564750199741E-2</v>
      </c>
    </row>
    <row r="908" spans="19:27" x14ac:dyDescent="0.2">
      <c r="S908" s="1"/>
      <c r="T908" s="109"/>
      <c r="W908" s="130" t="str">
        <f t="shared" si="23"/>
        <v>1w</v>
      </c>
      <c r="X908" s="128">
        <f>_xll.qlCalendarAdvance(Calendar,X907,W908,"f",FALSE)</f>
        <v>45603</v>
      </c>
      <c r="Y908" s="131">
        <f>_xll.qlCalendarAdvance(Calendar,X908,NDays&amp;"D")</f>
        <v>45607</v>
      </c>
      <c r="Z908" s="132">
        <v>1.9639456209369115E-2</v>
      </c>
      <c r="AA908" s="129">
        <v>1.947044361818584E-2</v>
      </c>
    </row>
    <row r="909" spans="19:27" x14ac:dyDescent="0.2">
      <c r="S909" s="1"/>
      <c r="T909" s="109"/>
      <c r="W909" s="130" t="str">
        <f t="shared" si="23"/>
        <v>1w</v>
      </c>
      <c r="X909" s="128">
        <f>_xll.qlCalendarAdvance(Calendar,X908,W909,"f",FALSE)</f>
        <v>45610</v>
      </c>
      <c r="Y909" s="131">
        <f>_xll.qlCalendarAdvance(Calendar,X909,NDays&amp;"D")</f>
        <v>45614</v>
      </c>
      <c r="Z909" s="132">
        <v>1.9658429515632611E-2</v>
      </c>
      <c r="AA909" s="129">
        <v>1.9488455908565072E-2</v>
      </c>
    </row>
    <row r="910" spans="19:27" x14ac:dyDescent="0.2">
      <c r="S910" s="1"/>
      <c r="T910" s="109"/>
      <c r="W910" s="130" t="str">
        <f t="shared" si="23"/>
        <v>1w</v>
      </c>
      <c r="X910" s="128">
        <f>_xll.qlCalendarAdvance(Calendar,X909,W910,"f",FALSE)</f>
        <v>45617</v>
      </c>
      <c r="Y910" s="131">
        <f>_xll.qlCalendarAdvance(Calendar,X910,NDays&amp;"D")</f>
        <v>45621</v>
      </c>
      <c r="Z910" s="132">
        <v>1.9677536998778753E-2</v>
      </c>
      <c r="AA910" s="129">
        <v>1.9506601621577246E-2</v>
      </c>
    </row>
    <row r="911" spans="19:27" x14ac:dyDescent="0.2">
      <c r="S911" s="1"/>
      <c r="T911" s="109"/>
      <c r="W911" s="130" t="str">
        <f t="shared" si="23"/>
        <v>1w</v>
      </c>
      <c r="X911" s="128">
        <f>_xll.qlCalendarAdvance(Calendar,X910,W911,"f",FALSE)</f>
        <v>45624</v>
      </c>
      <c r="Y911" s="131">
        <f>_xll.qlCalendarAdvance(Calendar,X911,NDays&amp;"D")</f>
        <v>45628</v>
      </c>
      <c r="Z911" s="132">
        <v>1.9694841091454304E-2</v>
      </c>
      <c r="AA911" s="129">
        <v>1.9524880757222363E-2</v>
      </c>
    </row>
    <row r="912" spans="19:27" x14ac:dyDescent="0.2">
      <c r="S912" s="1"/>
      <c r="T912" s="109"/>
      <c r="W912" s="130" t="str">
        <f t="shared" si="23"/>
        <v>1w</v>
      </c>
      <c r="X912" s="128">
        <f>_xll.qlCalendarAdvance(Calendar,X911,W912,"f",FALSE)</f>
        <v>45631</v>
      </c>
      <c r="Y912" s="131">
        <f>_xll.qlCalendarAdvance(Calendar,X912,NDays&amp;"D")</f>
        <v>45635</v>
      </c>
      <c r="Z912" s="132">
        <v>1.9714206292386353E-2</v>
      </c>
      <c r="AA912" s="129">
        <v>1.9543293315420485E-2</v>
      </c>
    </row>
    <row r="913" spans="19:27" x14ac:dyDescent="0.2">
      <c r="S913" s="1"/>
      <c r="T913" s="109"/>
      <c r="W913" s="130" t="str">
        <f t="shared" si="23"/>
        <v>1w</v>
      </c>
      <c r="X913" s="128">
        <f>_xll.qlCalendarAdvance(Calendar,X912,W913,"f",FALSE)</f>
        <v>45638</v>
      </c>
      <c r="Y913" s="131">
        <f>_xll.qlCalendarAdvance(Calendar,X913,NDays&amp;"D")</f>
        <v>45642</v>
      </c>
      <c r="Z913" s="132">
        <v>1.9733705667590976E-2</v>
      </c>
      <c r="AA913" s="129">
        <v>1.9561839296331485E-2</v>
      </c>
    </row>
    <row r="914" spans="19:27" x14ac:dyDescent="0.2">
      <c r="S914" s="1"/>
      <c r="T914" s="109"/>
      <c r="W914" s="130" t="str">
        <f t="shared" si="23"/>
        <v>1w</v>
      </c>
      <c r="X914" s="128">
        <f>_xll.qlCalendarAdvance(Calendar,X913,W914,"f",FALSE)</f>
        <v>45645</v>
      </c>
      <c r="Y914" s="131">
        <f>_xll.qlCalendarAdvance(Calendar,X914,NDays&amp;"D")</f>
        <v>45649</v>
      </c>
      <c r="Z914" s="132">
        <v>1.9753339219041974E-2</v>
      </c>
      <c r="AA914" s="129">
        <v>1.9580518699955363E-2</v>
      </c>
    </row>
    <row r="915" spans="19:27" x14ac:dyDescent="0.2">
      <c r="S915" s="1"/>
      <c r="T915" s="109"/>
      <c r="W915" s="130" t="str">
        <f t="shared" si="23"/>
        <v>1w</v>
      </c>
      <c r="X915" s="128">
        <f>_xll.qlCalendarAdvance(Calendar,X914,W915,"f",FALSE)</f>
        <v>45653</v>
      </c>
      <c r="Y915" s="131">
        <f>_xll.qlCalendarAdvance(Calendar,X915,NDays&amp;"D")</f>
        <v>45657</v>
      </c>
      <c r="Z915" s="132">
        <v>1.9773961241138949E-2</v>
      </c>
      <c r="AA915" s="129">
        <v>1.9603914284584967E-2</v>
      </c>
    </row>
    <row r="916" spans="19:27" x14ac:dyDescent="0.2">
      <c r="S916" s="1"/>
      <c r="T916" s="109"/>
      <c r="W916" s="130" t="str">
        <f t="shared" si="23"/>
        <v>1w</v>
      </c>
      <c r="X916" s="128">
        <f>_xll.qlCalendarAdvance(Calendar,X915,W916,"f",FALSE)</f>
        <v>45660</v>
      </c>
      <c r="Y916" s="131">
        <f>_xll.qlCalendarAdvance(Calendar,X916,NDays&amp;"D")</f>
        <v>45664</v>
      </c>
      <c r="Z916" s="132">
        <v>1.9793871643817518E-2</v>
      </c>
      <c r="AA916" s="129">
        <v>1.962099527372807E-2</v>
      </c>
    </row>
    <row r="917" spans="19:27" x14ac:dyDescent="0.2">
      <c r="S917" s="1"/>
      <c r="T917" s="109"/>
      <c r="W917" s="130" t="str">
        <f t="shared" ref="W917:W980" si="24">W916</f>
        <v>1w</v>
      </c>
      <c r="X917" s="128">
        <f>_xll.qlCalendarAdvance(Calendar,X916,W917,"f",FALSE)</f>
        <v>45667</v>
      </c>
      <c r="Y917" s="131">
        <f>_xll.qlCalendarAdvance(Calendar,X917,NDays&amp;"D")</f>
        <v>45671</v>
      </c>
      <c r="Z917" s="132">
        <v>1.9813916220424943E-2</v>
      </c>
      <c r="AA917" s="129">
        <v>1.9640094005763942E-2</v>
      </c>
    </row>
    <row r="918" spans="19:27" x14ac:dyDescent="0.2">
      <c r="S918" s="1"/>
      <c r="T918" s="109"/>
      <c r="W918" s="130" t="str">
        <f t="shared" si="24"/>
        <v>1w</v>
      </c>
      <c r="X918" s="128">
        <f>_xll.qlCalendarAdvance(Calendar,X917,W918,"f",FALSE)</f>
        <v>45674</v>
      </c>
      <c r="Y918" s="131">
        <f>_xll.qlCalendarAdvance(Calendar,X918,NDays&amp;"D")</f>
        <v>45678</v>
      </c>
      <c r="Z918" s="132">
        <v>1.9836107649251797E-2</v>
      </c>
      <c r="AA918" s="129">
        <v>1.9659326160512691E-2</v>
      </c>
    </row>
    <row r="919" spans="19:27" x14ac:dyDescent="0.2">
      <c r="S919" s="1"/>
      <c r="T919" s="109"/>
      <c r="W919" s="130" t="str">
        <f t="shared" si="24"/>
        <v>1w</v>
      </c>
      <c r="X919" s="128">
        <f>_xll.qlCalendarAdvance(Calendar,X918,W919,"f",FALSE)</f>
        <v>45681</v>
      </c>
      <c r="Y919" s="131">
        <f>_xll.qlCalendarAdvance(Calendar,X919,NDays&amp;"D")</f>
        <v>45685</v>
      </c>
      <c r="Z919" s="132">
        <v>1.9854407903464377E-2</v>
      </c>
      <c r="AA919" s="129">
        <v>1.9678691738134191E-2</v>
      </c>
    </row>
    <row r="920" spans="19:27" x14ac:dyDescent="0.2">
      <c r="S920" s="1"/>
      <c r="T920" s="109"/>
      <c r="W920" s="130" t="str">
        <f t="shared" si="24"/>
        <v>1w</v>
      </c>
      <c r="X920" s="128">
        <f>_xll.qlCalendarAdvance(Calendar,X919,W920,"f",FALSE)</f>
        <v>45688</v>
      </c>
      <c r="Y920" s="131">
        <f>_xll.qlCalendarAdvance(Calendar,X920,NDays&amp;"D")</f>
        <v>45692</v>
      </c>
      <c r="Z920" s="132">
        <v>1.9874855013949144E-2</v>
      </c>
      <c r="AA920" s="129">
        <v>1.9698190738468568E-2</v>
      </c>
    </row>
    <row r="921" spans="19:27" x14ac:dyDescent="0.2">
      <c r="S921" s="1"/>
      <c r="T921" s="109"/>
      <c r="W921" s="130" t="str">
        <f t="shared" si="24"/>
        <v>1w</v>
      </c>
      <c r="X921" s="128">
        <f>_xll.qlCalendarAdvance(Calendar,X920,W921,"f",FALSE)</f>
        <v>45695</v>
      </c>
      <c r="Y921" s="131">
        <f>_xll.qlCalendarAdvance(Calendar,X921,NDays&amp;"D")</f>
        <v>45699</v>
      </c>
      <c r="Z921" s="132">
        <v>1.9895436306467396E-2</v>
      </c>
      <c r="AA921" s="129">
        <v>1.971782316159576E-2</v>
      </c>
    </row>
    <row r="922" spans="19:27" x14ac:dyDescent="0.2">
      <c r="S922" s="1"/>
      <c r="T922" s="109"/>
      <c r="W922" s="130" t="str">
        <f t="shared" si="24"/>
        <v>1w</v>
      </c>
      <c r="X922" s="128">
        <f>_xll.qlCalendarAdvance(Calendar,X921,W922,"f",FALSE)</f>
        <v>45702</v>
      </c>
      <c r="Y922" s="131">
        <f>_xll.qlCalendarAdvance(Calendar,X922,NDays&amp;"D")</f>
        <v>45706</v>
      </c>
      <c r="Z922" s="132">
        <v>1.9916151783080593E-2</v>
      </c>
      <c r="AA922" s="129">
        <v>1.9737589007515766E-2</v>
      </c>
    </row>
    <row r="923" spans="19:27" x14ac:dyDescent="0.2">
      <c r="S923" s="1"/>
      <c r="T923" s="109"/>
      <c r="W923" s="130" t="str">
        <f t="shared" si="24"/>
        <v>1w</v>
      </c>
      <c r="X923" s="128">
        <f>_xll.qlCalendarAdvance(Calendar,X922,W923,"f",FALSE)</f>
        <v>45709</v>
      </c>
      <c r="Y923" s="131">
        <f>_xll.qlCalendarAdvance(Calendar,X923,NDays&amp;"D")</f>
        <v>45713</v>
      </c>
      <c r="Z923" s="132">
        <v>1.993700144585997E-2</v>
      </c>
      <c r="AA923" s="129">
        <v>1.9757488276388457E-2</v>
      </c>
    </row>
    <row r="924" spans="19:27" x14ac:dyDescent="0.2">
      <c r="S924" s="1"/>
      <c r="T924" s="109"/>
      <c r="W924" s="130" t="str">
        <f t="shared" si="24"/>
        <v>1w</v>
      </c>
      <c r="X924" s="128">
        <f>_xll.qlCalendarAdvance(Calendar,X923,W924,"f",FALSE)</f>
        <v>45716</v>
      </c>
      <c r="Y924" s="131">
        <f>_xll.qlCalendarAdvance(Calendar,X924,NDays&amp;"D")</f>
        <v>45720</v>
      </c>
      <c r="Z924" s="132">
        <v>1.9962140435410392E-2</v>
      </c>
      <c r="AA924" s="129">
        <v>1.9777520968133899E-2</v>
      </c>
    </row>
    <row r="925" spans="19:27" x14ac:dyDescent="0.2">
      <c r="S925" s="1"/>
      <c r="T925" s="109"/>
      <c r="W925" s="130" t="str">
        <f t="shared" si="24"/>
        <v>1w</v>
      </c>
      <c r="X925" s="128">
        <f>_xll.qlCalendarAdvance(Calendar,X924,W925,"f",FALSE)</f>
        <v>45723</v>
      </c>
      <c r="Y925" s="131">
        <f>_xll.qlCalendarAdvance(Calendar,X925,NDays&amp;"D")</f>
        <v>45727</v>
      </c>
      <c r="Z925" s="132">
        <v>1.9983279986778919E-2</v>
      </c>
      <c r="AA925" s="129">
        <v>1.9797687082752091E-2</v>
      </c>
    </row>
    <row r="926" spans="19:27" x14ac:dyDescent="0.2">
      <c r="S926" s="1"/>
      <c r="T926" s="109"/>
      <c r="W926" s="130" t="str">
        <f t="shared" si="24"/>
        <v>1w</v>
      </c>
      <c r="X926" s="128">
        <f>_xll.qlCalendarAdvance(Calendar,X925,W926,"f",FALSE)</f>
        <v>45730</v>
      </c>
      <c r="Y926" s="131">
        <f>_xll.qlCalendarAdvance(Calendar,X926,NDays&amp;"D")</f>
        <v>45734</v>
      </c>
      <c r="Z926" s="132">
        <v>2.0004553748266988E-2</v>
      </c>
      <c r="AA926" s="129">
        <v>1.9817986620243033E-2</v>
      </c>
    </row>
    <row r="927" spans="19:27" x14ac:dyDescent="0.2">
      <c r="S927" s="1"/>
      <c r="T927" s="109"/>
      <c r="W927" s="130" t="str">
        <f t="shared" si="24"/>
        <v>1w</v>
      </c>
      <c r="X927" s="128">
        <f>_xll.qlCalendarAdvance(Calendar,X926,W927,"f",FALSE)</f>
        <v>45737</v>
      </c>
      <c r="Y927" s="131">
        <f>_xll.qlCalendarAdvance(Calendar,X927,NDays&amp;"D")</f>
        <v>45741</v>
      </c>
      <c r="Z927" s="132">
        <v>2.0025961722050248E-2</v>
      </c>
      <c r="AA927" s="129">
        <v>1.9838419580766598E-2</v>
      </c>
    </row>
    <row r="928" spans="19:27" x14ac:dyDescent="0.2">
      <c r="S928" s="1"/>
      <c r="T928" s="109"/>
      <c r="W928" s="130" t="str">
        <f t="shared" si="24"/>
        <v>1w</v>
      </c>
      <c r="X928" s="128">
        <f>_xll.qlCalendarAdvance(Calendar,X927,W928,"f",FALSE)</f>
        <v>45744</v>
      </c>
      <c r="Y928" s="131">
        <f>_xll.qlCalendarAdvance(Calendar,X928,NDays&amp;"D")</f>
        <v>45748</v>
      </c>
      <c r="Z928" s="132">
        <v>2.0045382714494662E-2</v>
      </c>
      <c r="AA928" s="129">
        <v>1.9858985964162912E-2</v>
      </c>
    </row>
    <row r="929" spans="19:27" x14ac:dyDescent="0.2">
      <c r="S929" s="1"/>
      <c r="T929" s="109"/>
      <c r="W929" s="130" t="str">
        <f t="shared" si="24"/>
        <v>1w</v>
      </c>
      <c r="X929" s="128">
        <f>_xll.qlCalendarAdvance(Calendar,X928,W929,"f",FALSE)</f>
        <v>45751</v>
      </c>
      <c r="Y929" s="131">
        <f>_xll.qlCalendarAdvance(Calendar,X929,NDays&amp;"D")</f>
        <v>45755</v>
      </c>
      <c r="Z929" s="132">
        <v>2.0067048328347086E-2</v>
      </c>
      <c r="AA929" s="129">
        <v>1.9879685770591848E-2</v>
      </c>
    </row>
    <row r="930" spans="19:27" x14ac:dyDescent="0.2">
      <c r="S930" s="1"/>
      <c r="T930" s="109"/>
      <c r="W930" s="130" t="str">
        <f t="shared" si="24"/>
        <v>1w</v>
      </c>
      <c r="X930" s="128">
        <f>_xll.qlCalendarAdvance(Calendar,X929,W930,"f",FALSE)</f>
        <v>45758</v>
      </c>
      <c r="Y930" s="131">
        <f>_xll.qlCalendarAdvance(Calendar,X930,NDays&amp;"D")</f>
        <v>45762</v>
      </c>
      <c r="Z930" s="132">
        <v>2.0088848152179782E-2</v>
      </c>
      <c r="AA930" s="129">
        <v>1.9900519000053407E-2</v>
      </c>
    </row>
    <row r="931" spans="19:27" x14ac:dyDescent="0.2">
      <c r="S931" s="1"/>
      <c r="T931" s="109"/>
      <c r="W931" s="130" t="str">
        <f t="shared" si="24"/>
        <v>1w</v>
      </c>
      <c r="X931" s="128">
        <f>_xll.qlCalendarAdvance(Calendar,X930,W931,"f",FALSE)</f>
        <v>45769</v>
      </c>
      <c r="Y931" s="131">
        <f>_xll.qlCalendarAdvance(Calendar,X931,NDays&amp;"D")</f>
        <v>45771</v>
      </c>
      <c r="Z931" s="132">
        <v>2.0117073707162286E-2</v>
      </c>
      <c r="AA931" s="129">
        <v>1.9927500630982919E-2</v>
      </c>
    </row>
    <row r="932" spans="19:27" x14ac:dyDescent="0.2">
      <c r="S932" s="1"/>
      <c r="T932" s="109"/>
      <c r="W932" s="130" t="str">
        <f t="shared" si="24"/>
        <v>1w</v>
      </c>
      <c r="X932" s="128">
        <f>_xll.qlCalendarAdvance(Calendar,X931,W932,"f",FALSE)</f>
        <v>45776</v>
      </c>
      <c r="Y932" s="131">
        <f>_xll.qlCalendarAdvance(Calendar,X932,NDays&amp;"D")</f>
        <v>45779</v>
      </c>
      <c r="Z932" s="132">
        <v>2.0148859845563374E-2</v>
      </c>
      <c r="AA932" s="129">
        <v>1.9955809830314308E-2</v>
      </c>
    </row>
    <row r="933" spans="19:27" x14ac:dyDescent="0.2">
      <c r="S933" s="1"/>
      <c r="T933" s="109"/>
      <c r="W933" s="130" t="str">
        <f t="shared" si="24"/>
        <v>1w</v>
      </c>
      <c r="X933" s="128">
        <f>_xll.qlCalendarAdvance(Calendar,X932,W933,"f",FALSE)</f>
        <v>45783</v>
      </c>
      <c r="Y933" s="131">
        <f>_xll.qlCalendarAdvance(Calendar,X933,NDays&amp;"D")</f>
        <v>45785</v>
      </c>
      <c r="Z933" s="132">
        <v>2.0163599456025593E-2</v>
      </c>
      <c r="AA933" s="129">
        <v>1.9969910446882011E-2</v>
      </c>
    </row>
    <row r="934" spans="19:27" x14ac:dyDescent="0.2">
      <c r="S934" s="1"/>
      <c r="T934" s="109"/>
      <c r="W934" s="130" t="str">
        <f t="shared" si="24"/>
        <v>1w</v>
      </c>
      <c r="X934" s="128">
        <f>_xll.qlCalendarAdvance(Calendar,X933,W934,"f",FALSE)</f>
        <v>45790</v>
      </c>
      <c r="Y934" s="131">
        <f>_xll.qlCalendarAdvance(Calendar,X934,NDays&amp;"D")</f>
        <v>45792</v>
      </c>
      <c r="Z934" s="132">
        <v>2.018598532923116E-2</v>
      </c>
      <c r="AA934" s="129">
        <v>1.9991315489500394E-2</v>
      </c>
    </row>
    <row r="935" spans="19:27" x14ac:dyDescent="0.2">
      <c r="S935" s="1"/>
      <c r="T935" s="109"/>
      <c r="W935" s="130" t="str">
        <f t="shared" si="24"/>
        <v>1w</v>
      </c>
      <c r="X935" s="128">
        <f>_xll.qlCalendarAdvance(Calendar,X934,W935,"f",FALSE)</f>
        <v>45797</v>
      </c>
      <c r="Y935" s="131">
        <f>_xll.qlCalendarAdvance(Calendar,X935,NDays&amp;"D")</f>
        <v>45799</v>
      </c>
      <c r="Z935" s="132">
        <v>2.0208505433294461E-2</v>
      </c>
      <c r="AA935" s="129">
        <v>2.0012853955311272E-2</v>
      </c>
    </row>
    <row r="936" spans="19:27" x14ac:dyDescent="0.2">
      <c r="S936" s="1"/>
      <c r="T936" s="109"/>
      <c r="W936" s="130" t="str">
        <f t="shared" si="24"/>
        <v>1w</v>
      </c>
      <c r="X936" s="128">
        <f>_xll.qlCalendarAdvance(Calendar,X935,W936,"f",FALSE)</f>
        <v>45804</v>
      </c>
      <c r="Y936" s="131">
        <f>_xll.qlCalendarAdvance(Calendar,X936,NDays&amp;"D")</f>
        <v>45806</v>
      </c>
      <c r="Z936" s="132">
        <v>2.0231159770520608E-2</v>
      </c>
      <c r="AA936" s="129">
        <v>2.0034525844154771E-2</v>
      </c>
    </row>
    <row r="937" spans="19:27" x14ac:dyDescent="0.2">
      <c r="S937" s="1"/>
      <c r="T937" s="109"/>
      <c r="W937" s="130" t="str">
        <f t="shared" si="24"/>
        <v>1w</v>
      </c>
      <c r="X937" s="128">
        <f>_xll.qlCalendarAdvance(Calendar,X936,W937,"f",FALSE)</f>
        <v>45811</v>
      </c>
      <c r="Y937" s="131">
        <f>_xll.qlCalendarAdvance(Calendar,X937,NDays&amp;"D")</f>
        <v>45813</v>
      </c>
      <c r="Z937" s="132">
        <v>2.0253948343228613E-2</v>
      </c>
      <c r="AA937" s="129">
        <v>2.0056331156270701E-2</v>
      </c>
    </row>
    <row r="938" spans="19:27" x14ac:dyDescent="0.2">
      <c r="S938" s="1"/>
      <c r="T938" s="109"/>
      <c r="W938" s="130" t="str">
        <f t="shared" si="24"/>
        <v>1w</v>
      </c>
      <c r="X938" s="128">
        <f>_xll.qlCalendarAdvance(Calendar,X937,W938,"f",FALSE)</f>
        <v>45818</v>
      </c>
      <c r="Y938" s="131">
        <f>_xll.qlCalendarAdvance(Calendar,X938,NDays&amp;"D")</f>
        <v>45820</v>
      </c>
      <c r="Z938" s="132">
        <v>2.0276871141114549E-2</v>
      </c>
      <c r="AA938" s="129">
        <v>2.0078269891579126E-2</v>
      </c>
    </row>
    <row r="939" spans="19:27" x14ac:dyDescent="0.2">
      <c r="S939" s="1"/>
      <c r="T939" s="109"/>
      <c r="W939" s="130" t="str">
        <f t="shared" si="24"/>
        <v>1w</v>
      </c>
      <c r="X939" s="128">
        <f>_xll.qlCalendarAdvance(Calendar,X938,W939,"f",FALSE)</f>
        <v>45825</v>
      </c>
      <c r="Y939" s="131">
        <f>_xll.qlCalendarAdvance(Calendar,X939,NDays&amp;"D")</f>
        <v>45827</v>
      </c>
      <c r="Z939" s="132">
        <v>2.029992173553645E-2</v>
      </c>
      <c r="AA939" s="129">
        <v>2.0100342050080044E-2</v>
      </c>
    </row>
    <row r="940" spans="19:27" x14ac:dyDescent="0.2">
      <c r="S940" s="1"/>
      <c r="T940" s="109"/>
      <c r="W940" s="130" t="str">
        <f t="shared" si="24"/>
        <v>1w</v>
      </c>
      <c r="X940" s="128">
        <f>_xll.qlCalendarAdvance(Calendar,X939,W940,"f",FALSE)</f>
        <v>45832</v>
      </c>
      <c r="Y940" s="131">
        <f>_xll.qlCalendarAdvance(Calendar,X940,NDays&amp;"D")</f>
        <v>45834</v>
      </c>
      <c r="Z940" s="132">
        <v>2.0323076855753321E-2</v>
      </c>
      <c r="AA940" s="129">
        <v>2.012254763193333E-2</v>
      </c>
    </row>
    <row r="941" spans="19:27" x14ac:dyDescent="0.2">
      <c r="S941" s="1"/>
      <c r="T941" s="109"/>
      <c r="W941" s="130" t="str">
        <f t="shared" si="24"/>
        <v>1w</v>
      </c>
      <c r="X941" s="128">
        <f>_xll.qlCalendarAdvance(Calendar,X940,W941,"f",FALSE)</f>
        <v>45839</v>
      </c>
      <c r="Y941" s="131">
        <f>_xll.qlCalendarAdvance(Calendar,X941,NDays&amp;"D")</f>
        <v>45841</v>
      </c>
      <c r="Z941" s="132">
        <v>2.0346310501388538E-2</v>
      </c>
      <c r="AA941" s="129">
        <v>2.0144886636979109E-2</v>
      </c>
    </row>
    <row r="942" spans="19:27" x14ac:dyDescent="0.2">
      <c r="S942" s="1"/>
      <c r="T942" s="109"/>
      <c r="W942" s="130" t="str">
        <f t="shared" si="24"/>
        <v>1w</v>
      </c>
      <c r="X942" s="128">
        <f>_xll.qlCalendarAdvance(Calendar,X941,W942,"f",FALSE)</f>
        <v>45846</v>
      </c>
      <c r="Y942" s="131">
        <f>_xll.qlCalendarAdvance(Calendar,X942,NDays&amp;"D")</f>
        <v>45848</v>
      </c>
      <c r="Z942" s="132">
        <v>2.0369596671462466E-2</v>
      </c>
      <c r="AA942" s="129">
        <v>2.0167359065377255E-2</v>
      </c>
    </row>
    <row r="943" spans="19:27" x14ac:dyDescent="0.2">
      <c r="S943" s="1"/>
      <c r="T943" s="109"/>
      <c r="W943" s="130" t="str">
        <f t="shared" si="24"/>
        <v>1w</v>
      </c>
      <c r="X943" s="128">
        <f>_xll.qlCalendarAdvance(Calendar,X942,W943,"f",FALSE)</f>
        <v>45853</v>
      </c>
      <c r="Y943" s="131">
        <f>_xll.qlCalendarAdvance(Calendar,X943,NDays&amp;"D")</f>
        <v>45855</v>
      </c>
      <c r="Z943" s="132">
        <v>2.0392909364376838E-2</v>
      </c>
      <c r="AA943" s="129">
        <v>2.0189964917047831E-2</v>
      </c>
    </row>
    <row r="944" spans="19:27" x14ac:dyDescent="0.2">
      <c r="S944" s="1"/>
      <c r="T944" s="109"/>
      <c r="W944" s="130" t="str">
        <f t="shared" si="24"/>
        <v>1w</v>
      </c>
      <c r="X944" s="128">
        <f>_xll.qlCalendarAdvance(Calendar,X943,W944,"f",FALSE)</f>
        <v>45860</v>
      </c>
      <c r="Y944" s="131">
        <f>_xll.qlCalendarAdvance(Calendar,X944,NDays&amp;"D")</f>
        <v>45862</v>
      </c>
      <c r="Z944" s="132">
        <v>2.0416222577920837E-2</v>
      </c>
      <c r="AA944" s="129">
        <v>2.021270419215071E-2</v>
      </c>
    </row>
    <row r="945" spans="19:27" x14ac:dyDescent="0.2">
      <c r="S945" s="1"/>
      <c r="T945" s="109"/>
      <c r="W945" s="130" t="str">
        <f t="shared" si="24"/>
        <v>1w</v>
      </c>
      <c r="X945" s="128">
        <f>_xll.qlCalendarAdvance(Calendar,X944,W945,"f",FALSE)</f>
        <v>45867</v>
      </c>
      <c r="Y945" s="131">
        <f>_xll.qlCalendarAdvance(Calendar,X945,NDays&amp;"D")</f>
        <v>45869</v>
      </c>
      <c r="Z945" s="132">
        <v>2.0439510309267616E-2</v>
      </c>
      <c r="AA945" s="129">
        <v>2.0235576890685891E-2</v>
      </c>
    </row>
    <row r="946" spans="19:27" x14ac:dyDescent="0.2">
      <c r="S946" s="1"/>
      <c r="T946" s="109"/>
      <c r="W946" s="130" t="str">
        <f t="shared" si="24"/>
        <v>1w</v>
      </c>
      <c r="X946" s="128">
        <f>_xll.qlCalendarAdvance(Calendar,X945,W946,"f",FALSE)</f>
        <v>45874</v>
      </c>
      <c r="Y946" s="131">
        <f>_xll.qlCalendarAdvance(Calendar,X946,NDays&amp;"D")</f>
        <v>45876</v>
      </c>
      <c r="Z946" s="132">
        <v>2.0462746554974296E-2</v>
      </c>
      <c r="AA946" s="129">
        <v>2.0258583012493503E-2</v>
      </c>
    </row>
    <row r="947" spans="19:27" x14ac:dyDescent="0.2">
      <c r="S947" s="1"/>
      <c r="T947" s="109"/>
      <c r="W947" s="130" t="str">
        <f t="shared" si="24"/>
        <v>1w</v>
      </c>
      <c r="X947" s="128">
        <f>_xll.qlCalendarAdvance(Calendar,X946,W947,"f",FALSE)</f>
        <v>45881</v>
      </c>
      <c r="Y947" s="131">
        <f>_xll.qlCalendarAdvance(Calendar,X947,NDays&amp;"D")</f>
        <v>45883</v>
      </c>
      <c r="Z947" s="132">
        <v>2.0485905310982839E-2</v>
      </c>
      <c r="AA947" s="129">
        <v>2.0281722557813353E-2</v>
      </c>
    </row>
    <row r="948" spans="19:27" x14ac:dyDescent="0.2">
      <c r="S948" s="1"/>
      <c r="T948" s="109"/>
      <c r="W948" s="130" t="str">
        <f t="shared" si="24"/>
        <v>1w</v>
      </c>
      <c r="X948" s="128">
        <f>_xll.qlCalendarAdvance(Calendar,X947,W948,"f",FALSE)</f>
        <v>45888</v>
      </c>
      <c r="Y948" s="131">
        <f>_xll.qlCalendarAdvance(Calendar,X948,NDays&amp;"D")</f>
        <v>45890</v>
      </c>
      <c r="Z948" s="132">
        <v>2.0508960572629603E-2</v>
      </c>
      <c r="AA948" s="129">
        <v>2.0304995526565506E-2</v>
      </c>
    </row>
    <row r="949" spans="19:27" x14ac:dyDescent="0.2">
      <c r="S949" s="1"/>
      <c r="T949" s="109"/>
      <c r="W949" s="130" t="str">
        <f t="shared" si="24"/>
        <v>1w</v>
      </c>
      <c r="X949" s="128">
        <f>_xll.qlCalendarAdvance(Calendar,X948,W949,"f",FALSE)</f>
        <v>45895</v>
      </c>
      <c r="Y949" s="131">
        <f>_xll.qlCalendarAdvance(Calendar,X949,NDays&amp;"D")</f>
        <v>45897</v>
      </c>
      <c r="Z949" s="132">
        <v>2.0531886334647087E-2</v>
      </c>
      <c r="AA949" s="129">
        <v>2.0328401918749961E-2</v>
      </c>
    </row>
    <row r="950" spans="19:27" x14ac:dyDescent="0.2">
      <c r="S950" s="1"/>
      <c r="T950" s="109"/>
      <c r="W950" s="130" t="str">
        <f t="shared" si="24"/>
        <v>1w</v>
      </c>
      <c r="X950" s="128">
        <f>_xll.qlCalendarAdvance(Calendar,X949,W950,"f",FALSE)</f>
        <v>45902</v>
      </c>
      <c r="Y950" s="131">
        <f>_xll.qlCalendarAdvance(Calendar,X950,NDays&amp;"D")</f>
        <v>45904</v>
      </c>
      <c r="Z950" s="132">
        <v>2.055248154838657E-2</v>
      </c>
      <c r="AA950" s="129">
        <v>2.0351941734526591E-2</v>
      </c>
    </row>
    <row r="951" spans="19:27" x14ac:dyDescent="0.2">
      <c r="S951" s="1"/>
      <c r="T951" s="109"/>
      <c r="W951" s="130" t="str">
        <f t="shared" si="24"/>
        <v>1w</v>
      </c>
      <c r="X951" s="128">
        <f>_xll.qlCalendarAdvance(Calendar,X950,W951,"f",FALSE)</f>
        <v>45909</v>
      </c>
      <c r="Y951" s="131">
        <f>_xll.qlCalendarAdvance(Calendar,X951,NDays&amp;"D")</f>
        <v>45911</v>
      </c>
      <c r="Z951" s="132">
        <v>2.0575083780411025E-2</v>
      </c>
      <c r="AA951" s="129">
        <v>2.0375613817380511E-2</v>
      </c>
    </row>
    <row r="952" spans="19:27" x14ac:dyDescent="0.2">
      <c r="S952" s="1"/>
      <c r="T952" s="109"/>
      <c r="W952" s="130" t="str">
        <f t="shared" si="24"/>
        <v>1w</v>
      </c>
      <c r="X952" s="128">
        <f>_xll.qlCalendarAdvance(Calendar,X951,W952,"f",FALSE)</f>
        <v>45916</v>
      </c>
      <c r="Y952" s="131">
        <f>_xll.qlCalendarAdvance(Calendar,X952,NDays&amp;"D")</f>
        <v>45918</v>
      </c>
      <c r="Z952" s="132">
        <v>2.0597482885513604E-2</v>
      </c>
      <c r="AA952" s="129">
        <v>2.039922619743173E-2</v>
      </c>
    </row>
    <row r="953" spans="19:27" x14ac:dyDescent="0.2">
      <c r="S953" s="1"/>
      <c r="T953" s="109"/>
      <c r="W953" s="130" t="str">
        <f t="shared" si="24"/>
        <v>1w</v>
      </c>
      <c r="X953" s="128">
        <f>_xll.qlCalendarAdvance(Calendar,X952,W953,"f",FALSE)</f>
        <v>45923</v>
      </c>
      <c r="Y953" s="131">
        <f>_xll.qlCalendarAdvance(Calendar,X953,NDays&amp;"D")</f>
        <v>45925</v>
      </c>
      <c r="Z953" s="132">
        <v>2.0628205014289087E-2</v>
      </c>
      <c r="AA953" s="129">
        <v>2.0422632006003028E-2</v>
      </c>
    </row>
    <row r="954" spans="19:27" x14ac:dyDescent="0.2">
      <c r="S954" s="1"/>
      <c r="T954" s="109"/>
      <c r="W954" s="130" t="str">
        <f t="shared" si="24"/>
        <v>1w</v>
      </c>
      <c r="X954" s="128">
        <f>_xll.qlCalendarAdvance(Calendar,X953,W954,"f",FALSE)</f>
        <v>45930</v>
      </c>
      <c r="Y954" s="131">
        <f>_xll.qlCalendarAdvance(Calendar,X954,NDays&amp;"D")</f>
        <v>45932</v>
      </c>
      <c r="Z954" s="132">
        <v>2.0643779443713144E-2</v>
      </c>
      <c r="AA954" s="129">
        <v>2.0445831243014467E-2</v>
      </c>
    </row>
    <row r="955" spans="19:27" x14ac:dyDescent="0.2">
      <c r="S955" s="1"/>
      <c r="T955" s="109"/>
      <c r="W955" s="130" t="str">
        <f t="shared" si="24"/>
        <v>1w</v>
      </c>
      <c r="X955" s="128">
        <f>_xll.qlCalendarAdvance(Calendar,X954,W955,"f",FALSE)</f>
        <v>45937</v>
      </c>
      <c r="Y955" s="131">
        <f>_xll.qlCalendarAdvance(Calendar,X955,NDays&amp;"D")</f>
        <v>45939</v>
      </c>
      <c r="Z955" s="132">
        <v>2.0665542425454219E-2</v>
      </c>
      <c r="AA955" s="129">
        <v>2.0468823908705858E-2</v>
      </c>
    </row>
    <row r="956" spans="19:27" x14ac:dyDescent="0.2">
      <c r="S956" s="1"/>
      <c r="T956" s="109"/>
      <c r="W956" s="130" t="str">
        <f t="shared" si="24"/>
        <v>1w</v>
      </c>
      <c r="X956" s="128">
        <f>_xll.qlCalendarAdvance(Calendar,X955,W956,"f",FALSE)</f>
        <v>45944</v>
      </c>
      <c r="Y956" s="131">
        <f>_xll.qlCalendarAdvance(Calendar,X956,NDays&amp;"D")</f>
        <v>45946</v>
      </c>
      <c r="Z956" s="132">
        <v>2.068709787430268E-2</v>
      </c>
      <c r="AA956" s="129">
        <v>2.0491610002677518E-2</v>
      </c>
    </row>
    <row r="957" spans="19:27" x14ac:dyDescent="0.2">
      <c r="S957" s="1"/>
      <c r="T957" s="109"/>
      <c r="W957" s="130" t="str">
        <f t="shared" si="24"/>
        <v>1w</v>
      </c>
      <c r="X957" s="128">
        <f>_xll.qlCalendarAdvance(Calendar,X956,W957,"f",FALSE)</f>
        <v>45951</v>
      </c>
      <c r="Y957" s="131">
        <f>_xll.qlCalendarAdvance(Calendar,X957,NDays&amp;"D")</f>
        <v>45953</v>
      </c>
      <c r="Z957" s="132">
        <v>2.0708445786846479E-2</v>
      </c>
      <c r="AA957" s="129">
        <v>2.0514189525169257E-2</v>
      </c>
    </row>
    <row r="958" spans="19:27" x14ac:dyDescent="0.2">
      <c r="S958" s="1"/>
      <c r="T958" s="109"/>
      <c r="W958" s="130" t="str">
        <f t="shared" si="24"/>
        <v>1w</v>
      </c>
      <c r="X958" s="128">
        <f>_xll.qlCalendarAdvance(Calendar,X957,W958,"f",FALSE)</f>
        <v>45958</v>
      </c>
      <c r="Y958" s="131">
        <f>_xll.qlCalendarAdvance(Calendar,X958,NDays&amp;"D")</f>
        <v>45960</v>
      </c>
      <c r="Z958" s="132">
        <v>2.0729586159705708E-2</v>
      </c>
      <c r="AA958" s="129">
        <v>2.0536562476021203E-2</v>
      </c>
    </row>
    <row r="959" spans="19:27" x14ac:dyDescent="0.2">
      <c r="S959" s="1"/>
      <c r="T959" s="109"/>
      <c r="W959" s="130" t="str">
        <f t="shared" si="24"/>
        <v>1w</v>
      </c>
      <c r="X959" s="128">
        <f>_xll.qlCalendarAdvance(Calendar,X958,W959,"f",FALSE)</f>
        <v>45965</v>
      </c>
      <c r="Y959" s="131">
        <f>_xll.qlCalendarAdvance(Calendar,X959,NDays&amp;"D")</f>
        <v>45967</v>
      </c>
      <c r="Z959" s="132">
        <v>2.0750518989531747E-2</v>
      </c>
      <c r="AA959" s="129">
        <v>2.0558728855233355E-2</v>
      </c>
    </row>
    <row r="960" spans="19:27" x14ac:dyDescent="0.2">
      <c r="S960" s="1"/>
      <c r="T960" s="109"/>
      <c r="W960" s="130" t="str">
        <f t="shared" si="24"/>
        <v>1w</v>
      </c>
      <c r="X960" s="128">
        <f>_xll.qlCalendarAdvance(Calendar,X959,W960,"f",FALSE)</f>
        <v>45972</v>
      </c>
      <c r="Y960" s="131">
        <f>_xll.qlCalendarAdvance(Calendar,X960,NDays&amp;"D")</f>
        <v>45974</v>
      </c>
      <c r="Z960" s="132">
        <v>2.0771244273012454E-2</v>
      </c>
      <c r="AA960" s="129">
        <v>2.0580688662645841E-2</v>
      </c>
    </row>
    <row r="961" spans="19:27" x14ac:dyDescent="0.2">
      <c r="S961" s="1"/>
      <c r="T961" s="109"/>
      <c r="W961" s="130" t="str">
        <f t="shared" si="24"/>
        <v>1w</v>
      </c>
      <c r="X961" s="128">
        <f>_xll.qlCalendarAdvance(Calendar,X960,W961,"f",FALSE)</f>
        <v>45979</v>
      </c>
      <c r="Y961" s="131">
        <f>_xll.qlCalendarAdvance(Calendar,X961,NDays&amp;"D")</f>
        <v>45981</v>
      </c>
      <c r="Z961" s="132">
        <v>2.0791762006865246E-2</v>
      </c>
      <c r="AA961" s="129">
        <v>2.0602441898338597E-2</v>
      </c>
    </row>
    <row r="962" spans="19:27" x14ac:dyDescent="0.2">
      <c r="S962" s="1"/>
      <c r="T962" s="109"/>
      <c r="W962" s="130" t="str">
        <f t="shared" si="24"/>
        <v>1w</v>
      </c>
      <c r="X962" s="128">
        <f>_xll.qlCalendarAdvance(Calendar,X961,W962,"f",FALSE)</f>
        <v>45986</v>
      </c>
      <c r="Y962" s="131">
        <f>_xll.qlCalendarAdvance(Calendar,X962,NDays&amp;"D")</f>
        <v>45988</v>
      </c>
      <c r="Z962" s="132">
        <v>2.0812072187840543E-2</v>
      </c>
      <c r="AA962" s="129">
        <v>2.0623988562311624E-2</v>
      </c>
    </row>
    <row r="963" spans="19:27" x14ac:dyDescent="0.2">
      <c r="S963" s="1"/>
      <c r="T963" s="109"/>
      <c r="W963" s="130" t="str">
        <f t="shared" si="24"/>
        <v>1w</v>
      </c>
      <c r="X963" s="128">
        <f>_xll.qlCalendarAdvance(Calendar,X962,W963,"f",FALSE)</f>
        <v>45993</v>
      </c>
      <c r="Y963" s="131">
        <f>_xll.qlCalendarAdvance(Calendar,X963,NDays&amp;"D")</f>
        <v>45995</v>
      </c>
      <c r="Z963" s="132">
        <v>2.0828176996605663E-2</v>
      </c>
      <c r="AA963" s="129">
        <v>2.0645328654405048E-2</v>
      </c>
    </row>
    <row r="964" spans="19:27" x14ac:dyDescent="0.2">
      <c r="S964" s="1"/>
      <c r="T964" s="109"/>
      <c r="W964" s="130" t="str">
        <f t="shared" si="24"/>
        <v>1w</v>
      </c>
      <c r="X964" s="128">
        <f>_xll.qlCalendarAdvance(Calendar,X963,W964,"f",FALSE)</f>
        <v>46000</v>
      </c>
      <c r="Y964" s="131">
        <f>_xll.qlCalendarAdvance(Calendar,X964,NDays&amp;"D")</f>
        <v>46002</v>
      </c>
      <c r="Z964" s="132">
        <v>2.0848099413544041E-2</v>
      </c>
      <c r="AA964" s="129">
        <v>2.0666462174618871E-2</v>
      </c>
    </row>
    <row r="965" spans="19:27" x14ac:dyDescent="0.2">
      <c r="S965" s="1"/>
      <c r="T965" s="109"/>
      <c r="W965" s="130" t="str">
        <f t="shared" si="24"/>
        <v>1w</v>
      </c>
      <c r="X965" s="128">
        <f>_xll.qlCalendarAdvance(Calendar,X964,W965,"f",FALSE)</f>
        <v>46007</v>
      </c>
      <c r="Y965" s="131">
        <f>_xll.qlCalendarAdvance(Calendar,X965,NDays&amp;"D")</f>
        <v>46009</v>
      </c>
      <c r="Z965" s="132">
        <v>2.086781429030804E-2</v>
      </c>
      <c r="AA965" s="129">
        <v>2.0687389123033029E-2</v>
      </c>
    </row>
    <row r="966" spans="19:27" x14ac:dyDescent="0.2">
      <c r="S966" s="1"/>
      <c r="T966" s="109"/>
      <c r="W966" s="130" t="str">
        <f t="shared" si="24"/>
        <v>1w</v>
      </c>
      <c r="X966" s="128">
        <f>_xll.qlCalendarAdvance(Calendar,X965,W966,"f",FALSE)</f>
        <v>46014</v>
      </c>
      <c r="Y966" s="131">
        <f>_xll.qlCalendarAdvance(Calendar,X966,NDays&amp;"D")</f>
        <v>46020</v>
      </c>
      <c r="Z966" s="132">
        <v>2.0900326119507109E-2</v>
      </c>
      <c r="AA966" s="129">
        <v>2.0719856968005601E-2</v>
      </c>
    </row>
    <row r="967" spans="19:27" x14ac:dyDescent="0.2">
      <c r="S967" s="1"/>
      <c r="T967" s="109"/>
      <c r="W967" s="130" t="str">
        <f t="shared" si="24"/>
        <v>1w</v>
      </c>
      <c r="X967" s="128">
        <f>_xll.qlCalendarAdvance(Calendar,X966,W967,"f",FALSE)</f>
        <v>46021</v>
      </c>
      <c r="Y967" s="131">
        <f>_xll.qlCalendarAdvance(Calendar,X967,NDays&amp;"D")</f>
        <v>46024</v>
      </c>
      <c r="Z967" s="132">
        <v>2.090936158086798E-2</v>
      </c>
      <c r="AA967" s="129">
        <v>2.0735639281301843E-2</v>
      </c>
    </row>
    <row r="968" spans="19:27" x14ac:dyDescent="0.2">
      <c r="S968" s="1"/>
      <c r="T968" s="109"/>
      <c r="W968" s="130" t="str">
        <f t="shared" si="24"/>
        <v>1w</v>
      </c>
      <c r="X968" s="128">
        <f>_xll.qlCalendarAdvance(Calendar,X967,W968,"f",FALSE)</f>
        <v>46028</v>
      </c>
      <c r="Y968" s="131">
        <f>_xll.qlCalendarAdvance(Calendar,X968,NDays&amp;"D")</f>
        <v>46030</v>
      </c>
      <c r="Z968" s="132">
        <v>2.0925713649167399E-2</v>
      </c>
      <c r="AA968" s="129">
        <v>2.0748930536438337E-2</v>
      </c>
    </row>
    <row r="969" spans="19:27" x14ac:dyDescent="0.2">
      <c r="S969" s="1"/>
      <c r="T969" s="109"/>
      <c r="W969" s="130" t="str">
        <f t="shared" si="24"/>
        <v>1w</v>
      </c>
      <c r="X969" s="128">
        <f>_xll.qlCalendarAdvance(Calendar,X968,W969,"f",FALSE)</f>
        <v>46035</v>
      </c>
      <c r="Y969" s="131">
        <f>_xll.qlCalendarAdvance(Calendar,X969,NDays&amp;"D")</f>
        <v>46037</v>
      </c>
      <c r="Z969" s="132">
        <v>2.0944598335012721E-2</v>
      </c>
      <c r="AA969" s="129">
        <v>2.0769031196934407E-2</v>
      </c>
    </row>
    <row r="970" spans="19:27" x14ac:dyDescent="0.2">
      <c r="S970" s="1"/>
      <c r="T970" s="109"/>
      <c r="W970" s="130" t="str">
        <f t="shared" si="24"/>
        <v>1w</v>
      </c>
      <c r="X970" s="128">
        <f>_xll.qlCalendarAdvance(Calendar,X969,W970,"f",FALSE)</f>
        <v>46042</v>
      </c>
      <c r="Y970" s="131">
        <f>_xll.qlCalendarAdvance(Calendar,X970,NDays&amp;"D")</f>
        <v>46044</v>
      </c>
      <c r="Z970" s="132">
        <v>2.0963275465734732E-2</v>
      </c>
      <c r="AA970" s="129">
        <v>2.0788925285311066E-2</v>
      </c>
    </row>
    <row r="971" spans="19:27" x14ac:dyDescent="0.2">
      <c r="S971" s="1"/>
      <c r="T971" s="109"/>
      <c r="W971" s="130" t="str">
        <f t="shared" si="24"/>
        <v>1w</v>
      </c>
      <c r="X971" s="128">
        <f>_xll.qlCalendarAdvance(Calendar,X970,W971,"f",FALSE)</f>
        <v>46049</v>
      </c>
      <c r="Y971" s="131">
        <f>_xll.qlCalendarAdvance(Calendar,X971,NDays&amp;"D")</f>
        <v>46051</v>
      </c>
      <c r="Z971" s="132">
        <v>2.0981745038441524E-2</v>
      </c>
      <c r="AA971" s="129">
        <v>2.0808612801568316E-2</v>
      </c>
    </row>
    <row r="972" spans="19:27" x14ac:dyDescent="0.2">
      <c r="S972" s="1"/>
      <c r="T972" s="109"/>
      <c r="W972" s="130" t="str">
        <f t="shared" si="24"/>
        <v>1w</v>
      </c>
      <c r="X972" s="128">
        <f>_xll.qlCalendarAdvance(Calendar,X971,W972,"f",FALSE)</f>
        <v>46056</v>
      </c>
      <c r="Y972" s="131">
        <f>_xll.qlCalendarAdvance(Calendar,X972,NDays&amp;"D")</f>
        <v>46058</v>
      </c>
      <c r="Z972" s="132">
        <v>2.099812976441039E-2</v>
      </c>
      <c r="AA972" s="129">
        <v>2.0828093745626219E-2</v>
      </c>
    </row>
    <row r="973" spans="19:27" x14ac:dyDescent="0.2">
      <c r="S973" s="1"/>
      <c r="T973" s="109"/>
      <c r="W973" s="130" t="str">
        <f t="shared" si="24"/>
        <v>1w</v>
      </c>
      <c r="X973" s="128">
        <f>_xll.qlCalendarAdvance(Calendar,X972,W973,"f",FALSE)</f>
        <v>46063</v>
      </c>
      <c r="Y973" s="131">
        <f>_xll.qlCalendarAdvance(Calendar,X973,NDays&amp;"D")</f>
        <v>46065</v>
      </c>
      <c r="Z973" s="132">
        <v>2.1016197987106376E-2</v>
      </c>
      <c r="AA973" s="129">
        <v>2.0847368117644649E-2</v>
      </c>
    </row>
    <row r="974" spans="19:27" x14ac:dyDescent="0.2">
      <c r="S974" s="1"/>
      <c r="T974" s="109"/>
      <c r="W974" s="130" t="str">
        <f t="shared" si="24"/>
        <v>1w</v>
      </c>
      <c r="X974" s="128">
        <f>_xll.qlCalendarAdvance(Calendar,X973,W974,"f",FALSE)</f>
        <v>46070</v>
      </c>
      <c r="Y974" s="131">
        <f>_xll.qlCalendarAdvance(Calendar,X974,NDays&amp;"D")</f>
        <v>46072</v>
      </c>
      <c r="Z974" s="132">
        <v>2.1034058654690393E-2</v>
      </c>
      <c r="AA974" s="129">
        <v>2.0866435917463733E-2</v>
      </c>
    </row>
    <row r="975" spans="19:27" x14ac:dyDescent="0.2">
      <c r="S975" s="1"/>
      <c r="T975" s="109"/>
      <c r="W975" s="130" t="str">
        <f t="shared" si="24"/>
        <v>1w</v>
      </c>
      <c r="X975" s="128">
        <f>_xll.qlCalendarAdvance(Calendar,X974,W975,"f",FALSE)</f>
        <v>46077</v>
      </c>
      <c r="Y975" s="131">
        <f>_xll.qlCalendarAdvance(Calendar,X975,NDays&amp;"D")</f>
        <v>46079</v>
      </c>
      <c r="Z975" s="132">
        <v>2.1051711764429337E-2</v>
      </c>
      <c r="AA975" s="129">
        <v>2.0885297145003534E-2</v>
      </c>
    </row>
    <row r="976" spans="19:27" x14ac:dyDescent="0.2">
      <c r="S976" s="1"/>
      <c r="T976" s="109"/>
      <c r="W976" s="130" t="str">
        <f t="shared" si="24"/>
        <v>1w</v>
      </c>
      <c r="X976" s="128">
        <f>_xll.qlCalendarAdvance(Calendar,X975,W976,"f",FALSE)</f>
        <v>46084</v>
      </c>
      <c r="Y976" s="131">
        <f>_xll.qlCalendarAdvance(Calendar,X976,NDays&amp;"D")</f>
        <v>46086</v>
      </c>
      <c r="Z976" s="132">
        <v>2.1074619928357498E-2</v>
      </c>
      <c r="AA976" s="129">
        <v>2.0903951800264053E-2</v>
      </c>
    </row>
    <row r="977" spans="19:27" x14ac:dyDescent="0.2">
      <c r="S977" s="1"/>
      <c r="T977" s="109"/>
      <c r="W977" s="130" t="str">
        <f t="shared" si="24"/>
        <v>1w</v>
      </c>
      <c r="X977" s="128">
        <f>_xll.qlCalendarAdvance(Calendar,X976,W977,"f",FALSE)</f>
        <v>46091</v>
      </c>
      <c r="Y977" s="131">
        <f>_xll.qlCalendarAdvance(Calendar,X977,NDays&amp;"D")</f>
        <v>46093</v>
      </c>
      <c r="Z977" s="132">
        <v>2.1091816448679138E-2</v>
      </c>
      <c r="AA977" s="129">
        <v>2.0922399883325227E-2</v>
      </c>
    </row>
    <row r="978" spans="19:27" x14ac:dyDescent="0.2">
      <c r="S978" s="1"/>
      <c r="T978" s="109"/>
      <c r="W978" s="130" t="str">
        <f t="shared" si="24"/>
        <v>1w</v>
      </c>
      <c r="X978" s="128">
        <f>_xll.qlCalendarAdvance(Calendar,X977,W978,"f",FALSE)</f>
        <v>46098</v>
      </c>
      <c r="Y978" s="131">
        <f>_xll.qlCalendarAdvance(Calendar,X978,NDays&amp;"D")</f>
        <v>46100</v>
      </c>
      <c r="Z978" s="132">
        <v>2.1108805368612593E-2</v>
      </c>
      <c r="AA978" s="129">
        <v>2.0940641393947246E-2</v>
      </c>
    </row>
    <row r="979" spans="19:27" x14ac:dyDescent="0.2">
      <c r="S979" s="1"/>
      <c r="T979" s="109"/>
      <c r="W979" s="130" t="str">
        <f t="shared" si="24"/>
        <v>1w</v>
      </c>
      <c r="X979" s="128">
        <f>_xll.qlCalendarAdvance(Calendar,X978,W979,"f",FALSE)</f>
        <v>46105</v>
      </c>
      <c r="Y979" s="131">
        <f>_xll.qlCalendarAdvance(Calendar,X979,NDays&amp;"D")</f>
        <v>46107</v>
      </c>
      <c r="Z979" s="132">
        <v>2.1125586685466977E-2</v>
      </c>
      <c r="AA979" s="129">
        <v>2.0958676332210047E-2</v>
      </c>
    </row>
    <row r="980" spans="19:27" x14ac:dyDescent="0.2">
      <c r="S980" s="1"/>
      <c r="T980" s="109"/>
      <c r="W980" s="130" t="str">
        <f t="shared" si="24"/>
        <v>1w</v>
      </c>
      <c r="X980" s="128">
        <f>_xll.qlCalendarAdvance(Calendar,X979,W980,"f",FALSE)</f>
        <v>46112</v>
      </c>
      <c r="Y980" s="131">
        <f>_xll.qlCalendarAdvance(Calendar,X980,NDays&amp;"D")</f>
        <v>46114</v>
      </c>
      <c r="Z980" s="132">
        <v>2.1140396135612718E-2</v>
      </c>
      <c r="AA980" s="129">
        <v>2.0984002200156837E-2</v>
      </c>
    </row>
    <row r="981" spans="19:27" x14ac:dyDescent="0.2">
      <c r="S981" s="1"/>
      <c r="T981" s="109"/>
      <c r="W981" s="130" t="str">
        <f t="shared" ref="W981:W1044" si="25">W980</f>
        <v>1w</v>
      </c>
      <c r="X981" s="128">
        <f>_xll.qlCalendarAdvance(Calendar,X980,W981,"f",FALSE)</f>
        <v>46119</v>
      </c>
      <c r="Y981" s="131">
        <f>_xll.qlCalendarAdvance(Calendar,X981,NDays&amp;"D")</f>
        <v>46121</v>
      </c>
      <c r="Z981" s="132">
        <v>2.1156776108039059E-2</v>
      </c>
      <c r="AA981" s="129">
        <v>2.0994126491498122E-2</v>
      </c>
    </row>
    <row r="982" spans="19:27" x14ac:dyDescent="0.2">
      <c r="S982" s="1"/>
      <c r="T982" s="109"/>
      <c r="W982" s="130" t="str">
        <f t="shared" si="25"/>
        <v>1w</v>
      </c>
      <c r="X982" s="128">
        <f>_xll.qlCalendarAdvance(Calendar,X981,W982,"f",FALSE)</f>
        <v>46126</v>
      </c>
      <c r="Y982" s="131">
        <f>_xll.qlCalendarAdvance(Calendar,X982,NDays&amp;"D")</f>
        <v>46128</v>
      </c>
      <c r="Z982" s="132">
        <v>2.1172948481133387E-2</v>
      </c>
      <c r="AA982" s="129">
        <v>2.101154171244346E-2</v>
      </c>
    </row>
    <row r="983" spans="19:27" x14ac:dyDescent="0.2">
      <c r="S983" s="1"/>
      <c r="T983" s="109"/>
      <c r="W983" s="130" t="str">
        <f t="shared" si="25"/>
        <v>1w</v>
      </c>
      <c r="X983" s="128">
        <f>_xll.qlCalendarAdvance(Calendar,X982,W983,"f",FALSE)</f>
        <v>46133</v>
      </c>
      <c r="Y983" s="131">
        <f>_xll.qlCalendarAdvance(Calendar,X983,NDays&amp;"D")</f>
        <v>46135</v>
      </c>
      <c r="Z983" s="132">
        <v>2.118891325236235E-2</v>
      </c>
      <c r="AA983" s="129">
        <v>2.102875036102958E-2</v>
      </c>
    </row>
    <row r="984" spans="19:27" x14ac:dyDescent="0.2">
      <c r="S984" s="1"/>
      <c r="T984" s="109"/>
      <c r="W984" s="130" t="str">
        <f t="shared" si="25"/>
        <v>1w</v>
      </c>
      <c r="X984" s="128">
        <f>_xll.qlCalendarAdvance(Calendar,X983,W984,"f",FALSE)</f>
        <v>46140</v>
      </c>
      <c r="Y984" s="131">
        <f>_xll.qlCalendarAdvance(Calendar,X984,NDays&amp;"D")</f>
        <v>46142</v>
      </c>
      <c r="Z984" s="132">
        <v>2.1206379131727068E-2</v>
      </c>
      <c r="AA984" s="129">
        <v>2.1051212449898493E-2</v>
      </c>
    </row>
    <row r="985" spans="19:27" x14ac:dyDescent="0.2">
      <c r="S985" s="1"/>
      <c r="T985" s="109"/>
      <c r="W985" s="130" t="str">
        <f t="shared" si="25"/>
        <v>1w</v>
      </c>
      <c r="X985" s="128">
        <f>_xll.qlCalendarAdvance(Calendar,X984,W985,"f",FALSE)</f>
        <v>46147</v>
      </c>
      <c r="Y985" s="131">
        <f>_xll.qlCalendarAdvance(Calendar,X985,NDays&amp;"D")</f>
        <v>46149</v>
      </c>
      <c r="Z985" s="132">
        <v>2.1221914775464618E-2</v>
      </c>
      <c r="AA985" s="129">
        <v>2.1062547940484677E-2</v>
      </c>
    </row>
    <row r="986" spans="19:27" x14ac:dyDescent="0.2">
      <c r="S986" s="1"/>
      <c r="T986" s="109"/>
      <c r="W986" s="130" t="str">
        <f t="shared" si="25"/>
        <v>1w</v>
      </c>
      <c r="X986" s="128">
        <f>_xll.qlCalendarAdvance(Calendar,X985,W986,"f",FALSE)</f>
        <v>46154</v>
      </c>
      <c r="Y986" s="131">
        <f>_xll.qlCalendarAdvance(Calendar,X986,NDays&amp;"D")</f>
        <v>46156</v>
      </c>
      <c r="Z986" s="132">
        <v>2.123724279821481E-2</v>
      </c>
      <c r="AA986" s="129">
        <v>2.107913687143359E-2</v>
      </c>
    </row>
    <row r="987" spans="19:27" x14ac:dyDescent="0.2">
      <c r="S987" s="1"/>
      <c r="T987" s="109"/>
      <c r="W987" s="130" t="str">
        <f t="shared" si="25"/>
        <v>1w</v>
      </c>
      <c r="X987" s="128">
        <f>_xll.qlCalendarAdvance(Calendar,X986,W987,"f",FALSE)</f>
        <v>46161</v>
      </c>
      <c r="Y987" s="131">
        <f>_xll.qlCalendarAdvance(Calendar,X987,NDays&amp;"D")</f>
        <v>46163</v>
      </c>
      <c r="Z987" s="132">
        <v>2.125236319754828E-2</v>
      </c>
      <c r="AA987" s="129">
        <v>2.1095519229703541E-2</v>
      </c>
    </row>
    <row r="988" spans="19:27" x14ac:dyDescent="0.2">
      <c r="S988" s="1"/>
      <c r="T988" s="109"/>
      <c r="W988" s="130" t="str">
        <f t="shared" si="25"/>
        <v>1w</v>
      </c>
      <c r="X988" s="128">
        <f>_xll.qlCalendarAdvance(Calendar,X987,W988,"f",FALSE)</f>
        <v>46168</v>
      </c>
      <c r="Y988" s="131">
        <f>_xll.qlCalendarAdvance(Calendar,X988,NDays&amp;"D")</f>
        <v>46170</v>
      </c>
      <c r="Z988" s="132">
        <v>2.1267275971072162E-2</v>
      </c>
      <c r="AA988" s="129">
        <v>2.1111695015374465E-2</v>
      </c>
    </row>
    <row r="989" spans="19:27" x14ac:dyDescent="0.2">
      <c r="S989" s="1"/>
      <c r="T989" s="109"/>
      <c r="W989" s="130" t="str">
        <f t="shared" si="25"/>
        <v>1w</v>
      </c>
      <c r="X989" s="128">
        <f>_xll.qlCalendarAdvance(Calendar,X988,W989,"f",FALSE)</f>
        <v>46175</v>
      </c>
      <c r="Y989" s="131">
        <f>_xll.qlCalendarAdvance(Calendar,X989,NDays&amp;"D")</f>
        <v>46177</v>
      </c>
      <c r="Z989" s="132">
        <v>2.1281981116425736E-2</v>
      </c>
      <c r="AA989" s="129">
        <v>2.1127664228366427E-2</v>
      </c>
    </row>
    <row r="990" spans="19:27" x14ac:dyDescent="0.2">
      <c r="S990" s="1"/>
      <c r="T990" s="109"/>
      <c r="W990" s="130" t="str">
        <f t="shared" si="25"/>
        <v>1w</v>
      </c>
      <c r="X990" s="128">
        <f>_xll.qlCalendarAdvance(Calendar,X989,W990,"f",FALSE)</f>
        <v>46182</v>
      </c>
      <c r="Y990" s="131">
        <f>_xll.qlCalendarAdvance(Calendar,X990,NDays&amp;"D")</f>
        <v>46184</v>
      </c>
      <c r="Z990" s="132">
        <v>2.129647863127869E-2</v>
      </c>
      <c r="AA990" s="129">
        <v>2.1143426868679427E-2</v>
      </c>
    </row>
    <row r="991" spans="19:27" x14ac:dyDescent="0.2">
      <c r="S991" s="1"/>
      <c r="T991" s="109"/>
      <c r="W991" s="130" t="str">
        <f t="shared" si="25"/>
        <v>1w</v>
      </c>
      <c r="X991" s="128">
        <f>_xll.qlCalendarAdvance(Calendar,X990,W991,"f",FALSE)</f>
        <v>46189</v>
      </c>
      <c r="Y991" s="131">
        <f>_xll.qlCalendarAdvance(Calendar,X991,NDays&amp;"D")</f>
        <v>46191</v>
      </c>
      <c r="Z991" s="132">
        <v>2.131076851333721E-2</v>
      </c>
      <c r="AA991" s="129">
        <v>2.1158982936313464E-2</v>
      </c>
    </row>
    <row r="992" spans="19:27" x14ac:dyDescent="0.2">
      <c r="S992" s="1"/>
      <c r="T992" s="109"/>
      <c r="W992" s="130" t="str">
        <f t="shared" si="25"/>
        <v>1w</v>
      </c>
      <c r="X992" s="128">
        <f>_xll.qlCalendarAdvance(Calendar,X991,W992,"f",FALSE)</f>
        <v>46196</v>
      </c>
      <c r="Y992" s="131">
        <f>_xll.qlCalendarAdvance(Calendar,X992,NDays&amp;"D")</f>
        <v>46198</v>
      </c>
      <c r="Z992" s="132">
        <v>2.1324850760337886E-2</v>
      </c>
      <c r="AA992" s="129">
        <v>2.1174332431108667E-2</v>
      </c>
    </row>
    <row r="993" spans="19:27" x14ac:dyDescent="0.2">
      <c r="S993" s="1"/>
      <c r="T993" s="109"/>
      <c r="W993" s="130" t="str">
        <f t="shared" si="25"/>
        <v>1w</v>
      </c>
      <c r="X993" s="128">
        <f>_xll.qlCalendarAdvance(Calendar,X992,W993,"f",FALSE)</f>
        <v>46203</v>
      </c>
      <c r="Y993" s="131">
        <f>_xll.qlCalendarAdvance(Calendar,X993,NDays&amp;"D")</f>
        <v>46205</v>
      </c>
      <c r="Z993" s="132">
        <v>2.1338725370048592E-2</v>
      </c>
      <c r="AA993" s="129">
        <v>2.1189475353224907E-2</v>
      </c>
    </row>
    <row r="994" spans="19:27" x14ac:dyDescent="0.2">
      <c r="S994" s="1"/>
      <c r="T994" s="109"/>
      <c r="W994" s="130" t="str">
        <f t="shared" si="25"/>
        <v>1w</v>
      </c>
      <c r="X994" s="128">
        <f>_xll.qlCalendarAdvance(Calendar,X993,W994,"f",FALSE)</f>
        <v>46210</v>
      </c>
      <c r="Y994" s="131">
        <f>_xll.qlCalendarAdvance(Calendar,X994,NDays&amp;"D")</f>
        <v>46212</v>
      </c>
      <c r="Z994" s="132">
        <v>2.1352392340275427E-2</v>
      </c>
      <c r="AA994" s="129">
        <v>2.1204411702582249E-2</v>
      </c>
    </row>
    <row r="995" spans="19:27" x14ac:dyDescent="0.2">
      <c r="S995" s="1"/>
      <c r="T995" s="109"/>
      <c r="W995" s="130" t="str">
        <f t="shared" si="25"/>
        <v>1w</v>
      </c>
      <c r="X995" s="128">
        <f>_xll.qlCalendarAdvance(Calendar,X994,W995,"f",FALSE)</f>
        <v>46217</v>
      </c>
      <c r="Y995" s="131">
        <f>_xll.qlCalendarAdvance(Calendar,X995,NDays&amp;"D")</f>
        <v>46219</v>
      </c>
      <c r="Z995" s="132">
        <v>2.1365851668853172E-2</v>
      </c>
      <c r="AA995" s="129">
        <v>2.1219141479100756E-2</v>
      </c>
    </row>
    <row r="996" spans="19:27" x14ac:dyDescent="0.2">
      <c r="S996" s="1"/>
      <c r="T996" s="109"/>
      <c r="W996" s="130" t="str">
        <f t="shared" si="25"/>
        <v>1w</v>
      </c>
      <c r="X996" s="128">
        <f>_xll.qlCalendarAdvance(Calendar,X995,W996,"f",FALSE)</f>
        <v>46224</v>
      </c>
      <c r="Y996" s="131">
        <f>_xll.qlCalendarAdvance(Calendar,X996,NDays&amp;"D")</f>
        <v>46226</v>
      </c>
      <c r="Z996" s="132">
        <v>2.137910335364962E-2</v>
      </c>
      <c r="AA996" s="129">
        <v>2.1233664682700493E-2</v>
      </c>
    </row>
    <row r="997" spans="19:27" x14ac:dyDescent="0.2">
      <c r="S997" s="1"/>
      <c r="T997" s="109"/>
      <c r="W997" s="130" t="str">
        <f t="shared" si="25"/>
        <v>1w</v>
      </c>
      <c r="X997" s="128">
        <f>_xll.qlCalendarAdvance(Calendar,X996,W997,"f",FALSE)</f>
        <v>46231</v>
      </c>
      <c r="Y997" s="131">
        <f>_xll.qlCalendarAdvance(Calendar,X997,NDays&amp;"D")</f>
        <v>46233</v>
      </c>
      <c r="Z997" s="132">
        <v>2.1392147392567312E-2</v>
      </c>
      <c r="AA997" s="129">
        <v>2.1247981313461395E-2</v>
      </c>
    </row>
    <row r="998" spans="19:27" x14ac:dyDescent="0.2">
      <c r="S998" s="1"/>
      <c r="T998" s="109"/>
      <c r="W998" s="130" t="str">
        <f t="shared" si="25"/>
        <v>1w</v>
      </c>
      <c r="X998" s="128">
        <f>_xll.qlCalendarAdvance(Calendar,X997,W998,"f",FALSE)</f>
        <v>46238</v>
      </c>
      <c r="Y998" s="131">
        <f>_xll.qlCalendarAdvance(Calendar,X998,NDays&amp;"D")</f>
        <v>46240</v>
      </c>
      <c r="Z998" s="132">
        <v>2.140498378354095E-2</v>
      </c>
      <c r="AA998" s="129">
        <v>2.1262091371463399E-2</v>
      </c>
    </row>
    <row r="999" spans="19:27" x14ac:dyDescent="0.2">
      <c r="S999" s="1"/>
      <c r="T999" s="109"/>
      <c r="W999" s="130" t="str">
        <f t="shared" si="25"/>
        <v>1w</v>
      </c>
      <c r="X999" s="128">
        <f>_xll.qlCalendarAdvance(Calendar,X998,W999,"f",FALSE)</f>
        <v>46245</v>
      </c>
      <c r="Y999" s="131">
        <f>_xll.qlCalendarAdvance(Calendar,X999,NDays&amp;"D")</f>
        <v>46247</v>
      </c>
      <c r="Z999" s="132">
        <v>2.1417612524536504E-2</v>
      </c>
      <c r="AA999" s="129">
        <v>2.127599485638676E-2</v>
      </c>
    </row>
    <row r="1000" spans="19:27" x14ac:dyDescent="0.2">
      <c r="S1000" s="1"/>
      <c r="T1000" s="109"/>
      <c r="W1000" s="130" t="str">
        <f t="shared" si="25"/>
        <v>1w</v>
      </c>
      <c r="X1000" s="128">
        <f>_xll.qlCalendarAdvance(Calendar,X999,W1000,"f",FALSE)</f>
        <v>46252</v>
      </c>
      <c r="Y1000" s="131">
        <f>_xll.qlCalendarAdvance(Calendar,X1000,NDays&amp;"D")</f>
        <v>46254</v>
      </c>
      <c r="Z1000" s="132">
        <v>2.1430033613554708E-2</v>
      </c>
      <c r="AA1000" s="129">
        <v>2.1289691768471286E-2</v>
      </c>
    </row>
    <row r="1001" spans="19:27" x14ac:dyDescent="0.2">
      <c r="S1001" s="1"/>
      <c r="T1001" s="109"/>
      <c r="W1001" s="130" t="str">
        <f t="shared" si="25"/>
        <v>1w</v>
      </c>
      <c r="X1001" s="128">
        <f>_xll.qlCalendarAdvance(Calendar,X1000,W1001,"f",FALSE)</f>
        <v>46259</v>
      </c>
      <c r="Y1001" s="131">
        <f>_xll.qlCalendarAdvance(Calendar,X1001,NDays&amp;"D")</f>
        <v>46261</v>
      </c>
      <c r="Z1001" s="132">
        <v>2.1442247048629303E-2</v>
      </c>
      <c r="AA1001" s="129">
        <v>2.130318210747717E-2</v>
      </c>
    </row>
    <row r="1002" spans="19:27" x14ac:dyDescent="0.2">
      <c r="S1002" s="1"/>
      <c r="T1002" s="109"/>
      <c r="W1002" s="130" t="str">
        <f t="shared" si="25"/>
        <v>1w</v>
      </c>
      <c r="X1002" s="128">
        <f>_xll.qlCalendarAdvance(Calendar,X1001,W1002,"f",FALSE)</f>
        <v>46266</v>
      </c>
      <c r="Y1002" s="131">
        <f>_xll.qlCalendarAdvance(Calendar,X1002,NDays&amp;"D")</f>
        <v>46268</v>
      </c>
      <c r="Z1002" s="132">
        <v>2.1452796420208559E-2</v>
      </c>
      <c r="AA1002" s="129">
        <v>2.1316465873564283E-2</v>
      </c>
    </row>
    <row r="1003" spans="19:27" x14ac:dyDescent="0.2">
      <c r="S1003" s="1"/>
      <c r="T1003" s="109"/>
      <c r="W1003" s="130" t="str">
        <f t="shared" si="25"/>
        <v>1w</v>
      </c>
      <c r="X1003" s="128">
        <f>_xll.qlCalendarAdvance(Calendar,X1002,W1003,"f",FALSE)</f>
        <v>46273</v>
      </c>
      <c r="Y1003" s="131">
        <f>_xll.qlCalendarAdvance(Calendar,X1003,NDays&amp;"D")</f>
        <v>46275</v>
      </c>
      <c r="Z1003" s="132">
        <v>2.1464608672266804E-2</v>
      </c>
      <c r="AA1003" s="129">
        <v>2.132954306665269E-2</v>
      </c>
    </row>
    <row r="1004" spans="19:27" x14ac:dyDescent="0.2">
      <c r="S1004" s="1"/>
      <c r="T1004" s="109"/>
      <c r="W1004" s="130" t="str">
        <f t="shared" si="25"/>
        <v>1w</v>
      </c>
      <c r="X1004" s="128">
        <f>_xll.qlCalendarAdvance(Calendar,X1003,W1004,"f",FALSE)</f>
        <v>46280</v>
      </c>
      <c r="Y1004" s="131">
        <f>_xll.qlCalendarAdvance(Calendar,X1004,NDays&amp;"D")</f>
        <v>46282</v>
      </c>
      <c r="Z1004" s="132">
        <v>2.1476213276776658E-2</v>
      </c>
      <c r="AA1004" s="129">
        <v>2.1342413686662454E-2</v>
      </c>
    </row>
    <row r="1005" spans="19:27" x14ac:dyDescent="0.2">
      <c r="S1005" s="1"/>
      <c r="T1005" s="109"/>
      <c r="W1005" s="130" t="str">
        <f t="shared" si="25"/>
        <v>1w</v>
      </c>
      <c r="X1005" s="128">
        <f>_xll.qlCalendarAdvance(Calendar,X1004,W1005,"f",FALSE)</f>
        <v>46287</v>
      </c>
      <c r="Y1005" s="131">
        <f>_xll.qlCalendarAdvance(Calendar,X1005,NDays&amp;"D")</f>
        <v>46289</v>
      </c>
      <c r="Z1005" s="132">
        <v>2.1487610231920681E-2</v>
      </c>
      <c r="AA1005" s="129">
        <v>2.1355077733753447E-2</v>
      </c>
    </row>
    <row r="1006" spans="19:27" x14ac:dyDescent="0.2">
      <c r="S1006" s="1"/>
      <c r="T1006" s="109"/>
      <c r="W1006" s="130" t="str">
        <f t="shared" si="25"/>
        <v>1w</v>
      </c>
      <c r="X1006" s="128">
        <f>_xll.qlCalendarAdvance(Calendar,X1005,W1006,"f",FALSE)</f>
        <v>46294</v>
      </c>
      <c r="Y1006" s="131">
        <f>_xll.qlCalendarAdvance(Calendar,X1006,NDays&amp;"D")</f>
        <v>46296</v>
      </c>
      <c r="Z1006" s="132">
        <v>2.150439100269904E-2</v>
      </c>
      <c r="AA1006" s="129">
        <v>2.1367535207605926E-2</v>
      </c>
    </row>
    <row r="1007" spans="19:27" x14ac:dyDescent="0.2">
      <c r="S1007" s="1"/>
      <c r="T1007" s="109"/>
      <c r="W1007" s="130" t="str">
        <f t="shared" si="25"/>
        <v>1w</v>
      </c>
      <c r="X1007" s="128">
        <f>_xll.qlCalendarAdvance(Calendar,X1006,W1007,"f",FALSE)</f>
        <v>46301</v>
      </c>
      <c r="Y1007" s="131">
        <f>_xll.qlCalendarAdvance(Calendar,X1007,NDays&amp;"D")</f>
        <v>46303</v>
      </c>
      <c r="Z1007" s="132">
        <v>2.1511166820246844E-2</v>
      </c>
      <c r="AA1007" s="129">
        <v>2.1379786108459697E-2</v>
      </c>
    </row>
    <row r="1008" spans="19:27" x14ac:dyDescent="0.2">
      <c r="S1008" s="1"/>
      <c r="T1008" s="109"/>
      <c r="W1008" s="130" t="str">
        <f t="shared" si="25"/>
        <v>1w</v>
      </c>
      <c r="X1008" s="128">
        <f>_xll.qlCalendarAdvance(Calendar,X1007,W1008,"f",FALSE)</f>
        <v>46308</v>
      </c>
      <c r="Y1008" s="131">
        <f>_xll.qlCalendarAdvance(Calendar,X1008,NDays&amp;"D")</f>
        <v>46310</v>
      </c>
      <c r="Z1008" s="132">
        <v>2.1521926625400662E-2</v>
      </c>
      <c r="AA1008" s="129">
        <v>2.1391830436154891E-2</v>
      </c>
    </row>
    <row r="1009" spans="19:27" x14ac:dyDescent="0.2">
      <c r="S1009" s="1"/>
      <c r="T1009" s="109"/>
      <c r="W1009" s="130" t="str">
        <f t="shared" si="25"/>
        <v>1w</v>
      </c>
      <c r="X1009" s="128">
        <f>_xll.qlCalendarAdvance(Calendar,X1008,W1009,"f",FALSE)</f>
        <v>46315</v>
      </c>
      <c r="Y1009" s="131">
        <f>_xll.qlCalendarAdvance(Calendar,X1009,NDays&amp;"D")</f>
        <v>46317</v>
      </c>
      <c r="Z1009" s="132">
        <v>2.1532478762058164E-2</v>
      </c>
      <c r="AA1009" s="129">
        <v>2.1403668190691505E-2</v>
      </c>
    </row>
    <row r="1010" spans="19:27" x14ac:dyDescent="0.2">
      <c r="S1010" s="1"/>
      <c r="T1010" s="109"/>
      <c r="W1010" s="130" t="str">
        <f t="shared" si="25"/>
        <v>1w</v>
      </c>
      <c r="X1010" s="128">
        <f>_xll.qlCalendarAdvance(Calendar,X1009,W1010,"f",FALSE)</f>
        <v>46322</v>
      </c>
      <c r="Y1010" s="131">
        <f>_xll.qlCalendarAdvance(Calendar,X1010,NDays&amp;"D")</f>
        <v>46324</v>
      </c>
      <c r="Z1010" s="132">
        <v>2.1542823228550258E-2</v>
      </c>
      <c r="AA1010" s="129">
        <v>2.1415299372069541E-2</v>
      </c>
    </row>
    <row r="1011" spans="19:27" x14ac:dyDescent="0.2">
      <c r="S1011" s="1"/>
      <c r="T1011" s="109"/>
      <c r="W1011" s="130" t="str">
        <f t="shared" si="25"/>
        <v>1w</v>
      </c>
      <c r="X1011" s="128">
        <f>_xll.qlCalendarAdvance(Calendar,X1010,W1011,"f",FALSE)</f>
        <v>46329</v>
      </c>
      <c r="Y1011" s="131">
        <f>_xll.qlCalendarAdvance(Calendar,X1011,NDays&amp;"D")</f>
        <v>46331</v>
      </c>
      <c r="Z1011" s="132">
        <v>2.1552960023237377E-2</v>
      </c>
      <c r="AA1011" s="129">
        <v>2.1426723980368934E-2</v>
      </c>
    </row>
    <row r="1012" spans="19:27" x14ac:dyDescent="0.2">
      <c r="S1012" s="1"/>
      <c r="T1012" s="109"/>
      <c r="W1012" s="130" t="str">
        <f t="shared" si="25"/>
        <v>1w</v>
      </c>
      <c r="X1012" s="128">
        <f>_xll.qlCalendarAdvance(Calendar,X1011,W1012,"f",FALSE)</f>
        <v>46336</v>
      </c>
      <c r="Y1012" s="131">
        <f>_xll.qlCalendarAdvance(Calendar,X1012,NDays&amp;"D")</f>
        <v>46338</v>
      </c>
      <c r="Z1012" s="132">
        <v>2.1562889144513857E-2</v>
      </c>
      <c r="AA1012" s="129">
        <v>2.1437942015349876E-2</v>
      </c>
    </row>
    <row r="1013" spans="19:27" x14ac:dyDescent="0.2">
      <c r="S1013" s="1"/>
      <c r="T1013" s="109"/>
      <c r="W1013" s="130" t="str">
        <f t="shared" si="25"/>
        <v>1w</v>
      </c>
      <c r="X1013" s="128">
        <f>_xll.qlCalendarAdvance(Calendar,X1012,W1013,"f",FALSE)</f>
        <v>46343</v>
      </c>
      <c r="Y1013" s="131">
        <f>_xll.qlCalendarAdvance(Calendar,X1013,NDays&amp;"D")</f>
        <v>46345</v>
      </c>
      <c r="Z1013" s="132">
        <v>2.1572610590807909E-2</v>
      </c>
      <c r="AA1013" s="129">
        <v>2.1448953477092303E-2</v>
      </c>
    </row>
    <row r="1014" spans="19:27" x14ac:dyDescent="0.2">
      <c r="S1014" s="1"/>
      <c r="T1014" s="109"/>
      <c r="W1014" s="130" t="str">
        <f t="shared" si="25"/>
        <v>1w</v>
      </c>
      <c r="X1014" s="128">
        <f>_xll.qlCalendarAdvance(Calendar,X1013,W1014,"f",FALSE)</f>
        <v>46350</v>
      </c>
      <c r="Y1014" s="131">
        <f>_xll.qlCalendarAdvance(Calendar,X1014,NDays&amp;"D")</f>
        <v>46352</v>
      </c>
      <c r="Z1014" s="132">
        <v>2.1582124360579893E-2</v>
      </c>
      <c r="AA1014" s="129">
        <v>2.1459758365756088E-2</v>
      </c>
    </row>
    <row r="1015" spans="19:27" x14ac:dyDescent="0.2">
      <c r="S1015" s="1"/>
      <c r="T1015" s="109"/>
      <c r="W1015" s="130" t="str">
        <f t="shared" si="25"/>
        <v>1w</v>
      </c>
      <c r="X1015" s="128">
        <f>_xll.qlCalendarAdvance(Calendar,X1014,W1015,"f",FALSE)</f>
        <v>46357</v>
      </c>
      <c r="Y1015" s="131">
        <f>_xll.qlCalendarAdvance(Calendar,X1015,NDays&amp;"D")</f>
        <v>46359</v>
      </c>
      <c r="Z1015" s="132">
        <v>2.158888561884087E-2</v>
      </c>
      <c r="AA1015" s="129">
        <v>2.1470356681101421E-2</v>
      </c>
    </row>
    <row r="1016" spans="19:27" x14ac:dyDescent="0.2">
      <c r="S1016" s="1"/>
      <c r="T1016" s="109"/>
      <c r="W1016" s="130" t="str">
        <f t="shared" si="25"/>
        <v>1w</v>
      </c>
      <c r="X1016" s="128">
        <f>_xll.qlCalendarAdvance(Calendar,X1015,W1016,"f",FALSE)</f>
        <v>46364</v>
      </c>
      <c r="Y1016" s="131">
        <f>_xll.qlCalendarAdvance(Calendar,X1016,NDays&amp;"D")</f>
        <v>46366</v>
      </c>
      <c r="Z1016" s="132">
        <v>2.1598012607793926E-2</v>
      </c>
      <c r="AA1016" s="129">
        <v>2.1480748423048368E-2</v>
      </c>
    </row>
    <row r="1017" spans="19:27" x14ac:dyDescent="0.2">
      <c r="S1017" s="1"/>
      <c r="T1017" s="109"/>
      <c r="W1017" s="130" t="str">
        <f t="shared" si="25"/>
        <v>1w</v>
      </c>
      <c r="X1017" s="128">
        <f>_xll.qlCalendarAdvance(Calendar,X1016,W1017,"f",FALSE)</f>
        <v>46371</v>
      </c>
      <c r="Y1017" s="131">
        <f>_xll.qlCalendarAdvance(Calendar,X1017,NDays&amp;"D")</f>
        <v>46373</v>
      </c>
      <c r="Z1017" s="132">
        <v>2.1606931940405083E-2</v>
      </c>
      <c r="AA1017" s="129">
        <v>2.1490933591836736E-2</v>
      </c>
    </row>
    <row r="1018" spans="19:27" x14ac:dyDescent="0.2">
      <c r="S1018" s="1"/>
      <c r="T1018" s="109"/>
      <c r="W1018" s="130" t="str">
        <f t="shared" si="25"/>
        <v>1w</v>
      </c>
      <c r="X1018" s="128">
        <f>_xll.qlCalendarAdvance(Calendar,X1017,W1018,"f",FALSE)</f>
        <v>46378</v>
      </c>
      <c r="Y1018" s="131">
        <f>_xll.qlCalendarAdvance(Calendar,X1018,NDays&amp;"D")</f>
        <v>46380</v>
      </c>
      <c r="Z1018" s="132">
        <v>2.1615643615292335E-2</v>
      </c>
      <c r="AA1018" s="129">
        <v>2.150494760688515E-2</v>
      </c>
    </row>
    <row r="1019" spans="19:27" x14ac:dyDescent="0.2">
      <c r="S1019" s="1"/>
      <c r="T1019" s="109"/>
      <c r="W1019" s="130" t="str">
        <f t="shared" si="25"/>
        <v>1w</v>
      </c>
      <c r="X1019" s="128">
        <f>_xll.qlCalendarAdvance(Calendar,X1018,W1019,"f",FALSE)</f>
        <v>46385</v>
      </c>
      <c r="Y1019" s="131">
        <f>_xll.qlCalendarAdvance(Calendar,X1019,NDays&amp;"D")</f>
        <v>46387</v>
      </c>
      <c r="Z1019" s="132">
        <v>2.1624147631107427E-2</v>
      </c>
      <c r="AA1019" s="129">
        <v>2.1514677106910796E-2</v>
      </c>
    </row>
    <row r="1020" spans="19:27" x14ac:dyDescent="0.2">
      <c r="S1020" s="1"/>
      <c r="T1020" s="109"/>
      <c r="W1020" s="130" t="str">
        <f t="shared" si="25"/>
        <v>1w</v>
      </c>
      <c r="X1020" s="128">
        <f>_xll.qlCalendarAdvance(Calendar,X1019,W1020,"f",FALSE)</f>
        <v>46392</v>
      </c>
      <c r="Y1020" s="131">
        <f>_xll.qlCalendarAdvance(Calendar,X1020,NDays&amp;"D")</f>
        <v>46394</v>
      </c>
      <c r="Z1020" s="132">
        <v>2.1632443986531413E-2</v>
      </c>
      <c r="AA1020" s="129">
        <v>2.1520249658051327E-2</v>
      </c>
    </row>
    <row r="1021" spans="19:27" x14ac:dyDescent="0.2">
      <c r="S1021" s="1"/>
      <c r="T1021" s="109"/>
      <c r="W1021" s="130" t="str">
        <f t="shared" si="25"/>
        <v>1w</v>
      </c>
      <c r="X1021" s="128">
        <f>_xll.qlCalendarAdvance(Calendar,X1020,W1021,"f",FALSE)</f>
        <v>46399</v>
      </c>
      <c r="Y1021" s="131">
        <f>_xll.qlCalendarAdvance(Calendar,X1021,NDays&amp;"D")</f>
        <v>46401</v>
      </c>
      <c r="Z1021" s="132">
        <v>2.1640532680280877E-2</v>
      </c>
      <c r="AA1021" s="129">
        <v>2.1529608533485955E-2</v>
      </c>
    </row>
    <row r="1022" spans="19:27" x14ac:dyDescent="0.2">
      <c r="S1022" s="1"/>
      <c r="T1022" s="109"/>
      <c r="W1022" s="130" t="str">
        <f t="shared" si="25"/>
        <v>1w</v>
      </c>
      <c r="X1022" s="128">
        <f>_xll.qlCalendarAdvance(Calendar,X1021,W1022,"f",FALSE)</f>
        <v>46406</v>
      </c>
      <c r="Y1022" s="131">
        <f>_xll.qlCalendarAdvance(Calendar,X1022,NDays&amp;"D")</f>
        <v>46408</v>
      </c>
      <c r="Z1022" s="132">
        <v>2.1648413711100822E-2</v>
      </c>
      <c r="AA1022" s="129">
        <v>2.1538760835522197E-2</v>
      </c>
    </row>
    <row r="1023" spans="19:27" x14ac:dyDescent="0.2">
      <c r="S1023" s="1"/>
      <c r="T1023" s="109"/>
      <c r="W1023" s="130" t="str">
        <f t="shared" si="25"/>
        <v>1w</v>
      </c>
      <c r="X1023" s="128">
        <f>_xll.qlCalendarAdvance(Calendar,X1022,W1023,"f",FALSE)</f>
        <v>46413</v>
      </c>
      <c r="Y1023" s="131">
        <f>_xll.qlCalendarAdvance(Calendar,X1023,NDays&amp;"D")</f>
        <v>46415</v>
      </c>
      <c r="Z1023" s="132">
        <v>2.1656087077770891E-2</v>
      </c>
      <c r="AA1023" s="129">
        <v>2.1547706564160052E-2</v>
      </c>
    </row>
    <row r="1024" spans="19:27" x14ac:dyDescent="0.2">
      <c r="S1024" s="1"/>
      <c r="T1024" s="109"/>
      <c r="W1024" s="130" t="str">
        <f t="shared" si="25"/>
        <v>1w</v>
      </c>
      <c r="X1024" s="128">
        <f>_xll.qlCalendarAdvance(Calendar,X1023,W1024,"f",FALSE)</f>
        <v>46420</v>
      </c>
      <c r="Y1024" s="131">
        <f>_xll.qlCalendarAdvance(Calendar,X1024,NDays&amp;"D")</f>
        <v>46422</v>
      </c>
      <c r="Z1024" s="132">
        <v>2.166240741024229E-2</v>
      </c>
      <c r="AA1024" s="129">
        <v>2.155644571939952E-2</v>
      </c>
    </row>
    <row r="1025" spans="19:27" x14ac:dyDescent="0.2">
      <c r="S1025" s="1"/>
      <c r="T1025" s="109"/>
      <c r="W1025" s="130" t="str">
        <f t="shared" si="25"/>
        <v>1w</v>
      </c>
      <c r="X1025" s="128">
        <f>_xll.qlCalendarAdvance(Calendar,X1024,W1025,"f",FALSE)</f>
        <v>46427</v>
      </c>
      <c r="Y1025" s="131">
        <f>_xll.qlCalendarAdvance(Calendar,X1025,NDays&amp;"D")</f>
        <v>46429</v>
      </c>
      <c r="Z1025" s="132">
        <v>2.1669679841970574E-2</v>
      </c>
      <c r="AA1025" s="129">
        <v>2.15649783012406E-2</v>
      </c>
    </row>
    <row r="1026" spans="19:27" x14ac:dyDescent="0.2">
      <c r="S1026" s="1"/>
      <c r="T1026" s="109"/>
      <c r="W1026" s="130" t="str">
        <f t="shared" si="25"/>
        <v>1w</v>
      </c>
      <c r="X1026" s="128">
        <f>_xll.qlCalendarAdvance(Calendar,X1025,W1026,"f",FALSE)</f>
        <v>46434</v>
      </c>
      <c r="Y1026" s="131">
        <f>_xll.qlCalendarAdvance(Calendar,X1026,NDays&amp;"D")</f>
        <v>46436</v>
      </c>
      <c r="Z1026" s="132">
        <v>2.1676744618480893E-2</v>
      </c>
      <c r="AA1026" s="129">
        <v>2.1573304309523422E-2</v>
      </c>
    </row>
    <row r="1027" spans="19:27" x14ac:dyDescent="0.2">
      <c r="S1027" s="1"/>
      <c r="T1027" s="109"/>
      <c r="W1027" s="130" t="str">
        <f t="shared" si="25"/>
        <v>1w</v>
      </c>
      <c r="X1027" s="128">
        <f>_xll.qlCalendarAdvance(Calendar,X1026,W1027,"f",FALSE)</f>
        <v>46441</v>
      </c>
      <c r="Y1027" s="131">
        <f>_xll.qlCalendarAdvance(Calendar,X1027,NDays&amp;"D")</f>
        <v>46443</v>
      </c>
      <c r="Z1027" s="132">
        <v>2.1683601738691865E-2</v>
      </c>
      <c r="AA1027" s="129">
        <v>2.1581423744487793E-2</v>
      </c>
    </row>
    <row r="1028" spans="19:27" x14ac:dyDescent="0.2">
      <c r="S1028" s="1"/>
      <c r="T1028" s="109"/>
      <c r="W1028" s="130" t="str">
        <f t="shared" si="25"/>
        <v>1w</v>
      </c>
      <c r="X1028" s="128">
        <f>_xll.qlCalendarAdvance(Calendar,X1027,W1028,"f",FALSE)</f>
        <v>46448</v>
      </c>
      <c r="Y1028" s="131">
        <f>_xll.qlCalendarAdvance(Calendar,X1028,NDays&amp;"D")</f>
        <v>46450</v>
      </c>
      <c r="Z1028" s="132">
        <v>2.1693510318755101E-2</v>
      </c>
      <c r="AA1028" s="129">
        <v>2.1589336605973841E-2</v>
      </c>
    </row>
    <row r="1029" spans="19:27" x14ac:dyDescent="0.2">
      <c r="S1029" s="1"/>
      <c r="T1029" s="109"/>
      <c r="W1029" s="130" t="str">
        <f t="shared" si="25"/>
        <v>1w</v>
      </c>
      <c r="X1029" s="128">
        <f>_xll.qlCalendarAdvance(Calendar,X1028,W1029,"f",FALSE)</f>
        <v>46455</v>
      </c>
      <c r="Y1029" s="131">
        <f>_xll.qlCalendarAdvance(Calendar,X1029,NDays&amp;"D")</f>
        <v>46457</v>
      </c>
      <c r="Z1029" s="132">
        <v>2.1699908778325106E-2</v>
      </c>
      <c r="AA1029" s="129">
        <v>2.1597042893821694E-2</v>
      </c>
    </row>
    <row r="1030" spans="19:27" x14ac:dyDescent="0.2">
      <c r="S1030" s="1"/>
      <c r="T1030" s="109"/>
      <c r="W1030" s="130" t="str">
        <f t="shared" si="25"/>
        <v>1w</v>
      </c>
      <c r="X1030" s="128">
        <f>_xll.qlCalendarAdvance(Calendar,X1029,W1030,"f",FALSE)</f>
        <v>46462</v>
      </c>
      <c r="Y1030" s="131">
        <f>_xll.qlCalendarAdvance(Calendar,X1030,NDays&amp;"D")</f>
        <v>46464</v>
      </c>
      <c r="Z1030" s="132">
        <v>2.1706099541214385E-2</v>
      </c>
      <c r="AA1030" s="129">
        <v>2.1604542608351096E-2</v>
      </c>
    </row>
    <row r="1031" spans="19:27" x14ac:dyDescent="0.2">
      <c r="S1031" s="1"/>
      <c r="T1031" s="109"/>
      <c r="W1031" s="130" t="str">
        <f t="shared" si="25"/>
        <v>1w</v>
      </c>
      <c r="X1031" s="128">
        <f>_xll.qlCalendarAdvance(Calendar,X1030,W1031,"f",FALSE)</f>
        <v>46469</v>
      </c>
      <c r="Y1031" s="131">
        <f>_xll.qlCalendarAdvance(Calendar,X1031,NDays&amp;"D")</f>
        <v>46471</v>
      </c>
      <c r="Z1031" s="132">
        <v>2.1712082606441991E-2</v>
      </c>
      <c r="AA1031" s="129">
        <v>2.1616472833478895E-2</v>
      </c>
    </row>
    <row r="1032" spans="19:27" x14ac:dyDescent="0.2">
      <c r="S1032" s="1"/>
      <c r="T1032" s="109"/>
      <c r="W1032" s="130" t="str">
        <f t="shared" si="25"/>
        <v>1w</v>
      </c>
      <c r="X1032" s="128">
        <f>_xll.qlCalendarAdvance(Calendar,X1031,W1032,"f",FALSE)</f>
        <v>46476</v>
      </c>
      <c r="Y1032" s="131">
        <f>_xll.qlCalendarAdvance(Calendar,X1032,NDays&amp;"D")</f>
        <v>46478</v>
      </c>
      <c r="Z1032" s="132">
        <v>2.1716830810114697E-2</v>
      </c>
      <c r="AA1032" s="129">
        <v>2.1618922316815059E-2</v>
      </c>
    </row>
    <row r="1033" spans="19:27" x14ac:dyDescent="0.2">
      <c r="S1033" s="1"/>
      <c r="T1033" s="109"/>
      <c r="W1033" s="130" t="str">
        <f t="shared" si="25"/>
        <v>1w</v>
      </c>
      <c r="X1033" s="128">
        <f>_xll.qlCalendarAdvance(Calendar,X1032,W1033,"f",FALSE)</f>
        <v>46483</v>
      </c>
      <c r="Y1033" s="131">
        <f>_xll.qlCalendarAdvance(Calendar,X1033,NDays&amp;"D")</f>
        <v>46485</v>
      </c>
      <c r="Z1033" s="132">
        <v>2.1722412977092147E-2</v>
      </c>
      <c r="AA1033" s="129">
        <v>2.162580231074962E-2</v>
      </c>
    </row>
    <row r="1034" spans="19:27" x14ac:dyDescent="0.2">
      <c r="S1034" s="1"/>
      <c r="T1034" s="109"/>
      <c r="W1034" s="130" t="str">
        <f t="shared" si="25"/>
        <v>1w</v>
      </c>
      <c r="X1034" s="128">
        <f>_xll.qlCalendarAdvance(Calendar,X1033,W1034,"f",FALSE)</f>
        <v>46490</v>
      </c>
      <c r="Y1034" s="131">
        <f>_xll.qlCalendarAdvance(Calendar,X1034,NDays&amp;"D")</f>
        <v>46492</v>
      </c>
      <c r="Z1034" s="132">
        <v>2.1727787456140325E-2</v>
      </c>
      <c r="AA1034" s="129">
        <v>2.1632475731045986E-2</v>
      </c>
    </row>
    <row r="1035" spans="19:27" x14ac:dyDescent="0.2">
      <c r="S1035" s="1"/>
      <c r="T1035" s="109"/>
      <c r="W1035" s="130" t="str">
        <f t="shared" si="25"/>
        <v>1w</v>
      </c>
      <c r="X1035" s="128">
        <f>_xll.qlCalendarAdvance(Calendar,X1034,W1035,"f",FALSE)</f>
        <v>46497</v>
      </c>
      <c r="Y1035" s="131">
        <f>_xll.qlCalendarAdvance(Calendar,X1035,NDays&amp;"D")</f>
        <v>46499</v>
      </c>
      <c r="Z1035" s="132">
        <v>2.1732954246417704E-2</v>
      </c>
      <c r="AA1035" s="129">
        <v>2.1638942577943965E-2</v>
      </c>
    </row>
    <row r="1036" spans="19:27" x14ac:dyDescent="0.2">
      <c r="S1036" s="1"/>
      <c r="T1036" s="109"/>
      <c r="W1036" s="130" t="str">
        <f t="shared" si="25"/>
        <v>1w</v>
      </c>
      <c r="X1036" s="128">
        <f>_xll.qlCalendarAdvance(Calendar,X1035,W1036,"f",FALSE)</f>
        <v>46504</v>
      </c>
      <c r="Y1036" s="131">
        <f>_xll.qlCalendarAdvance(Calendar,X1036,NDays&amp;"D")</f>
        <v>46506</v>
      </c>
      <c r="Z1036" s="132">
        <v>2.1737913347112631E-2</v>
      </c>
      <c r="AA1036" s="129">
        <v>2.1645202851203749E-2</v>
      </c>
    </row>
    <row r="1037" spans="19:27" x14ac:dyDescent="0.2">
      <c r="S1037" s="1"/>
      <c r="T1037" s="109"/>
      <c r="W1037" s="130" t="str">
        <f t="shared" si="25"/>
        <v>1w</v>
      </c>
      <c r="X1037" s="128">
        <f>_xll.qlCalendarAdvance(Calendar,X1036,W1037,"f",FALSE)</f>
        <v>46511</v>
      </c>
      <c r="Y1037" s="131">
        <f>_xll.qlCalendarAdvance(Calendar,X1037,NDays&amp;"D")</f>
        <v>46513</v>
      </c>
      <c r="Z1037" s="132">
        <v>2.1743619296167742E-2</v>
      </c>
      <c r="AA1037" s="129">
        <v>2.1651256550825337E-2</v>
      </c>
    </row>
    <row r="1038" spans="19:27" x14ac:dyDescent="0.2">
      <c r="S1038" s="1"/>
      <c r="T1038" s="109"/>
      <c r="W1038" s="130" t="str">
        <f t="shared" si="25"/>
        <v>1w</v>
      </c>
      <c r="X1038" s="128">
        <f>_xll.qlCalendarAdvance(Calendar,X1037,W1038,"f",FALSE)</f>
        <v>46518</v>
      </c>
      <c r="Y1038" s="131">
        <f>_xll.qlCalendarAdvance(Calendar,X1038,NDays&amp;"D")</f>
        <v>46520</v>
      </c>
      <c r="Z1038" s="132">
        <v>2.1748148453080731E-2</v>
      </c>
      <c r="AA1038" s="129">
        <v>2.1657103676968603E-2</v>
      </c>
    </row>
    <row r="1039" spans="19:27" x14ac:dyDescent="0.2">
      <c r="S1039" s="1"/>
      <c r="T1039" s="109"/>
      <c r="W1039" s="130" t="str">
        <f t="shared" si="25"/>
        <v>1w</v>
      </c>
      <c r="X1039" s="128">
        <f>_xll.qlCalendarAdvance(Calendar,X1038,W1039,"f",FALSE)</f>
        <v>46525</v>
      </c>
      <c r="Y1039" s="131">
        <f>_xll.qlCalendarAdvance(Calendar,X1039,NDays&amp;"D")</f>
        <v>46527</v>
      </c>
      <c r="Z1039" s="132">
        <v>2.1752469905672155E-2</v>
      </c>
      <c r="AA1039" s="129">
        <v>2.1662744229393738E-2</v>
      </c>
    </row>
    <row r="1040" spans="19:27" x14ac:dyDescent="0.2">
      <c r="S1040" s="1"/>
      <c r="T1040" s="109"/>
      <c r="W1040" s="130" t="str">
        <f t="shared" si="25"/>
        <v>1w</v>
      </c>
      <c r="X1040" s="128">
        <f>_xll.qlCalendarAdvance(Calendar,X1039,W1040,"f",FALSE)</f>
        <v>46532</v>
      </c>
      <c r="Y1040" s="131">
        <f>_xll.qlCalendarAdvance(Calendar,X1040,NDays&amp;"D")</f>
        <v>46534</v>
      </c>
      <c r="Z1040" s="132">
        <v>2.1756583653259949E-2</v>
      </c>
      <c r="AA1040" s="129">
        <v>2.1668178208340549E-2</v>
      </c>
    </row>
    <row r="1041" spans="19:27" x14ac:dyDescent="0.2">
      <c r="S1041" s="1"/>
      <c r="T1041" s="109"/>
      <c r="W1041" s="130" t="str">
        <f t="shared" si="25"/>
        <v>1w</v>
      </c>
      <c r="X1041" s="128">
        <f>_xll.qlCalendarAdvance(Calendar,X1040,W1041,"f",FALSE)</f>
        <v>46539</v>
      </c>
      <c r="Y1041" s="131">
        <f>_xll.qlCalendarAdvance(Calendar,X1041,NDays&amp;"D")</f>
        <v>46541</v>
      </c>
      <c r="Z1041" s="132">
        <v>2.1760489695191589E-2</v>
      </c>
      <c r="AA1041" s="129">
        <v>2.1673405613649166E-2</v>
      </c>
    </row>
    <row r="1042" spans="19:27" x14ac:dyDescent="0.2">
      <c r="S1042" s="1"/>
      <c r="T1042" s="109"/>
      <c r="W1042" s="130" t="str">
        <f t="shared" si="25"/>
        <v>1w</v>
      </c>
      <c r="X1042" s="128">
        <f>_xll.qlCalendarAdvance(Calendar,X1041,W1042,"f",FALSE)</f>
        <v>46546</v>
      </c>
      <c r="Y1042" s="131">
        <f>_xll.qlCalendarAdvance(Calendar,X1042,NDays&amp;"D")</f>
        <v>46548</v>
      </c>
      <c r="Z1042" s="132">
        <v>2.1764188030848439E-2</v>
      </c>
      <c r="AA1042" s="129">
        <v>2.1678426445239651E-2</v>
      </c>
    </row>
    <row r="1043" spans="19:27" x14ac:dyDescent="0.2">
      <c r="S1043" s="1"/>
      <c r="T1043" s="109"/>
      <c r="W1043" s="130" t="str">
        <f t="shared" si="25"/>
        <v>1w</v>
      </c>
      <c r="X1043" s="128">
        <f>_xll.qlCalendarAdvance(Calendar,X1042,W1043,"f",FALSE)</f>
        <v>46553</v>
      </c>
      <c r="Y1043" s="131">
        <f>_xll.qlCalendarAdvance(Calendar,X1043,NDays&amp;"D")</f>
        <v>46555</v>
      </c>
      <c r="Z1043" s="132">
        <v>2.1767679019128631E-2</v>
      </c>
      <c r="AA1043" s="129">
        <v>2.1683240703351814E-2</v>
      </c>
    </row>
    <row r="1044" spans="19:27" x14ac:dyDescent="0.2">
      <c r="S1044" s="1"/>
      <c r="T1044" s="109"/>
      <c r="W1044" s="130" t="str">
        <f t="shared" si="25"/>
        <v>1w</v>
      </c>
      <c r="X1044" s="128">
        <f>_xll.qlCalendarAdvance(Calendar,X1043,W1044,"f",FALSE)</f>
        <v>46560</v>
      </c>
      <c r="Y1044" s="131">
        <f>_xll.qlCalendarAdvance(Calendar,X1044,NDays&amp;"D")</f>
        <v>46562</v>
      </c>
      <c r="Z1044" s="132">
        <v>2.1770969057161946E-2</v>
      </c>
      <c r="AA1044" s="129">
        <v>2.1687848387665909E-2</v>
      </c>
    </row>
    <row r="1045" spans="19:27" x14ac:dyDescent="0.2">
      <c r="S1045" s="1"/>
      <c r="T1045" s="109"/>
      <c r="W1045" s="130" t="str">
        <f t="shared" ref="W1045:W1108" si="26">W1044</f>
        <v>1w</v>
      </c>
      <c r="X1045" s="128">
        <f>_xll.qlCalendarAdvance(Calendar,X1044,W1045,"f",FALSE)</f>
        <v>46567</v>
      </c>
      <c r="Y1045" s="131">
        <f>_xll.qlCalendarAdvance(Calendar,X1045,NDays&amp;"D")</f>
        <v>46569</v>
      </c>
      <c r="Z1045" s="132">
        <v>2.1774069552436381E-2</v>
      </c>
      <c r="AA1045" s="129">
        <v>2.1692249498421745E-2</v>
      </c>
    </row>
    <row r="1046" spans="19:27" x14ac:dyDescent="0.2">
      <c r="S1046" s="1"/>
      <c r="T1046" s="109"/>
      <c r="W1046" s="130" t="str">
        <f t="shared" si="26"/>
        <v>1w</v>
      </c>
      <c r="X1046" s="128">
        <f>_xll.qlCalendarAdvance(Calendar,X1045,W1046,"f",FALSE)</f>
        <v>46574</v>
      </c>
      <c r="Y1046" s="131">
        <f>_xll.qlCalendarAdvance(Calendar,X1046,NDays&amp;"D")</f>
        <v>46576</v>
      </c>
      <c r="Z1046" s="132">
        <v>2.1776992064162917E-2</v>
      </c>
      <c r="AA1046" s="129">
        <v>2.1696444035539386E-2</v>
      </c>
    </row>
    <row r="1047" spans="19:27" x14ac:dyDescent="0.2">
      <c r="S1047" s="1"/>
      <c r="T1047" s="109"/>
      <c r="W1047" s="130" t="str">
        <f t="shared" si="26"/>
        <v>1w</v>
      </c>
      <c r="X1047" s="128">
        <f>_xll.qlCalendarAdvance(Calendar,X1046,W1047,"f",FALSE)</f>
        <v>46581</v>
      </c>
      <c r="Y1047" s="131">
        <f>_xll.qlCalendarAdvance(Calendar,X1047,NDays&amp;"D")</f>
        <v>46583</v>
      </c>
      <c r="Z1047" s="132">
        <v>2.1779748151609876E-2</v>
      </c>
      <c r="AA1047" s="129">
        <v>2.1700431998938896E-2</v>
      </c>
    </row>
    <row r="1048" spans="19:27" x14ac:dyDescent="0.2">
      <c r="S1048" s="1"/>
      <c r="T1048" s="109"/>
      <c r="W1048" s="130" t="str">
        <f t="shared" si="26"/>
        <v>1w</v>
      </c>
      <c r="X1048" s="128">
        <f>_xll.qlCalendarAdvance(Calendar,X1047,W1048,"f",FALSE)</f>
        <v>46588</v>
      </c>
      <c r="Y1048" s="131">
        <f>_xll.qlCalendarAdvance(Calendar,X1048,NDays&amp;"D")</f>
        <v>46590</v>
      </c>
      <c r="Z1048" s="132">
        <v>2.1782349374101194E-2</v>
      </c>
      <c r="AA1048" s="129">
        <v>2.1704213388700211E-2</v>
      </c>
    </row>
    <row r="1049" spans="19:27" x14ac:dyDescent="0.2">
      <c r="S1049" s="1"/>
      <c r="T1049" s="109"/>
      <c r="W1049" s="130" t="str">
        <f t="shared" si="26"/>
        <v>1w</v>
      </c>
      <c r="X1049" s="128">
        <f>_xll.qlCalendarAdvance(Calendar,X1048,W1049,"f",FALSE)</f>
        <v>46595</v>
      </c>
      <c r="Y1049" s="131">
        <f>_xll.qlCalendarAdvance(Calendar,X1049,NDays&amp;"D")</f>
        <v>46597</v>
      </c>
      <c r="Z1049" s="132">
        <v>2.1784807291012065E-2</v>
      </c>
      <c r="AA1049" s="129">
        <v>2.1707788204823331E-2</v>
      </c>
    </row>
    <row r="1050" spans="19:27" x14ac:dyDescent="0.2">
      <c r="S1050" s="1"/>
      <c r="T1050" s="109"/>
      <c r="W1050" s="130" t="str">
        <f t="shared" si="26"/>
        <v>1w</v>
      </c>
      <c r="X1050" s="128">
        <f>_xll.qlCalendarAdvance(Calendar,X1049,W1050,"f",FALSE)</f>
        <v>46602</v>
      </c>
      <c r="Y1050" s="131">
        <f>_xll.qlCalendarAdvance(Calendar,X1050,NDays&amp;"D")</f>
        <v>46604</v>
      </c>
      <c r="Z1050" s="132">
        <v>2.1787133461758527E-2</v>
      </c>
      <c r="AA1050" s="129">
        <v>2.1711156447148383E-2</v>
      </c>
    </row>
    <row r="1051" spans="19:27" x14ac:dyDescent="0.2">
      <c r="S1051" s="1"/>
      <c r="T1051" s="109"/>
      <c r="W1051" s="130" t="str">
        <f t="shared" si="26"/>
        <v>1w</v>
      </c>
      <c r="X1051" s="128">
        <f>_xll.qlCalendarAdvance(Calendar,X1050,W1051,"f",FALSE)</f>
        <v>46609</v>
      </c>
      <c r="Y1051" s="131">
        <f>_xll.qlCalendarAdvance(Calendar,X1051,NDays&amp;"D")</f>
        <v>46611</v>
      </c>
      <c r="Z1051" s="132">
        <v>2.1789339445804395E-2</v>
      </c>
      <c r="AA1051" s="129">
        <v>2.1714318115835241E-2</v>
      </c>
    </row>
    <row r="1052" spans="19:27" x14ac:dyDescent="0.2">
      <c r="S1052" s="1"/>
      <c r="T1052" s="109"/>
      <c r="W1052" s="130" t="str">
        <f t="shared" si="26"/>
        <v>1w</v>
      </c>
      <c r="X1052" s="128">
        <f>_xll.qlCalendarAdvance(Calendar,X1051,W1052,"f",FALSE)</f>
        <v>46616</v>
      </c>
      <c r="Y1052" s="131">
        <f>_xll.qlCalendarAdvance(Calendar,X1052,NDays&amp;"D")</f>
        <v>46618</v>
      </c>
      <c r="Z1052" s="132">
        <v>2.1791436802645638E-2</v>
      </c>
      <c r="AA1052" s="129">
        <v>2.1717273210803967E-2</v>
      </c>
    </row>
    <row r="1053" spans="19:27" x14ac:dyDescent="0.2">
      <c r="S1053" s="1"/>
      <c r="T1053" s="109"/>
      <c r="W1053" s="130" t="str">
        <f t="shared" si="26"/>
        <v>1w</v>
      </c>
      <c r="X1053" s="128">
        <f>_xll.qlCalendarAdvance(Calendar,X1052,W1053,"f",FALSE)</f>
        <v>46623</v>
      </c>
      <c r="Y1053" s="131">
        <f>_xll.qlCalendarAdvance(Calendar,X1053,NDays&amp;"D")</f>
        <v>46625</v>
      </c>
      <c r="Z1053" s="132">
        <v>2.1793437091815592E-2</v>
      </c>
      <c r="AA1053" s="129">
        <v>2.1720021732134498E-2</v>
      </c>
    </row>
    <row r="1054" spans="19:27" x14ac:dyDescent="0.2">
      <c r="S1054" s="1"/>
      <c r="T1054" s="109"/>
      <c r="W1054" s="130" t="str">
        <f t="shared" si="26"/>
        <v>1w</v>
      </c>
      <c r="X1054" s="128">
        <f>_xll.qlCalendarAdvance(Calendar,X1053,W1054,"f",FALSE)</f>
        <v>46630</v>
      </c>
      <c r="Y1054" s="131">
        <f>_xll.qlCalendarAdvance(Calendar,X1054,NDays&amp;"D")</f>
        <v>46632</v>
      </c>
      <c r="Z1054" s="132">
        <v>2.1794568825375751E-2</v>
      </c>
      <c r="AA1054" s="129">
        <v>2.1722563679746898E-2</v>
      </c>
    </row>
    <row r="1055" spans="19:27" x14ac:dyDescent="0.2">
      <c r="S1055" s="1"/>
      <c r="T1055" s="109"/>
      <c r="W1055" s="130" t="str">
        <f t="shared" si="26"/>
        <v>1w</v>
      </c>
      <c r="X1055" s="128">
        <f>_xll.qlCalendarAdvance(Calendar,X1054,W1055,"f",FALSE)</f>
        <v>46637</v>
      </c>
      <c r="Y1055" s="131">
        <f>_xll.qlCalendarAdvance(Calendar,X1055,NDays&amp;"D")</f>
        <v>46639</v>
      </c>
      <c r="Z1055" s="132">
        <v>2.1796413609268869E-2</v>
      </c>
      <c r="AA1055" s="129">
        <v>2.1724899053641167E-2</v>
      </c>
    </row>
    <row r="1056" spans="19:27" x14ac:dyDescent="0.2">
      <c r="S1056" s="1"/>
      <c r="T1056" s="109"/>
      <c r="W1056" s="130" t="str">
        <f t="shared" si="26"/>
        <v>1w</v>
      </c>
      <c r="X1056" s="128">
        <f>_xll.qlCalendarAdvance(Calendar,X1055,W1056,"f",FALSE)</f>
        <v>46644</v>
      </c>
      <c r="Y1056" s="131">
        <f>_xll.qlCalendarAdvance(Calendar,X1056,NDays&amp;"D")</f>
        <v>46646</v>
      </c>
      <c r="Z1056" s="132">
        <v>2.1798195782129146E-2</v>
      </c>
      <c r="AA1056" s="129">
        <v>2.17270468691666E-2</v>
      </c>
    </row>
    <row r="1057" spans="19:27" x14ac:dyDescent="0.2">
      <c r="S1057" s="1"/>
      <c r="T1057" s="109"/>
      <c r="W1057" s="130" t="str">
        <f t="shared" si="26"/>
        <v>1w</v>
      </c>
      <c r="X1057" s="128">
        <f>_xll.qlCalendarAdvance(Calendar,X1056,W1057,"f",FALSE)</f>
        <v>46651</v>
      </c>
      <c r="Y1057" s="131">
        <f>_xll.qlCalendarAdvance(Calendar,X1057,NDays&amp;"D")</f>
        <v>46653</v>
      </c>
      <c r="Z1057" s="132">
        <v>2.1799921811518012E-2</v>
      </c>
      <c r="AA1057" s="129">
        <v>2.1729120190840945E-2</v>
      </c>
    </row>
    <row r="1058" spans="19:27" x14ac:dyDescent="0.2">
      <c r="S1058" s="1"/>
      <c r="T1058" s="109"/>
      <c r="W1058" s="130" t="str">
        <f t="shared" si="26"/>
        <v>1w</v>
      </c>
      <c r="X1058" s="128">
        <f>_xll.qlCalendarAdvance(Calendar,X1057,W1058,"f",FALSE)</f>
        <v>46658</v>
      </c>
      <c r="Y1058" s="131">
        <f>_xll.qlCalendarAdvance(Calendar,X1058,NDays&amp;"D")</f>
        <v>46660</v>
      </c>
      <c r="Z1058" s="132">
        <v>2.180235951209299E-2</v>
      </c>
      <c r="AA1058" s="129">
        <v>2.1731138034013497E-2</v>
      </c>
    </row>
    <row r="1059" spans="19:27" x14ac:dyDescent="0.2">
      <c r="S1059" s="1"/>
      <c r="T1059" s="109"/>
      <c r="W1059" s="130" t="str">
        <f t="shared" si="26"/>
        <v>1w</v>
      </c>
      <c r="X1059" s="128">
        <f>_xll.qlCalendarAdvance(Calendar,X1058,W1059,"f",FALSE)</f>
        <v>46665</v>
      </c>
      <c r="Y1059" s="131">
        <f>_xll.qlCalendarAdvance(Calendar,X1059,NDays&amp;"D")</f>
        <v>46667</v>
      </c>
      <c r="Z1059" s="132">
        <v>2.1803970094114652E-2</v>
      </c>
      <c r="AA1059" s="129">
        <v>2.1733100398764194E-2</v>
      </c>
    </row>
    <row r="1060" spans="19:27" x14ac:dyDescent="0.2">
      <c r="S1060" s="1"/>
      <c r="T1060" s="109"/>
      <c r="W1060" s="130" t="str">
        <f t="shared" si="26"/>
        <v>1w</v>
      </c>
      <c r="X1060" s="128">
        <f>_xll.qlCalendarAdvance(Calendar,X1059,W1060,"f",FALSE)</f>
        <v>46672</v>
      </c>
      <c r="Y1060" s="131">
        <f>_xll.qlCalendarAdvance(Calendar,X1060,NDays&amp;"D")</f>
        <v>46674</v>
      </c>
      <c r="Z1060" s="132">
        <v>2.1805524892500341E-2</v>
      </c>
      <c r="AA1060" s="129">
        <v>2.1735007284933161E-2</v>
      </c>
    </row>
    <row r="1061" spans="19:27" x14ac:dyDescent="0.2">
      <c r="S1061" s="1"/>
      <c r="T1061" s="109"/>
      <c r="W1061" s="130" t="str">
        <f t="shared" si="26"/>
        <v>1w</v>
      </c>
      <c r="X1061" s="128">
        <f>_xll.qlCalendarAdvance(Calendar,X1060,W1061,"f",FALSE)</f>
        <v>46679</v>
      </c>
      <c r="Y1061" s="131">
        <f>_xll.qlCalendarAdvance(Calendar,X1061,NDays&amp;"D")</f>
        <v>46681</v>
      </c>
      <c r="Z1061" s="132">
        <v>2.1807023907184898E-2</v>
      </c>
      <c r="AA1061" s="129">
        <v>2.1736858692680272E-2</v>
      </c>
    </row>
    <row r="1062" spans="19:27" x14ac:dyDescent="0.2">
      <c r="S1062" s="1"/>
      <c r="T1062" s="109"/>
      <c r="W1062" s="130" t="str">
        <f t="shared" si="26"/>
        <v>1w</v>
      </c>
      <c r="X1062" s="128">
        <f>_xll.qlCalendarAdvance(Calendar,X1061,W1062,"f",FALSE)</f>
        <v>46686</v>
      </c>
      <c r="Y1062" s="131">
        <f>_xll.qlCalendarAdvance(Calendar,X1062,NDays&amp;"D")</f>
        <v>46688</v>
      </c>
      <c r="Z1062" s="132">
        <v>2.1808467138104887E-2</v>
      </c>
      <c r="AA1062" s="129">
        <v>2.1738654621925591E-2</v>
      </c>
    </row>
    <row r="1063" spans="19:27" x14ac:dyDescent="0.2">
      <c r="S1063" s="1"/>
      <c r="T1063" s="109"/>
      <c r="W1063" s="130" t="str">
        <f t="shared" si="26"/>
        <v>1w</v>
      </c>
      <c r="X1063" s="128">
        <f>_xll.qlCalendarAdvance(Calendar,X1062,W1063,"f",FALSE)</f>
        <v>46693</v>
      </c>
      <c r="Y1063" s="131">
        <f>_xll.qlCalendarAdvance(Calendar,X1063,NDays&amp;"D")</f>
        <v>46695</v>
      </c>
      <c r="Z1063" s="132">
        <v>2.1809854585197755E-2</v>
      </c>
      <c r="AA1063" s="129">
        <v>2.174039507258918E-2</v>
      </c>
    </row>
    <row r="1064" spans="19:27" x14ac:dyDescent="0.2">
      <c r="S1064" s="1"/>
      <c r="T1064" s="109"/>
      <c r="W1064" s="130" t="str">
        <f t="shared" si="26"/>
        <v>1w</v>
      </c>
      <c r="X1064" s="128">
        <f>_xll.qlCalendarAdvance(Calendar,X1063,W1064,"f",FALSE)</f>
        <v>46700</v>
      </c>
      <c r="Y1064" s="131">
        <f>_xll.qlCalendarAdvance(Calendar,X1064,NDays&amp;"D")</f>
        <v>46702</v>
      </c>
      <c r="Z1064" s="132">
        <v>2.1811186248404415E-2</v>
      </c>
      <c r="AA1064" s="129">
        <v>2.1742080044830914E-2</v>
      </c>
    </row>
    <row r="1065" spans="19:27" x14ac:dyDescent="0.2">
      <c r="S1065" s="1"/>
      <c r="T1065" s="109"/>
      <c r="W1065" s="130" t="str">
        <f t="shared" si="26"/>
        <v>1w</v>
      </c>
      <c r="X1065" s="128">
        <f>_xll.qlCalendarAdvance(Calendar,X1064,W1065,"f",FALSE)</f>
        <v>46707</v>
      </c>
      <c r="Y1065" s="131">
        <f>_xll.qlCalendarAdvance(Calendar,X1065,NDays&amp;"D")</f>
        <v>46709</v>
      </c>
      <c r="Z1065" s="132">
        <v>2.1812462127668394E-2</v>
      </c>
      <c r="AA1065" s="129">
        <v>2.1743709538490918E-2</v>
      </c>
    </row>
    <row r="1066" spans="19:27" x14ac:dyDescent="0.2">
      <c r="S1066" s="1"/>
      <c r="T1066" s="109"/>
      <c r="W1066" s="130" t="str">
        <f t="shared" si="26"/>
        <v>1w</v>
      </c>
      <c r="X1066" s="128">
        <f>_xll.qlCalendarAdvance(Calendar,X1065,W1066,"f",FALSE)</f>
        <v>46714</v>
      </c>
      <c r="Y1066" s="131">
        <f>_xll.qlCalendarAdvance(Calendar,X1066,NDays&amp;"D")</f>
        <v>46716</v>
      </c>
      <c r="Z1066" s="132">
        <v>2.1813682222936691E-2</v>
      </c>
      <c r="AA1066" s="129">
        <v>2.1745283553649131E-2</v>
      </c>
    </row>
    <row r="1067" spans="19:27" x14ac:dyDescent="0.2">
      <c r="S1067" s="1"/>
      <c r="T1067" s="109"/>
      <c r="W1067" s="130" t="str">
        <f t="shared" si="26"/>
        <v>1w</v>
      </c>
      <c r="X1067" s="128">
        <f>_xll.qlCalendarAdvance(Calendar,X1066,W1067,"f",FALSE)</f>
        <v>46721</v>
      </c>
      <c r="Y1067" s="131">
        <f>_xll.qlCalendarAdvance(Calendar,X1067,NDays&amp;"D")</f>
        <v>46723</v>
      </c>
      <c r="Z1067" s="132">
        <v>2.1814114187414056E-2</v>
      </c>
      <c r="AA1067" s="129">
        <v>2.1746802090385486E-2</v>
      </c>
    </row>
    <row r="1068" spans="19:27" x14ac:dyDescent="0.2">
      <c r="S1068" s="1"/>
      <c r="T1068" s="109"/>
      <c r="W1068" s="130" t="str">
        <f t="shared" si="26"/>
        <v>1w</v>
      </c>
      <c r="X1068" s="128">
        <f>_xll.qlCalendarAdvance(Calendar,X1067,W1068,"f",FALSE)</f>
        <v>46728</v>
      </c>
      <c r="Y1068" s="131">
        <f>_xll.qlCalendarAdvance(Calendar,X1068,NDays&amp;"D")</f>
        <v>46730</v>
      </c>
      <c r="Z1068" s="132">
        <v>2.1815226631890811E-2</v>
      </c>
      <c r="AA1068" s="129">
        <v>2.1748265148540114E-2</v>
      </c>
    </row>
    <row r="1069" spans="19:27" x14ac:dyDescent="0.2">
      <c r="S1069" s="1"/>
      <c r="T1069" s="109"/>
      <c r="W1069" s="130" t="str">
        <f t="shared" si="26"/>
        <v>1w</v>
      </c>
      <c r="X1069" s="128">
        <f>_xll.qlCalendarAdvance(Calendar,X1068,W1069,"f",FALSE)</f>
        <v>46735</v>
      </c>
      <c r="Y1069" s="131">
        <f>_xll.qlCalendarAdvance(Calendar,X1069,NDays&amp;"D")</f>
        <v>46737</v>
      </c>
      <c r="Z1069" s="132">
        <v>2.1816283295593281E-2</v>
      </c>
      <c r="AA1069" s="129">
        <v>2.1749672728272884E-2</v>
      </c>
    </row>
    <row r="1070" spans="19:27" x14ac:dyDescent="0.2">
      <c r="S1070" s="1"/>
      <c r="T1070" s="109"/>
      <c r="W1070" s="130" t="str">
        <f t="shared" si="26"/>
        <v>1w</v>
      </c>
      <c r="X1070" s="128">
        <f>_xll.qlCalendarAdvance(Calendar,X1069,W1070,"f",FALSE)</f>
        <v>46742</v>
      </c>
      <c r="Y1070" s="131">
        <f>_xll.qlCalendarAdvance(Calendar,X1070,NDays&amp;"D")</f>
        <v>46744</v>
      </c>
      <c r="Z1070" s="132">
        <v>2.1817284178477548E-2</v>
      </c>
      <c r="AA1070" s="129">
        <v>2.1751024829423926E-2</v>
      </c>
    </row>
    <row r="1071" spans="19:27" x14ac:dyDescent="0.2">
      <c r="S1071" s="1"/>
      <c r="T1071" s="109"/>
      <c r="W1071" s="130" t="str">
        <f t="shared" si="26"/>
        <v>1w</v>
      </c>
      <c r="X1071" s="128">
        <f>_xll.qlCalendarAdvance(Calendar,X1070,W1071,"f",FALSE)</f>
        <v>46749</v>
      </c>
      <c r="Y1071" s="131">
        <f>_xll.qlCalendarAdvance(Calendar,X1071,NDays&amp;"D")</f>
        <v>46751</v>
      </c>
      <c r="Z1071" s="132">
        <v>2.181822928050144E-2</v>
      </c>
      <c r="AA1071" s="129">
        <v>2.1752321452153112E-2</v>
      </c>
    </row>
    <row r="1072" spans="19:27" x14ac:dyDescent="0.2">
      <c r="S1072" s="1"/>
      <c r="T1072" s="109"/>
      <c r="W1072" s="130" t="str">
        <f t="shared" si="26"/>
        <v>1w</v>
      </c>
      <c r="X1072" s="128">
        <f>_xll.qlCalendarAdvance(Calendar,X1071,W1072,"f",FALSE)</f>
        <v>46756</v>
      </c>
      <c r="Y1072" s="131">
        <f>_xll.qlCalendarAdvance(Calendar,X1072,NDays&amp;"D")</f>
        <v>46758</v>
      </c>
      <c r="Z1072" s="132">
        <v>2.181911860162368E-2</v>
      </c>
      <c r="AA1072" s="129">
        <v>2.1753562596300569E-2</v>
      </c>
    </row>
    <row r="1073" spans="19:27" x14ac:dyDescent="0.2">
      <c r="S1073" s="1"/>
      <c r="T1073" s="109"/>
      <c r="W1073" s="130" t="str">
        <f t="shared" si="26"/>
        <v>1w</v>
      </c>
      <c r="X1073" s="128">
        <f>_xll.qlCalendarAdvance(Calendar,X1072,W1073,"f",FALSE)</f>
        <v>46763</v>
      </c>
      <c r="Y1073" s="131">
        <f>_xll.qlCalendarAdvance(Calendar,X1073,NDays&amp;"D")</f>
        <v>46765</v>
      </c>
      <c r="Z1073" s="132">
        <v>2.1819952141809124E-2</v>
      </c>
      <c r="AA1073" s="129">
        <v>2.1754748262026169E-2</v>
      </c>
    </row>
    <row r="1074" spans="19:27" x14ac:dyDescent="0.2">
      <c r="S1074" s="1"/>
      <c r="T1074" s="109"/>
      <c r="W1074" s="130" t="str">
        <f t="shared" si="26"/>
        <v>1w</v>
      </c>
      <c r="X1074" s="128">
        <f>_xll.qlCalendarAdvance(Calendar,X1073,W1074,"f",FALSE)</f>
        <v>46770</v>
      </c>
      <c r="Y1074" s="131">
        <f>_xll.qlCalendarAdvance(Calendar,X1074,NDays&amp;"D")</f>
        <v>46772</v>
      </c>
      <c r="Z1074" s="132">
        <v>2.1820729901020006E-2</v>
      </c>
      <c r="AA1074" s="129">
        <v>2.1755878449090105E-2</v>
      </c>
    </row>
    <row r="1075" spans="19:27" x14ac:dyDescent="0.2">
      <c r="S1075" s="1"/>
      <c r="T1075" s="109"/>
      <c r="W1075" s="130" t="str">
        <f t="shared" si="26"/>
        <v>1w</v>
      </c>
      <c r="X1075" s="128">
        <f>_xll.qlCalendarAdvance(Calendar,X1074,W1075,"f",FALSE)</f>
        <v>46777</v>
      </c>
      <c r="Y1075" s="131">
        <f>_xll.qlCalendarAdvance(Calendar,X1075,NDays&amp;"D")</f>
        <v>46779</v>
      </c>
      <c r="Z1075" s="132">
        <v>2.1821451879226454E-2</v>
      </c>
      <c r="AA1075" s="129">
        <v>2.175695315781212E-2</v>
      </c>
    </row>
    <row r="1076" spans="19:27" x14ac:dyDescent="0.2">
      <c r="S1076" s="1"/>
      <c r="T1076" s="109"/>
      <c r="W1076" s="130" t="str">
        <f t="shared" si="26"/>
        <v>1w</v>
      </c>
      <c r="X1076" s="128">
        <f>_xll.qlCalendarAdvance(Calendar,X1075,W1076,"f",FALSE)</f>
        <v>46784</v>
      </c>
      <c r="Y1076" s="131">
        <f>_xll.qlCalendarAdvance(Calendar,X1076,NDays&amp;"D")</f>
        <v>46786</v>
      </c>
      <c r="Z1076" s="132">
        <v>2.1821420758854515E-2</v>
      </c>
      <c r="AA1076" s="129">
        <v>2.1757972387952407E-2</v>
      </c>
    </row>
    <row r="1077" spans="19:27" x14ac:dyDescent="0.2">
      <c r="S1077" s="1"/>
      <c r="T1077" s="109"/>
      <c r="W1077" s="130" t="str">
        <f t="shared" si="26"/>
        <v>1w</v>
      </c>
      <c r="X1077" s="128">
        <f>_xll.qlCalendarAdvance(Calendar,X1076,W1077,"f",FALSE)</f>
        <v>46791</v>
      </c>
      <c r="Y1077" s="131">
        <f>_xll.qlCalendarAdvance(Calendar,X1077,NDays&amp;"D")</f>
        <v>46793</v>
      </c>
      <c r="Z1077" s="132">
        <v>2.1822035122183614E-2</v>
      </c>
      <c r="AA1077" s="129">
        <v>2.1758936139670837E-2</v>
      </c>
    </row>
    <row r="1078" spans="19:27" x14ac:dyDescent="0.2">
      <c r="S1078" s="1"/>
      <c r="T1078" s="109"/>
      <c r="W1078" s="130" t="str">
        <f t="shared" si="26"/>
        <v>1w</v>
      </c>
      <c r="X1078" s="128">
        <f>_xll.qlCalendarAdvance(Calendar,X1077,W1078,"f",FALSE)</f>
        <v>46798</v>
      </c>
      <c r="Y1078" s="131">
        <f>_xll.qlCalendarAdvance(Calendar,X1078,NDays&amp;"D")</f>
        <v>46800</v>
      </c>
      <c r="Z1078" s="132">
        <v>2.1822593707796045E-2</v>
      </c>
      <c r="AA1078" s="129">
        <v>2.1759844412727603E-2</v>
      </c>
    </row>
    <row r="1079" spans="19:27" x14ac:dyDescent="0.2">
      <c r="S1079" s="1"/>
      <c r="T1079" s="109"/>
      <c r="W1079" s="130" t="str">
        <f t="shared" si="26"/>
        <v>1w</v>
      </c>
      <c r="X1079" s="128">
        <f>_xll.qlCalendarAdvance(Calendar,X1078,W1079,"f",FALSE)</f>
        <v>46805</v>
      </c>
      <c r="Y1079" s="131">
        <f>_xll.qlCalendarAdvance(Calendar,X1079,NDays&amp;"D")</f>
        <v>46807</v>
      </c>
      <c r="Z1079" s="132">
        <v>2.1823096515667828E-2</v>
      </c>
      <c r="AA1079" s="129">
        <v>2.1760697207362512E-2</v>
      </c>
    </row>
    <row r="1080" spans="19:27" x14ac:dyDescent="0.2">
      <c r="S1080" s="1"/>
      <c r="T1080" s="109"/>
      <c r="W1080" s="130" t="str">
        <f t="shared" si="26"/>
        <v>1w</v>
      </c>
      <c r="X1080" s="128">
        <f>_xll.qlCalendarAdvance(Calendar,X1079,W1080,"f",FALSE)</f>
        <v>46812</v>
      </c>
      <c r="Y1080" s="131">
        <f>_xll.qlCalendarAdvance(Calendar,X1080,NDays&amp;"D")</f>
        <v>46814</v>
      </c>
      <c r="Z1080" s="132">
        <v>2.1824906212301577E-2</v>
      </c>
      <c r="AA1080" s="129">
        <v>2.1761494523415692E-2</v>
      </c>
    </row>
    <row r="1081" spans="19:27" x14ac:dyDescent="0.2">
      <c r="S1081" s="1"/>
      <c r="T1081" s="109"/>
      <c r="W1081" s="130" t="str">
        <f t="shared" si="26"/>
        <v>1w</v>
      </c>
      <c r="X1081" s="128">
        <f>_xll.qlCalendarAdvance(Calendar,X1080,W1081,"f",FALSE)</f>
        <v>46819</v>
      </c>
      <c r="Y1081" s="131">
        <f>_xll.qlCalendarAdvance(Calendar,X1081,NDays&amp;"D")</f>
        <v>46821</v>
      </c>
      <c r="Z1081" s="132">
        <v>2.1825289542722892E-2</v>
      </c>
      <c r="AA1081" s="129">
        <v>2.1762236361047016E-2</v>
      </c>
    </row>
    <row r="1082" spans="19:27" x14ac:dyDescent="0.2">
      <c r="S1082" s="1"/>
      <c r="T1082" s="109"/>
      <c r="W1082" s="130" t="str">
        <f t="shared" si="26"/>
        <v>1w</v>
      </c>
      <c r="X1082" s="128">
        <f>_xll.qlCalendarAdvance(Calendar,X1081,W1082,"f",FALSE)</f>
        <v>46826</v>
      </c>
      <c r="Y1082" s="131">
        <f>_xll.qlCalendarAdvance(Calendar,X1082,NDays&amp;"D")</f>
        <v>46828</v>
      </c>
      <c r="Z1082" s="132">
        <v>2.1825617088601139E-2</v>
      </c>
      <c r="AA1082" s="129">
        <v>2.1762922720256483E-2</v>
      </c>
    </row>
    <row r="1083" spans="19:27" x14ac:dyDescent="0.2">
      <c r="S1083" s="1"/>
      <c r="T1083" s="109"/>
      <c r="W1083" s="130" t="str">
        <f t="shared" si="26"/>
        <v>1w</v>
      </c>
      <c r="X1083" s="128">
        <f>_xll.qlCalendarAdvance(Calendar,X1082,W1083,"f",FALSE)</f>
        <v>46833</v>
      </c>
      <c r="Y1083" s="131">
        <f>_xll.qlCalendarAdvance(Calendar,X1083,NDays&amp;"D")</f>
        <v>46835</v>
      </c>
      <c r="Z1083" s="132">
        <v>2.1825888849922412E-2</v>
      </c>
      <c r="AA1083" s="129">
        <v>2.1763553600804286E-2</v>
      </c>
    </row>
    <row r="1084" spans="19:27" x14ac:dyDescent="0.2">
      <c r="S1084" s="1"/>
      <c r="T1084" s="109"/>
      <c r="W1084" s="130" t="str">
        <f t="shared" si="26"/>
        <v>1w</v>
      </c>
      <c r="X1084" s="128">
        <f>_xll.qlCalendarAdvance(Calendar,X1083,W1084,"f",FALSE)</f>
        <v>46840</v>
      </c>
      <c r="Y1084" s="131">
        <f>_xll.qlCalendarAdvance(Calendar,X1084,NDays&amp;"D")</f>
        <v>46842</v>
      </c>
      <c r="Z1084" s="132">
        <v>2.1826104826677153E-2</v>
      </c>
      <c r="AA1084" s="129">
        <v>2.1764129002850297E-2</v>
      </c>
    </row>
    <row r="1085" spans="19:27" x14ac:dyDescent="0.2">
      <c r="S1085" s="1"/>
      <c r="T1085" s="109"/>
      <c r="W1085" s="130" t="str">
        <f t="shared" si="26"/>
        <v>1w</v>
      </c>
      <c r="X1085" s="128">
        <f>_xll.qlCalendarAdvance(Calendar,X1084,W1085,"f",FALSE)</f>
        <v>46847</v>
      </c>
      <c r="Y1085" s="131">
        <f>_xll.qlCalendarAdvance(Calendar,X1085,NDays&amp;"D")</f>
        <v>46849</v>
      </c>
      <c r="Z1085" s="132">
        <v>2.1825603700447341E-2</v>
      </c>
      <c r="AA1085" s="129">
        <v>2.176464892647445E-2</v>
      </c>
    </row>
    <row r="1086" spans="19:27" x14ac:dyDescent="0.2">
      <c r="S1086" s="1"/>
      <c r="T1086" s="109"/>
      <c r="W1086" s="130" t="str">
        <f t="shared" si="26"/>
        <v>1w</v>
      </c>
      <c r="X1086" s="128">
        <f>_xll.qlCalendarAdvance(Calendar,X1085,W1086,"f",FALSE)</f>
        <v>46854</v>
      </c>
      <c r="Y1086" s="131">
        <f>_xll.qlCalendarAdvance(Calendar,X1086,NDays&amp;"D")</f>
        <v>46856</v>
      </c>
      <c r="Z1086" s="132">
        <v>2.1825712086102959E-2</v>
      </c>
      <c r="AA1086" s="129">
        <v>2.1767866715070028E-2</v>
      </c>
    </row>
    <row r="1087" spans="19:27" x14ac:dyDescent="0.2">
      <c r="S1087" s="1"/>
      <c r="T1087" s="109"/>
      <c r="W1087" s="130" t="str">
        <f t="shared" si="26"/>
        <v>1w</v>
      </c>
      <c r="X1087" s="128">
        <f>_xll.qlCalendarAdvance(Calendar,X1086,W1087,"f",FALSE)</f>
        <v>46861</v>
      </c>
      <c r="Y1087" s="131">
        <f>_xll.qlCalendarAdvance(Calendar,X1087,NDays&amp;"D")</f>
        <v>46863</v>
      </c>
      <c r="Z1087" s="132">
        <v>2.1825764690541566E-2</v>
      </c>
      <c r="AA1087" s="129">
        <v>2.1765522338057508E-2</v>
      </c>
    </row>
    <row r="1088" spans="19:27" x14ac:dyDescent="0.2">
      <c r="S1088" s="1"/>
      <c r="T1088" s="109"/>
      <c r="W1088" s="130" t="str">
        <f t="shared" si="26"/>
        <v>1w</v>
      </c>
      <c r="X1088" s="128">
        <f>_xll.qlCalendarAdvance(Calendar,X1087,W1088,"f",FALSE)</f>
        <v>46868</v>
      </c>
      <c r="Y1088" s="131">
        <f>_xll.qlCalendarAdvance(Calendar,X1088,NDays&amp;"D")</f>
        <v>46870</v>
      </c>
      <c r="Z1088" s="132">
        <v>2.1825761513762285E-2</v>
      </c>
      <c r="AA1088" s="129">
        <v>2.1765875826096348E-2</v>
      </c>
    </row>
    <row r="1089" spans="19:27" x14ac:dyDescent="0.2">
      <c r="S1089" s="1"/>
      <c r="T1089" s="109"/>
      <c r="W1089" s="130" t="str">
        <f t="shared" si="26"/>
        <v>1w</v>
      </c>
      <c r="X1089" s="128">
        <f>_xll.qlCalendarAdvance(Calendar,X1088,W1089,"f",FALSE)</f>
        <v>46875</v>
      </c>
      <c r="Y1089" s="131">
        <f>_xll.qlCalendarAdvance(Calendar,X1089,NDays&amp;"D")</f>
        <v>46877</v>
      </c>
      <c r="Z1089" s="132">
        <v>2.1826347941695707E-2</v>
      </c>
      <c r="AA1089" s="129">
        <v>2.1766173835633396E-2</v>
      </c>
    </row>
    <row r="1090" spans="19:27" x14ac:dyDescent="0.2">
      <c r="S1090" s="1"/>
      <c r="T1090" s="109"/>
      <c r="W1090" s="130" t="str">
        <f t="shared" si="26"/>
        <v>1w</v>
      </c>
      <c r="X1090" s="128">
        <f>_xll.qlCalendarAdvance(Calendar,X1089,W1090,"f",FALSE)</f>
        <v>46882</v>
      </c>
      <c r="Y1090" s="131">
        <f>_xll.qlCalendarAdvance(Calendar,X1090,NDays&amp;"D")</f>
        <v>46884</v>
      </c>
      <c r="Z1090" s="132">
        <v>2.182622921093396E-2</v>
      </c>
      <c r="AA1090" s="129">
        <v>2.1766416366588714E-2</v>
      </c>
    </row>
    <row r="1091" spans="19:27" x14ac:dyDescent="0.2">
      <c r="S1091" s="1"/>
      <c r="T1091" s="109"/>
      <c r="W1091" s="130" t="str">
        <f t="shared" si="26"/>
        <v>1w</v>
      </c>
      <c r="X1091" s="128">
        <f>_xll.qlCalendarAdvance(Calendar,X1090,W1091,"f",FALSE)</f>
        <v>46889</v>
      </c>
      <c r="Y1091" s="131">
        <f>_xll.qlCalendarAdvance(Calendar,X1091,NDays&amp;"D")</f>
        <v>46891</v>
      </c>
      <c r="Z1091" s="132">
        <v>2.1826054695590916E-2</v>
      </c>
      <c r="AA1091" s="129">
        <v>2.1766603419122177E-2</v>
      </c>
    </row>
    <row r="1092" spans="19:27" x14ac:dyDescent="0.2">
      <c r="S1092" s="1"/>
      <c r="T1092" s="109"/>
      <c r="W1092" s="130" t="str">
        <f t="shared" si="26"/>
        <v>1w</v>
      </c>
      <c r="X1092" s="128">
        <f>_xll.qlCalendarAdvance(Calendar,X1091,W1092,"f",FALSE)</f>
        <v>46896</v>
      </c>
      <c r="Y1092" s="131">
        <f>_xll.qlCalendarAdvance(Calendar,X1092,NDays&amp;"D")</f>
        <v>46898</v>
      </c>
      <c r="Z1092" s="132">
        <v>2.1825824395672648E-2</v>
      </c>
      <c r="AA1092" s="129">
        <v>2.1766734993073911E-2</v>
      </c>
    </row>
    <row r="1093" spans="19:27" x14ac:dyDescent="0.2">
      <c r="S1093" s="1"/>
      <c r="T1093" s="109"/>
      <c r="W1093" s="130" t="str">
        <f t="shared" si="26"/>
        <v>1w</v>
      </c>
      <c r="X1093" s="128">
        <f>_xll.qlCalendarAdvance(Calendar,X1092,W1093,"f",FALSE)</f>
        <v>46903</v>
      </c>
      <c r="Y1093" s="131">
        <f>_xll.qlCalendarAdvance(Calendar,X1093,NDays&amp;"D")</f>
        <v>46905</v>
      </c>
      <c r="Z1093" s="132">
        <v>2.182553831118959E-2</v>
      </c>
      <c r="AA1093" s="129">
        <v>2.1766811088603788E-2</v>
      </c>
    </row>
    <row r="1094" spans="19:27" x14ac:dyDescent="0.2">
      <c r="S1094" s="1"/>
      <c r="T1094" s="109"/>
      <c r="W1094" s="130" t="str">
        <f t="shared" si="26"/>
        <v>1w</v>
      </c>
      <c r="X1094" s="128">
        <f>_xll.qlCalendarAdvance(Calendar,X1093,W1094,"f",FALSE)</f>
        <v>46910</v>
      </c>
      <c r="Y1094" s="131">
        <f>_xll.qlCalendarAdvance(Calendar,X1094,NDays&amp;"D")</f>
        <v>46912</v>
      </c>
      <c r="Z1094" s="132">
        <v>2.1825196442153031E-2</v>
      </c>
      <c r="AA1094" s="129">
        <v>2.1766831705551937E-2</v>
      </c>
    </row>
    <row r="1095" spans="19:27" x14ac:dyDescent="0.2">
      <c r="S1095" s="1"/>
      <c r="T1095" s="109"/>
      <c r="W1095" s="130" t="str">
        <f t="shared" si="26"/>
        <v>1w</v>
      </c>
      <c r="X1095" s="128">
        <f>_xll.qlCalendarAdvance(Calendar,X1094,W1095,"f",FALSE)</f>
        <v>46917</v>
      </c>
      <c r="Y1095" s="131">
        <f>_xll.qlCalendarAdvance(Calendar,X1095,NDays&amp;"D")</f>
        <v>46919</v>
      </c>
      <c r="Z1095" s="132">
        <v>2.1824798788579482E-2</v>
      </c>
      <c r="AA1095" s="129">
        <v>2.1766796843998293E-2</v>
      </c>
    </row>
    <row r="1096" spans="19:27" x14ac:dyDescent="0.2">
      <c r="S1096" s="1"/>
      <c r="T1096" s="109"/>
      <c r="W1096" s="130" t="str">
        <f t="shared" si="26"/>
        <v>1w</v>
      </c>
      <c r="X1096" s="128">
        <f>_xll.qlCalendarAdvance(Calendar,X1095,W1096,"f",FALSE)</f>
        <v>46924</v>
      </c>
      <c r="Y1096" s="131">
        <f>_xll.qlCalendarAdvance(Calendar,X1096,NDays&amp;"D")</f>
        <v>46926</v>
      </c>
      <c r="Z1096" s="132">
        <v>2.1824345350483717E-2</v>
      </c>
      <c r="AA1096" s="129">
        <v>2.176670650386292E-2</v>
      </c>
    </row>
    <row r="1097" spans="19:27" x14ac:dyDescent="0.2">
      <c r="S1097" s="1"/>
      <c r="T1097" s="109"/>
      <c r="W1097" s="130" t="str">
        <f t="shared" si="26"/>
        <v>1w</v>
      </c>
      <c r="X1097" s="128">
        <f>_xll.qlCalendarAdvance(Calendar,X1096,W1097,"f",FALSE)</f>
        <v>46931</v>
      </c>
      <c r="Y1097" s="131">
        <f>_xll.qlCalendarAdvance(Calendar,X1097,NDays&amp;"D")</f>
        <v>46933</v>
      </c>
      <c r="Z1097" s="132">
        <v>2.1823836127886586E-2</v>
      </c>
      <c r="AA1097" s="129">
        <v>2.1766560685385627E-2</v>
      </c>
    </row>
    <row r="1098" spans="19:27" x14ac:dyDescent="0.2">
      <c r="S1098" s="1"/>
      <c r="T1098" s="109"/>
      <c r="W1098" s="130" t="str">
        <f t="shared" si="26"/>
        <v>1w</v>
      </c>
      <c r="X1098" s="128">
        <f>_xll.qlCalendarAdvance(Calendar,X1097,W1098,"f",FALSE)</f>
        <v>46938</v>
      </c>
      <c r="Y1098" s="131">
        <f>_xll.qlCalendarAdvance(Calendar,X1098,NDays&amp;"D")</f>
        <v>46940</v>
      </c>
      <c r="Z1098" s="132">
        <v>2.1823271120809808E-2</v>
      </c>
      <c r="AA1098" s="129">
        <v>2.1766359388326606E-2</v>
      </c>
    </row>
    <row r="1099" spans="19:27" x14ac:dyDescent="0.2">
      <c r="S1099" s="1"/>
      <c r="T1099" s="109"/>
      <c r="W1099" s="130" t="str">
        <f t="shared" si="26"/>
        <v>1w</v>
      </c>
      <c r="X1099" s="128">
        <f>_xll.qlCalendarAdvance(Calendar,X1098,W1099,"f",FALSE)</f>
        <v>46945</v>
      </c>
      <c r="Y1099" s="131">
        <f>_xll.qlCalendarAdvance(Calendar,X1099,NDays&amp;"D")</f>
        <v>46947</v>
      </c>
      <c r="Z1099" s="132">
        <v>2.1822650329274239E-2</v>
      </c>
      <c r="AA1099" s="129">
        <v>2.1766102612685856E-2</v>
      </c>
    </row>
    <row r="1100" spans="19:27" x14ac:dyDescent="0.2">
      <c r="S1100" s="1"/>
      <c r="T1100" s="109"/>
      <c r="W1100" s="130" t="str">
        <f t="shared" si="26"/>
        <v>1w</v>
      </c>
      <c r="X1100" s="128">
        <f>_xll.qlCalendarAdvance(Calendar,X1099,W1100,"f",FALSE)</f>
        <v>46952</v>
      </c>
      <c r="Y1100" s="131">
        <f>_xll.qlCalendarAdvance(Calendar,X1100,NDays&amp;"D")</f>
        <v>46954</v>
      </c>
      <c r="Z1100" s="132">
        <v>2.1821973753311158E-2</v>
      </c>
      <c r="AA1100" s="129">
        <v>2.1765790358623249E-2</v>
      </c>
    </row>
    <row r="1101" spans="19:27" x14ac:dyDescent="0.2">
      <c r="S1101" s="1"/>
      <c r="T1101" s="109"/>
      <c r="W1101" s="130" t="str">
        <f t="shared" si="26"/>
        <v>1w</v>
      </c>
      <c r="X1101" s="128">
        <f>_xll.qlCalendarAdvance(Calendar,X1100,W1101,"f",FALSE)</f>
        <v>46959</v>
      </c>
      <c r="Y1101" s="131">
        <f>_xll.qlCalendarAdvance(Calendar,X1101,NDays&amp;"D")</f>
        <v>46961</v>
      </c>
      <c r="Z1101" s="132">
        <v>2.1821241392945764E-2</v>
      </c>
      <c r="AA1101" s="129">
        <v>2.1765422625978914E-2</v>
      </c>
    </row>
    <row r="1102" spans="19:27" x14ac:dyDescent="0.2">
      <c r="S1102" s="1"/>
      <c r="T1102" s="109"/>
      <c r="W1102" s="130" t="str">
        <f t="shared" si="26"/>
        <v>1w</v>
      </c>
      <c r="X1102" s="128">
        <f>_xll.qlCalendarAdvance(Calendar,X1101,W1102,"f",FALSE)</f>
        <v>46966</v>
      </c>
      <c r="Y1102" s="131">
        <f>_xll.qlCalendarAdvance(Calendar,X1102,NDays&amp;"D")</f>
        <v>46968</v>
      </c>
      <c r="Z1102" s="132">
        <v>2.182045324821107E-2</v>
      </c>
      <c r="AA1102" s="129">
        <v>2.1764999414912722E-2</v>
      </c>
    </row>
    <row r="1103" spans="19:27" x14ac:dyDescent="0.2">
      <c r="S1103" s="1"/>
      <c r="T1103" s="109"/>
      <c r="W1103" s="130" t="str">
        <f t="shared" si="26"/>
        <v>1w</v>
      </c>
      <c r="X1103" s="128">
        <f>_xll.qlCalendarAdvance(Calendar,X1102,W1103,"f",FALSE)</f>
        <v>46973</v>
      </c>
      <c r="Y1103" s="131">
        <f>_xll.qlCalendarAdvance(Calendar,X1103,NDays&amp;"D")</f>
        <v>46975</v>
      </c>
      <c r="Z1103" s="132">
        <v>2.1819609319138358E-2</v>
      </c>
      <c r="AA1103" s="129">
        <v>2.1764520725184866E-2</v>
      </c>
    </row>
    <row r="1104" spans="19:27" x14ac:dyDescent="0.2">
      <c r="S1104" s="1"/>
      <c r="T1104" s="109"/>
      <c r="W1104" s="130" t="str">
        <f t="shared" si="26"/>
        <v>1w</v>
      </c>
      <c r="X1104" s="128">
        <f>_xll.qlCalendarAdvance(Calendar,X1103,W1104,"f",FALSE)</f>
        <v>46980</v>
      </c>
      <c r="Y1104" s="131">
        <f>_xll.qlCalendarAdvance(Calendar,X1104,NDays&amp;"D")</f>
        <v>46982</v>
      </c>
      <c r="Z1104" s="132">
        <v>2.1818709605766727E-2</v>
      </c>
      <c r="AA1104" s="129">
        <v>2.1763986557035153E-2</v>
      </c>
    </row>
    <row r="1105" spans="19:27" x14ac:dyDescent="0.2">
      <c r="S1105" s="1"/>
      <c r="T1105" s="109"/>
      <c r="W1105" s="130" t="str">
        <f t="shared" si="26"/>
        <v>1w</v>
      </c>
      <c r="X1105" s="128">
        <f>_xll.qlCalendarAdvance(Calendar,X1104,W1105,"f",FALSE)</f>
        <v>46987</v>
      </c>
      <c r="Y1105" s="131">
        <f>_xll.qlCalendarAdvance(Calendar,X1105,NDays&amp;"D")</f>
        <v>46989</v>
      </c>
      <c r="Z1105" s="132">
        <v>2.18177541081318E-2</v>
      </c>
      <c r="AA1105" s="129">
        <v>2.1763396910383648E-2</v>
      </c>
    </row>
    <row r="1106" spans="19:27" x14ac:dyDescent="0.2">
      <c r="S1106" s="1"/>
      <c r="T1106" s="109"/>
      <c r="W1106" s="130" t="str">
        <f t="shared" si="26"/>
        <v>1w</v>
      </c>
      <c r="X1106" s="128">
        <f>_xll.qlCalendarAdvance(Calendar,X1105,W1106,"f",FALSE)</f>
        <v>46994</v>
      </c>
      <c r="Y1106" s="131">
        <f>_xll.qlCalendarAdvance(Calendar,X1106,NDays&amp;"D")</f>
        <v>46996</v>
      </c>
      <c r="Z1106" s="132">
        <v>2.181616575506564E-2</v>
      </c>
      <c r="AA1106" s="129">
        <v>2.176275178523035E-2</v>
      </c>
    </row>
    <row r="1107" spans="19:27" x14ac:dyDescent="0.2">
      <c r="S1107" s="1"/>
      <c r="T1107" s="109"/>
      <c r="W1107" s="130" t="str">
        <f t="shared" si="26"/>
        <v>1w</v>
      </c>
      <c r="X1107" s="128">
        <f>_xll.qlCalendarAdvance(Calendar,X1106,W1107,"f",FALSE)</f>
        <v>47001</v>
      </c>
      <c r="Y1107" s="131">
        <f>_xll.qlCalendarAdvance(Calendar,X1107,NDays&amp;"D")</f>
        <v>47003</v>
      </c>
      <c r="Z1107" s="132">
        <v>2.1815102737852924E-2</v>
      </c>
      <c r="AA1107" s="129">
        <v>2.1762051181495323E-2</v>
      </c>
    </row>
    <row r="1108" spans="19:27" x14ac:dyDescent="0.2">
      <c r="S1108" s="1"/>
      <c r="T1108" s="109"/>
      <c r="W1108" s="130" t="str">
        <f t="shared" si="26"/>
        <v>1w</v>
      </c>
      <c r="X1108" s="128">
        <f>_xll.qlCalendarAdvance(Calendar,X1107,W1108,"f",FALSE)</f>
        <v>47008</v>
      </c>
      <c r="Y1108" s="131">
        <f>_xll.qlCalendarAdvance(Calendar,X1108,NDays&amp;"D")</f>
        <v>47010</v>
      </c>
      <c r="Z1108" s="132">
        <v>2.1813983939872071E-2</v>
      </c>
      <c r="AA1108" s="129">
        <v>2.176129509933844E-2</v>
      </c>
    </row>
    <row r="1109" spans="19:27" x14ac:dyDescent="0.2">
      <c r="S1109" s="1"/>
      <c r="T1109" s="109"/>
      <c r="W1109" s="130" t="str">
        <f t="shared" ref="W1109:W1172" si="27">W1108</f>
        <v>1w</v>
      </c>
      <c r="X1109" s="128">
        <f>_xll.qlCalendarAdvance(Calendar,X1108,W1109,"f",FALSE)</f>
        <v>47015</v>
      </c>
      <c r="Y1109" s="131">
        <f>_xll.qlCalendarAdvance(Calendar,X1109,NDays&amp;"D")</f>
        <v>47017</v>
      </c>
      <c r="Z1109" s="132">
        <v>2.181280936117052E-2</v>
      </c>
      <c r="AA1109" s="129">
        <v>2.1760483538679765E-2</v>
      </c>
    </row>
    <row r="1110" spans="19:27" x14ac:dyDescent="0.2">
      <c r="S1110" s="1"/>
      <c r="T1110" s="109"/>
      <c r="W1110" s="130" t="str">
        <f t="shared" si="27"/>
        <v>1w</v>
      </c>
      <c r="X1110" s="128">
        <f>_xll.qlCalendarAdvance(Calendar,X1109,W1110,"f",FALSE)</f>
        <v>47022</v>
      </c>
      <c r="Y1110" s="131">
        <f>_xll.qlCalendarAdvance(Calendar,X1110,NDays&amp;"D")</f>
        <v>47024</v>
      </c>
      <c r="Z1110" s="132">
        <v>2.1811579001794819E-2</v>
      </c>
      <c r="AA1110" s="129">
        <v>2.175961649943936E-2</v>
      </c>
    </row>
    <row r="1111" spans="19:27" x14ac:dyDescent="0.2">
      <c r="S1111" s="1"/>
      <c r="T1111" s="109"/>
      <c r="W1111" s="130" t="str">
        <f t="shared" si="27"/>
        <v>1w</v>
      </c>
      <c r="X1111" s="128">
        <f>_xll.qlCalendarAdvance(Calendar,X1110,W1111,"f",FALSE)</f>
        <v>47029</v>
      </c>
      <c r="Y1111" s="131">
        <f>_xll.qlCalendarAdvance(Calendar,X1111,NDays&amp;"D")</f>
        <v>47031</v>
      </c>
      <c r="Z1111" s="132">
        <v>2.1810849655257147E-2</v>
      </c>
      <c r="AA1111" s="129">
        <v>2.17586939817771E-2</v>
      </c>
    </row>
    <row r="1112" spans="19:27" x14ac:dyDescent="0.2">
      <c r="S1112" s="1"/>
      <c r="T1112" s="109"/>
      <c r="W1112" s="130" t="str">
        <f t="shared" si="27"/>
        <v>1w</v>
      </c>
      <c r="X1112" s="128">
        <f>_xll.qlCalendarAdvance(Calendar,X1111,W1112,"f",FALSE)</f>
        <v>47036</v>
      </c>
      <c r="Y1112" s="131">
        <f>_xll.qlCalendarAdvance(Calendar,X1112,NDays&amp;"D")</f>
        <v>47038</v>
      </c>
      <c r="Z1112" s="132">
        <v>2.1809503669058129E-2</v>
      </c>
      <c r="AA1112" s="129">
        <v>2.1757715985453174E-2</v>
      </c>
    </row>
    <row r="1113" spans="19:27" x14ac:dyDescent="0.2">
      <c r="S1113" s="1"/>
      <c r="T1113" s="109"/>
      <c r="W1113" s="130" t="str">
        <f t="shared" si="27"/>
        <v>1w</v>
      </c>
      <c r="X1113" s="128">
        <f>_xll.qlCalendarAdvance(Calendar,X1112,W1113,"f",FALSE)</f>
        <v>47043</v>
      </c>
      <c r="Y1113" s="131">
        <f>_xll.qlCalendarAdvance(Calendar,X1113,NDays&amp;"D")</f>
        <v>47045</v>
      </c>
      <c r="Z1113" s="132">
        <v>2.1808101898986808E-2</v>
      </c>
      <c r="AA1113" s="129">
        <v>2.1756682510787329E-2</v>
      </c>
    </row>
    <row r="1114" spans="19:27" x14ac:dyDescent="0.2">
      <c r="S1114" s="1"/>
      <c r="T1114" s="109"/>
      <c r="W1114" s="130" t="str">
        <f t="shared" si="27"/>
        <v>1w</v>
      </c>
      <c r="X1114" s="128">
        <f>_xll.qlCalendarAdvance(Calendar,X1113,W1114,"f",FALSE)</f>
        <v>47050</v>
      </c>
      <c r="Y1114" s="131">
        <f>_xll.qlCalendarAdvance(Calendar,X1114,NDays&amp;"D")</f>
        <v>47052</v>
      </c>
      <c r="Z1114" s="132">
        <v>2.1806644345104868E-2</v>
      </c>
      <c r="AA1114" s="129">
        <v>2.1755593557539754E-2</v>
      </c>
    </row>
    <row r="1115" spans="19:27" x14ac:dyDescent="0.2">
      <c r="S1115" s="1"/>
      <c r="T1115" s="109"/>
      <c r="W1115" s="130" t="str">
        <f t="shared" si="27"/>
        <v>1w</v>
      </c>
      <c r="X1115" s="128">
        <f>_xll.qlCalendarAdvance(Calendar,X1114,W1115,"f",FALSE)</f>
        <v>47057</v>
      </c>
      <c r="Y1115" s="131">
        <f>_xll.qlCalendarAdvance(Calendar,X1115,NDays&amp;"D")</f>
        <v>47059</v>
      </c>
      <c r="Z1115" s="132">
        <v>2.1805131007474009E-2</v>
      </c>
      <c r="AA1115" s="129">
        <v>2.1754449125790387E-2</v>
      </c>
    </row>
    <row r="1116" spans="19:27" x14ac:dyDescent="0.2">
      <c r="S1116" s="1"/>
      <c r="T1116" s="109"/>
      <c r="W1116" s="130" t="str">
        <f t="shared" si="27"/>
        <v>1w</v>
      </c>
      <c r="X1116" s="128">
        <f>_xll.qlCalendarAdvance(Calendar,X1115,W1116,"f",FALSE)</f>
        <v>47064</v>
      </c>
      <c r="Y1116" s="131">
        <f>_xll.qlCalendarAdvance(Calendar,X1116,NDays&amp;"D")</f>
        <v>47066</v>
      </c>
      <c r="Z1116" s="132">
        <v>2.180356188615765E-2</v>
      </c>
      <c r="AA1116" s="129">
        <v>2.1753249215539228E-2</v>
      </c>
    </row>
    <row r="1117" spans="19:27" x14ac:dyDescent="0.2">
      <c r="S1117" s="1"/>
      <c r="T1117" s="109"/>
      <c r="W1117" s="130" t="str">
        <f t="shared" si="27"/>
        <v>1w</v>
      </c>
      <c r="X1117" s="128">
        <f>_xll.qlCalendarAdvance(Calendar,X1116,W1117,"f",FALSE)</f>
        <v>47071</v>
      </c>
      <c r="Y1117" s="131">
        <f>_xll.qlCalendarAdvance(Calendar,X1117,NDays&amp;"D")</f>
        <v>47073</v>
      </c>
      <c r="Z1117" s="132">
        <v>2.1801936981223565E-2</v>
      </c>
      <c r="AA1117" s="129">
        <v>2.1751993826786276E-2</v>
      </c>
    </row>
    <row r="1118" spans="19:27" x14ac:dyDescent="0.2">
      <c r="S1118" s="1"/>
      <c r="T1118" s="109"/>
      <c r="W1118" s="130" t="str">
        <f t="shared" si="27"/>
        <v>1w</v>
      </c>
      <c r="X1118" s="128">
        <f>_xll.qlCalendarAdvance(Calendar,X1117,W1118,"f",FALSE)</f>
        <v>47078</v>
      </c>
      <c r="Y1118" s="131">
        <f>_xll.qlCalendarAdvance(Calendar,X1118,NDays&amp;"D")</f>
        <v>47080</v>
      </c>
      <c r="Z1118" s="132">
        <v>2.1800256292741266E-2</v>
      </c>
      <c r="AA1118" s="129">
        <v>2.1750682959531531E-2</v>
      </c>
    </row>
    <row r="1119" spans="19:27" x14ac:dyDescent="0.2">
      <c r="S1119" s="1"/>
      <c r="T1119" s="109"/>
      <c r="W1119" s="130" t="str">
        <f t="shared" si="27"/>
        <v>1w</v>
      </c>
      <c r="X1119" s="128">
        <f>_xll.qlCalendarAdvance(Calendar,X1118,W1119,"f",FALSE)</f>
        <v>47085</v>
      </c>
      <c r="Y1119" s="131">
        <f>_xll.qlCalendarAdvance(Calendar,X1119,NDays&amp;"D")</f>
        <v>47087</v>
      </c>
      <c r="Z1119" s="132">
        <v>2.1797471102998678E-2</v>
      </c>
      <c r="AA1119" s="129">
        <v>2.1749316613774994E-2</v>
      </c>
    </row>
    <row r="1120" spans="19:27" x14ac:dyDescent="0.2">
      <c r="S1120" s="1"/>
      <c r="T1120" s="109"/>
      <c r="W1120" s="130" t="str">
        <f t="shared" si="27"/>
        <v>1w</v>
      </c>
      <c r="X1120" s="128">
        <f>_xll.qlCalendarAdvance(Calendar,X1119,W1120,"f",FALSE)</f>
        <v>47092</v>
      </c>
      <c r="Y1120" s="131">
        <f>_xll.qlCalendarAdvance(Calendar,X1120,NDays&amp;"D")</f>
        <v>47094</v>
      </c>
      <c r="Z1120" s="132">
        <v>2.1795687032143185E-2</v>
      </c>
      <c r="AA1120" s="129">
        <v>2.1747894789436728E-2</v>
      </c>
    </row>
    <row r="1121" spans="19:27" x14ac:dyDescent="0.2">
      <c r="S1121" s="1"/>
      <c r="T1121" s="109"/>
      <c r="W1121" s="130" t="str">
        <f t="shared" si="27"/>
        <v>1w</v>
      </c>
      <c r="X1121" s="128">
        <f>_xll.qlCalendarAdvance(Calendar,X1120,W1121,"f",FALSE)</f>
        <v>47099</v>
      </c>
      <c r="Y1121" s="131">
        <f>_xll.qlCalendarAdvance(Calendar,X1121,NDays&amp;"D")</f>
        <v>47101</v>
      </c>
      <c r="Z1121" s="132">
        <v>2.1793847184667037E-2</v>
      </c>
      <c r="AA1121" s="129">
        <v>2.1746417486676606E-2</v>
      </c>
    </row>
    <row r="1122" spans="19:27" x14ac:dyDescent="0.2">
      <c r="S1122" s="1"/>
      <c r="T1122" s="109"/>
      <c r="W1122" s="130" t="str">
        <f t="shared" si="27"/>
        <v>1w</v>
      </c>
      <c r="X1122" s="128">
        <f>_xll.qlCalendarAdvance(Calendar,X1121,W1122,"f",FALSE)</f>
        <v>47106</v>
      </c>
      <c r="Y1122" s="131">
        <f>_xll.qlCalendarAdvance(Calendar,X1122,NDays&amp;"D")</f>
        <v>47108</v>
      </c>
      <c r="Z1122" s="132">
        <v>2.1791951560645728E-2</v>
      </c>
      <c r="AA1122" s="129">
        <v>2.1744884705414691E-2</v>
      </c>
    </row>
    <row r="1123" spans="19:27" x14ac:dyDescent="0.2">
      <c r="S1123" s="1"/>
      <c r="T1123" s="109"/>
      <c r="W1123" s="130" t="str">
        <f t="shared" si="27"/>
        <v>1w</v>
      </c>
      <c r="X1123" s="128">
        <f>_xll.qlCalendarAdvance(Calendar,X1122,W1123,"f",FALSE)</f>
        <v>47114</v>
      </c>
      <c r="Y1123" s="131">
        <f>_xll.qlCalendarAdvance(Calendar,X1123,NDays&amp;"D")</f>
        <v>47116</v>
      </c>
      <c r="Z1123" s="132">
        <v>2.1789716835485251E-2</v>
      </c>
      <c r="AA1123" s="129">
        <v>2.1744684910214307E-2</v>
      </c>
    </row>
    <row r="1124" spans="19:27" x14ac:dyDescent="0.2">
      <c r="S1124" s="1"/>
      <c r="T1124" s="109"/>
      <c r="W1124" s="130" t="str">
        <f t="shared" si="27"/>
        <v>1w</v>
      </c>
      <c r="X1124" s="128">
        <f>_xll.qlCalendarAdvance(Calendar,X1123,W1124,"f",FALSE)</f>
        <v>47121</v>
      </c>
      <c r="Y1124" s="131">
        <f>_xll.qlCalendarAdvance(Calendar,X1124,NDays&amp;"D")</f>
        <v>47123</v>
      </c>
      <c r="Z1124" s="132">
        <v>2.1787701690566763E-2</v>
      </c>
      <c r="AA1124" s="129">
        <v>2.1742485523015276E-2</v>
      </c>
    </row>
    <row r="1125" spans="19:27" x14ac:dyDescent="0.2">
      <c r="S1125" s="1"/>
      <c r="T1125" s="109"/>
      <c r="W1125" s="130" t="str">
        <f t="shared" si="27"/>
        <v>1w</v>
      </c>
      <c r="X1125" s="128">
        <f>_xll.qlCalendarAdvance(Calendar,X1124,W1125,"f",FALSE)</f>
        <v>47128</v>
      </c>
      <c r="Y1125" s="131">
        <f>_xll.qlCalendarAdvance(Calendar,X1125,NDays&amp;"D")</f>
        <v>47130</v>
      </c>
      <c r="Z1125" s="132">
        <v>2.1785630769358022E-2</v>
      </c>
      <c r="AA1125" s="129">
        <v>2.1740770248079855E-2</v>
      </c>
    </row>
    <row r="1126" spans="19:27" x14ac:dyDescent="0.2">
      <c r="S1126" s="1"/>
      <c r="T1126" s="109"/>
      <c r="W1126" s="130" t="str">
        <f t="shared" si="27"/>
        <v>1w</v>
      </c>
      <c r="X1126" s="128">
        <f>_xll.qlCalendarAdvance(Calendar,X1125,W1126,"f",FALSE)</f>
        <v>47135</v>
      </c>
      <c r="Y1126" s="131">
        <f>_xll.qlCalendarAdvance(Calendar,X1126,NDays&amp;"D")</f>
        <v>47137</v>
      </c>
      <c r="Z1126" s="132">
        <v>2.1783504071948734E-2</v>
      </c>
      <c r="AA1126" s="129">
        <v>2.1738999487981303E-2</v>
      </c>
    </row>
    <row r="1127" spans="19:27" x14ac:dyDescent="0.2">
      <c r="S1127" s="1"/>
      <c r="T1127" s="109"/>
      <c r="W1127" s="130" t="str">
        <f t="shared" si="27"/>
        <v>1w</v>
      </c>
      <c r="X1127" s="128">
        <f>_xll.qlCalendarAdvance(Calendar,X1126,W1127,"f",FALSE)</f>
        <v>47142</v>
      </c>
      <c r="Y1127" s="131">
        <f>_xll.qlCalendarAdvance(Calendar,X1127,NDays&amp;"D")</f>
        <v>47144</v>
      </c>
      <c r="Z1127" s="132">
        <v>2.1781321598425052E-2</v>
      </c>
      <c r="AA1127" s="129">
        <v>2.1737173242692975E-2</v>
      </c>
    </row>
    <row r="1128" spans="19:27" x14ac:dyDescent="0.2">
      <c r="S1128" s="1"/>
      <c r="T1128" s="109"/>
      <c r="W1128" s="130" t="str">
        <f t="shared" si="27"/>
        <v>1w</v>
      </c>
      <c r="X1128" s="128">
        <f>_xll.qlCalendarAdvance(Calendar,X1127,W1128,"f",FALSE)</f>
        <v>47149</v>
      </c>
      <c r="Y1128" s="131">
        <f>_xll.qlCalendarAdvance(Calendar,X1128,NDays&amp;"D")</f>
        <v>47151</v>
      </c>
      <c r="Z1128" s="132">
        <v>2.1778595969282302E-2</v>
      </c>
      <c r="AA1128" s="129">
        <v>2.1735291512214872E-2</v>
      </c>
    </row>
    <row r="1129" spans="19:27" x14ac:dyDescent="0.2">
      <c r="S1129" s="1"/>
      <c r="T1129" s="109"/>
      <c r="W1129" s="130" t="str">
        <f t="shared" si="27"/>
        <v>1w</v>
      </c>
      <c r="X1129" s="128">
        <f>_xll.qlCalendarAdvance(Calendar,X1128,W1129,"f",FALSE)</f>
        <v>47156</v>
      </c>
      <c r="Y1129" s="131">
        <f>_xll.qlCalendarAdvance(Calendar,X1129,NDays&amp;"D")</f>
        <v>47158</v>
      </c>
      <c r="Z1129" s="132">
        <v>2.1776306065948381E-2</v>
      </c>
      <c r="AA1129" s="129">
        <v>2.1733354296573637E-2</v>
      </c>
    </row>
    <row r="1130" spans="19:27" x14ac:dyDescent="0.2">
      <c r="S1130" s="1"/>
      <c r="T1130" s="109"/>
      <c r="W1130" s="130" t="str">
        <f t="shared" si="27"/>
        <v>1w</v>
      </c>
      <c r="X1130" s="128">
        <f>_xll.qlCalendarAdvance(Calendar,X1129,W1130,"f",FALSE)</f>
        <v>47163</v>
      </c>
      <c r="Y1130" s="131">
        <f>_xll.qlCalendarAdvance(Calendar,X1130,NDays&amp;"D")</f>
        <v>47165</v>
      </c>
      <c r="Z1130" s="132">
        <v>2.1773960390120424E-2</v>
      </c>
      <c r="AA1130" s="129">
        <v>2.1731361595742626E-2</v>
      </c>
    </row>
    <row r="1131" spans="19:27" x14ac:dyDescent="0.2">
      <c r="S1131" s="1"/>
      <c r="T1131" s="109"/>
      <c r="W1131" s="130" t="str">
        <f t="shared" si="27"/>
        <v>1w</v>
      </c>
      <c r="X1131" s="128">
        <f>_xll.qlCalendarAdvance(Calendar,X1130,W1131,"f",FALSE)</f>
        <v>47170</v>
      </c>
      <c r="Y1131" s="131">
        <f>_xll.qlCalendarAdvance(Calendar,X1131,NDays&amp;"D")</f>
        <v>47172</v>
      </c>
      <c r="Z1131" s="132">
        <v>2.1771558941899024E-2</v>
      </c>
      <c r="AA1131" s="129">
        <v>2.1729313409748485E-2</v>
      </c>
    </row>
    <row r="1132" spans="19:27" x14ac:dyDescent="0.2">
      <c r="S1132" s="1"/>
      <c r="T1132" s="109"/>
      <c r="W1132" s="130" t="str">
        <f t="shared" si="27"/>
        <v>1w</v>
      </c>
      <c r="X1132" s="128">
        <f>_xll.qlCalendarAdvance(Calendar,X1131,W1132,"f",FALSE)</f>
        <v>47177</v>
      </c>
      <c r="Y1132" s="131">
        <f>_xll.qlCalendarAdvance(Calendar,X1132,NDays&amp;"D")</f>
        <v>47179</v>
      </c>
      <c r="Z1132" s="132">
        <v>2.177145232080065E-2</v>
      </c>
      <c r="AA1132" s="129">
        <v>2.1727209738564568E-2</v>
      </c>
    </row>
    <row r="1133" spans="19:27" x14ac:dyDescent="0.2">
      <c r="S1133" s="1"/>
      <c r="T1133" s="109"/>
      <c r="W1133" s="130" t="str">
        <f t="shared" si="27"/>
        <v>1w</v>
      </c>
      <c r="X1133" s="128">
        <f>_xll.qlCalendarAdvance(Calendar,X1132,W1133,"f",FALSE)</f>
        <v>47184</v>
      </c>
      <c r="Y1133" s="131">
        <f>_xll.qlCalendarAdvance(Calendar,X1133,NDays&amp;"D")</f>
        <v>47186</v>
      </c>
      <c r="Z1133" s="132">
        <v>2.1768918645690083E-2</v>
      </c>
      <c r="AA1133" s="129">
        <v>2.1725050582244165E-2</v>
      </c>
    </row>
    <row r="1134" spans="19:27" x14ac:dyDescent="0.2">
      <c r="S1134" s="1"/>
      <c r="T1134" s="109"/>
      <c r="W1134" s="130" t="str">
        <f t="shared" si="27"/>
        <v>1w</v>
      </c>
      <c r="X1134" s="128">
        <f>_xll.qlCalendarAdvance(Calendar,X1133,W1134,"f",FALSE)</f>
        <v>47191</v>
      </c>
      <c r="Y1134" s="131">
        <f>_xll.qlCalendarAdvance(Calendar,X1134,NDays&amp;"D")</f>
        <v>47193</v>
      </c>
      <c r="Z1134" s="132">
        <v>2.1766329181799111E-2</v>
      </c>
      <c r="AA1134" s="129">
        <v>2.1722835940787277E-2</v>
      </c>
    </row>
    <row r="1135" spans="19:27" x14ac:dyDescent="0.2">
      <c r="S1135" s="1"/>
      <c r="T1135" s="109"/>
      <c r="W1135" s="130" t="str">
        <f t="shared" si="27"/>
        <v>1w</v>
      </c>
      <c r="X1135" s="128">
        <f>_xll.qlCalendarAdvance(Calendar,X1134,W1135,"f",FALSE)</f>
        <v>47198</v>
      </c>
      <c r="Y1135" s="131">
        <f>_xll.qlCalendarAdvance(Calendar,X1135,NDays&amp;"D")</f>
        <v>47200</v>
      </c>
      <c r="Z1135" s="132">
        <v>2.1763683929240839E-2</v>
      </c>
      <c r="AA1135" s="129">
        <v>2.1720565814113968E-2</v>
      </c>
    </row>
    <row r="1136" spans="19:27" x14ac:dyDescent="0.2">
      <c r="S1136" s="1"/>
      <c r="T1136" s="109"/>
      <c r="W1136" s="130" t="str">
        <f t="shared" si="27"/>
        <v>1w</v>
      </c>
      <c r="X1136" s="128">
        <f>_xll.qlCalendarAdvance(Calendar,X1135,W1136,"f",FALSE)</f>
        <v>47205</v>
      </c>
      <c r="Y1136" s="131">
        <f>_xll.qlCalendarAdvance(Calendar,X1136,NDays&amp;"D")</f>
        <v>47211</v>
      </c>
      <c r="Z1136" s="132">
        <v>2.1758061972480335E-2</v>
      </c>
      <c r="AA1136" s="129">
        <v>2.1715916930116208E-2</v>
      </c>
    </row>
    <row r="1137" spans="19:27" x14ac:dyDescent="0.2">
      <c r="S1137" s="1"/>
      <c r="T1137" s="109"/>
      <c r="W1137" s="130" t="str">
        <f t="shared" si="27"/>
        <v>1w</v>
      </c>
      <c r="X1137" s="128">
        <f>_xll.qlCalendarAdvance(Calendar,X1136,W1137,"f",FALSE)</f>
        <v>47212</v>
      </c>
      <c r="Y1137" s="131">
        <f>_xll.qlCalendarAdvance(Calendar,X1137,NDays&amp;"D")</f>
        <v>47214</v>
      </c>
      <c r="Z1137" s="132">
        <v>2.1756878980207402E-2</v>
      </c>
      <c r="AA1137" s="129">
        <v>2.1715859105411184E-2</v>
      </c>
    </row>
    <row r="1138" spans="19:27" x14ac:dyDescent="0.2">
      <c r="S1138" s="1"/>
      <c r="T1138" s="109"/>
      <c r="W1138" s="130" t="str">
        <f t="shared" si="27"/>
        <v>1w</v>
      </c>
      <c r="X1138" s="128">
        <f>_xll.qlCalendarAdvance(Calendar,X1137,W1138,"f",FALSE)</f>
        <v>47219</v>
      </c>
      <c r="Y1138" s="131">
        <f>_xll.qlCalendarAdvance(Calendar,X1138,NDays&amp;"D")</f>
        <v>47221</v>
      </c>
      <c r="Z1138" s="132">
        <v>2.175407882326592E-2</v>
      </c>
      <c r="AA1138" s="129">
        <v>2.1713422523301773E-2</v>
      </c>
    </row>
    <row r="1139" spans="19:27" x14ac:dyDescent="0.2">
      <c r="S1139" s="1"/>
      <c r="T1139" s="109"/>
      <c r="W1139" s="130" t="str">
        <f t="shared" si="27"/>
        <v>1w</v>
      </c>
      <c r="X1139" s="128">
        <f>_xll.qlCalendarAdvance(Calendar,X1138,W1139,"f",FALSE)</f>
        <v>47226</v>
      </c>
      <c r="Y1139" s="131">
        <f>_xll.qlCalendarAdvance(Calendar,X1139,NDays&amp;"D")</f>
        <v>47228</v>
      </c>
      <c r="Z1139" s="132">
        <v>2.1751222888121282E-2</v>
      </c>
      <c r="AA1139" s="129">
        <v>2.1710930456055877E-2</v>
      </c>
    </row>
    <row r="1140" spans="19:27" x14ac:dyDescent="0.2">
      <c r="S1140" s="1"/>
      <c r="T1140" s="109"/>
      <c r="W1140" s="130" t="str">
        <f t="shared" si="27"/>
        <v>1w</v>
      </c>
      <c r="X1140" s="128">
        <f>_xll.qlCalendarAdvance(Calendar,X1139,W1140,"f",FALSE)</f>
        <v>47233</v>
      </c>
      <c r="Y1140" s="131">
        <f>_xll.qlCalendarAdvance(Calendar,X1140,NDays&amp;"D")</f>
        <v>47235</v>
      </c>
      <c r="Z1140" s="132">
        <v>2.1748311174895587E-2</v>
      </c>
      <c r="AA1140" s="129">
        <v>2.1708382903673495E-2</v>
      </c>
    </row>
    <row r="1141" spans="19:27" x14ac:dyDescent="0.2">
      <c r="S1141" s="1"/>
      <c r="T1141" s="109"/>
      <c r="W1141" s="130" t="str">
        <f t="shared" si="27"/>
        <v>1w</v>
      </c>
      <c r="X1141" s="128">
        <f>_xll.qlCalendarAdvance(Calendar,X1140,W1141,"f",FALSE)</f>
        <v>47240</v>
      </c>
      <c r="Y1141" s="131">
        <f>_xll.qlCalendarAdvance(Calendar,X1141,NDays&amp;"D")</f>
        <v>47242</v>
      </c>
      <c r="Z1141" s="132">
        <v>2.1746640858467454E-2</v>
      </c>
      <c r="AA1141" s="129">
        <v>2.1705779866127983E-2</v>
      </c>
    </row>
    <row r="1142" spans="19:27" x14ac:dyDescent="0.2">
      <c r="S1142" s="1"/>
      <c r="T1142" s="109"/>
      <c r="W1142" s="130" t="str">
        <f t="shared" si="27"/>
        <v>1w</v>
      </c>
      <c r="X1142" s="128">
        <f>_xll.qlCalendarAdvance(Calendar,X1141,W1142,"f",FALSE)</f>
        <v>47247</v>
      </c>
      <c r="Y1142" s="131">
        <f>_xll.qlCalendarAdvance(Calendar,X1142,NDays&amp;"D")</f>
        <v>47249</v>
      </c>
      <c r="Z1142" s="132">
        <v>2.1743605088586873E-2</v>
      </c>
      <c r="AA1142" s="129">
        <v>2.1703121343499276E-2</v>
      </c>
    </row>
    <row r="1143" spans="19:27" x14ac:dyDescent="0.2">
      <c r="S1143" s="1"/>
      <c r="T1143" s="109"/>
      <c r="W1143" s="130" t="str">
        <f t="shared" si="27"/>
        <v>1w</v>
      </c>
      <c r="X1143" s="128">
        <f>_xll.qlCalendarAdvance(Calendar,X1142,W1143,"f",FALSE)</f>
        <v>47254</v>
      </c>
      <c r="Y1143" s="131">
        <f>_xll.qlCalendarAdvance(Calendar,X1143,NDays&amp;"D")</f>
        <v>47256</v>
      </c>
      <c r="Z1143" s="132">
        <v>2.1740513531026281E-2</v>
      </c>
      <c r="AA1143" s="129">
        <v>2.1700407335707439E-2</v>
      </c>
    </row>
    <row r="1144" spans="19:27" x14ac:dyDescent="0.2">
      <c r="S1144" s="1"/>
      <c r="T1144" s="109"/>
      <c r="W1144" s="130" t="str">
        <f t="shared" si="27"/>
        <v>1w</v>
      </c>
      <c r="X1144" s="128">
        <f>_xll.qlCalendarAdvance(Calendar,X1143,W1144,"f",FALSE)</f>
        <v>47261</v>
      </c>
      <c r="Y1144" s="131">
        <f>_xll.qlCalendarAdvance(Calendar,X1144,NDays&amp;"D")</f>
        <v>47263</v>
      </c>
      <c r="Z1144" s="132">
        <v>2.1737366185918341E-2</v>
      </c>
      <c r="AA1144" s="129">
        <v>2.1697637842779116E-2</v>
      </c>
    </row>
    <row r="1145" spans="19:27" x14ac:dyDescent="0.2">
      <c r="S1145" s="1"/>
      <c r="T1145" s="109"/>
      <c r="W1145" s="130" t="str">
        <f t="shared" si="27"/>
        <v>1w</v>
      </c>
      <c r="X1145" s="128">
        <f>_xll.qlCalendarAdvance(Calendar,X1144,W1145,"f",FALSE)</f>
        <v>47268</v>
      </c>
      <c r="Y1145" s="131">
        <f>_xll.qlCalendarAdvance(Calendar,X1145,NDays&amp;"D")</f>
        <v>47270</v>
      </c>
      <c r="Z1145" s="132">
        <v>2.1734163053401669E-2</v>
      </c>
      <c r="AA1145" s="129">
        <v>2.1694812864740953E-2</v>
      </c>
    </row>
    <row r="1146" spans="19:27" x14ac:dyDescent="0.2">
      <c r="S1146" s="1"/>
      <c r="T1146" s="109"/>
      <c r="W1146" s="130" t="str">
        <f t="shared" si="27"/>
        <v>1w</v>
      </c>
      <c r="X1146" s="128">
        <f>_xll.qlCalendarAdvance(Calendar,X1145,W1146,"f",FALSE)</f>
        <v>47275</v>
      </c>
      <c r="Y1146" s="131">
        <f>_xll.qlCalendarAdvance(Calendar,X1146,NDays&amp;"D")</f>
        <v>47277</v>
      </c>
      <c r="Z1146" s="132">
        <v>2.1730904133614871E-2</v>
      </c>
      <c r="AA1146" s="129">
        <v>2.1691932401566305E-2</v>
      </c>
    </row>
    <row r="1147" spans="19:27" x14ac:dyDescent="0.2">
      <c r="S1147" s="1"/>
      <c r="T1147" s="109"/>
      <c r="W1147" s="130" t="str">
        <f t="shared" si="27"/>
        <v>1w</v>
      </c>
      <c r="X1147" s="128">
        <f>_xll.qlCalendarAdvance(Calendar,X1146,W1147,"f",FALSE)</f>
        <v>47282</v>
      </c>
      <c r="Y1147" s="131">
        <f>_xll.qlCalendarAdvance(Calendar,X1147,NDays&amp;"D")</f>
        <v>47284</v>
      </c>
      <c r="Z1147" s="132">
        <v>2.1727589426699116E-2</v>
      </c>
      <c r="AA1147" s="129">
        <v>2.1688996453308462E-2</v>
      </c>
    </row>
    <row r="1148" spans="19:27" x14ac:dyDescent="0.2">
      <c r="S1148" s="1"/>
      <c r="T1148" s="109"/>
      <c r="W1148" s="130" t="str">
        <f t="shared" si="27"/>
        <v>1w</v>
      </c>
      <c r="X1148" s="128">
        <f>_xll.qlCalendarAdvance(Calendar,X1147,W1148,"f",FALSE)</f>
        <v>47289</v>
      </c>
      <c r="Y1148" s="131">
        <f>_xll.qlCalendarAdvance(Calendar,X1148,NDays&amp;"D")</f>
        <v>47291</v>
      </c>
      <c r="Z1148" s="132">
        <v>2.1724218932798967E-2</v>
      </c>
      <c r="AA1148" s="129">
        <v>2.1686005019940779E-2</v>
      </c>
    </row>
    <row r="1149" spans="19:27" x14ac:dyDescent="0.2">
      <c r="S1149" s="1"/>
      <c r="T1149" s="109"/>
      <c r="W1149" s="130" t="str">
        <f t="shared" si="27"/>
        <v>1w</v>
      </c>
      <c r="X1149" s="128">
        <f>_xll.qlCalendarAdvance(Calendar,X1148,W1149,"f",FALSE)</f>
        <v>47296</v>
      </c>
      <c r="Y1149" s="131">
        <f>_xll.qlCalendarAdvance(Calendar,X1149,NDays&amp;"D")</f>
        <v>47298</v>
      </c>
      <c r="Z1149" s="132">
        <v>2.171959576317066E-2</v>
      </c>
      <c r="AA1149" s="129">
        <v>2.1682958101463257E-2</v>
      </c>
    </row>
    <row r="1150" spans="19:27" x14ac:dyDescent="0.2">
      <c r="S1150" s="1"/>
      <c r="T1150" s="109"/>
      <c r="W1150" s="130" t="str">
        <f t="shared" si="27"/>
        <v>1w</v>
      </c>
      <c r="X1150" s="128">
        <f>_xll.qlCalendarAdvance(Calendar,X1149,W1150,"f",FALSE)</f>
        <v>47303</v>
      </c>
      <c r="Y1150" s="131">
        <f>_xll.qlCalendarAdvance(Calendar,X1150,NDays&amp;"D")</f>
        <v>47305</v>
      </c>
      <c r="Z1150" s="132">
        <v>2.1717310584633952E-2</v>
      </c>
      <c r="AA1150" s="129">
        <v>2.1679855697875894E-2</v>
      </c>
    </row>
    <row r="1151" spans="19:27" x14ac:dyDescent="0.2">
      <c r="S1151" s="1"/>
      <c r="T1151" s="109"/>
      <c r="W1151" s="130" t="str">
        <f t="shared" si="27"/>
        <v>1w</v>
      </c>
      <c r="X1151" s="128">
        <f>_xll.qlCalendarAdvance(Calendar,X1150,W1151,"f",FALSE)</f>
        <v>47310</v>
      </c>
      <c r="Y1151" s="131">
        <f>_xll.qlCalendarAdvance(Calendar,X1151,NDays&amp;"D")</f>
        <v>47312</v>
      </c>
      <c r="Z1151" s="132">
        <v>2.1713772730668424E-2</v>
      </c>
      <c r="AA1151" s="129">
        <v>2.1676697809178691E-2</v>
      </c>
    </row>
    <row r="1152" spans="19:27" x14ac:dyDescent="0.2">
      <c r="S1152" s="1"/>
      <c r="T1152" s="109"/>
      <c r="W1152" s="130" t="str">
        <f t="shared" si="27"/>
        <v>1w</v>
      </c>
      <c r="X1152" s="128">
        <f>_xll.qlCalendarAdvance(Calendar,X1151,W1152,"f",FALSE)</f>
        <v>47317</v>
      </c>
      <c r="Y1152" s="131">
        <f>_xll.qlCalendarAdvance(Calendar,X1152,NDays&amp;"D")</f>
        <v>47319</v>
      </c>
      <c r="Z1152" s="132">
        <v>2.171017909031887E-2</v>
      </c>
      <c r="AA1152" s="129">
        <v>2.1673484435398294E-2</v>
      </c>
    </row>
    <row r="1153" spans="19:27" x14ac:dyDescent="0.2">
      <c r="S1153" s="1"/>
      <c r="T1153" s="109"/>
      <c r="W1153" s="130" t="str">
        <f t="shared" si="27"/>
        <v>1w</v>
      </c>
      <c r="X1153" s="128">
        <f>_xll.qlCalendarAdvance(Calendar,X1152,W1153,"f",FALSE)</f>
        <v>47324</v>
      </c>
      <c r="Y1153" s="131">
        <f>_xll.qlCalendarAdvance(Calendar,X1153,NDays&amp;"D")</f>
        <v>47326</v>
      </c>
      <c r="Z1153" s="132">
        <v>2.1706529663740065E-2</v>
      </c>
      <c r="AA1153" s="129">
        <v>2.1670215576508056E-2</v>
      </c>
    </row>
    <row r="1154" spans="19:27" x14ac:dyDescent="0.2">
      <c r="S1154" s="1"/>
      <c r="T1154" s="109"/>
      <c r="W1154" s="130" t="str">
        <f t="shared" si="27"/>
        <v>1w</v>
      </c>
      <c r="X1154" s="128">
        <f>_xll.qlCalendarAdvance(Calendar,X1153,W1154,"f",FALSE)</f>
        <v>47331</v>
      </c>
      <c r="Y1154" s="131">
        <f>_xll.qlCalendarAdvance(Calendar,X1154,NDays&amp;"D")</f>
        <v>47333</v>
      </c>
      <c r="Z1154" s="132">
        <v>2.1702824451093578E-2</v>
      </c>
      <c r="AA1154" s="129">
        <v>2.1666891232561269E-2</v>
      </c>
    </row>
    <row r="1155" spans="19:27" x14ac:dyDescent="0.2">
      <c r="S1155" s="1"/>
      <c r="T1155" s="109"/>
      <c r="W1155" s="130" t="str">
        <f t="shared" si="27"/>
        <v>1w</v>
      </c>
      <c r="X1155" s="128">
        <f>_xll.qlCalendarAdvance(Calendar,X1154,W1155,"f",FALSE)</f>
        <v>47338</v>
      </c>
      <c r="Y1155" s="131">
        <f>_xll.qlCalendarAdvance(Calendar,X1155,NDays&amp;"D")</f>
        <v>47340</v>
      </c>
      <c r="Z1155" s="132">
        <v>2.1699063452537585E-2</v>
      </c>
      <c r="AA1155" s="129">
        <v>2.1663511403531288E-2</v>
      </c>
    </row>
    <row r="1156" spans="19:27" x14ac:dyDescent="0.2">
      <c r="S1156" s="1"/>
      <c r="T1156" s="109"/>
      <c r="W1156" s="130" t="str">
        <f t="shared" si="27"/>
        <v>1w</v>
      </c>
      <c r="X1156" s="128">
        <f>_xll.qlCalendarAdvance(Calendar,X1155,W1156,"f",FALSE)</f>
        <v>47345</v>
      </c>
      <c r="Y1156" s="131">
        <f>_xll.qlCalendarAdvance(Calendar,X1156,NDays&amp;"D")</f>
        <v>47347</v>
      </c>
      <c r="Z1156" s="132">
        <v>2.1695246668237054E-2</v>
      </c>
      <c r="AA1156" s="129">
        <v>2.1660076089418112E-2</v>
      </c>
    </row>
    <row r="1157" spans="19:27" x14ac:dyDescent="0.2">
      <c r="S1157" s="1"/>
      <c r="T1157" s="109"/>
      <c r="W1157" s="130" t="str">
        <f t="shared" si="27"/>
        <v>1w</v>
      </c>
      <c r="X1157" s="128">
        <f>_xll.qlCalendarAdvance(Calendar,X1156,W1157,"f",FALSE)</f>
        <v>47352</v>
      </c>
      <c r="Y1157" s="131">
        <f>_xll.qlCalendarAdvance(Calendar,X1157,NDays&amp;"D")</f>
        <v>47354</v>
      </c>
      <c r="Z1157" s="132">
        <v>2.1691374098357818E-2</v>
      </c>
      <c r="AA1157" s="129">
        <v>2.1656585290195096E-2</v>
      </c>
    </row>
    <row r="1158" spans="19:27" x14ac:dyDescent="0.2">
      <c r="S1158" s="1"/>
      <c r="T1158" s="109"/>
      <c r="W1158" s="130" t="str">
        <f t="shared" si="27"/>
        <v>1w</v>
      </c>
      <c r="X1158" s="128">
        <f>_xll.qlCalendarAdvance(Calendar,X1157,W1158,"f",FALSE)</f>
        <v>47359</v>
      </c>
      <c r="Y1158" s="131">
        <f>_xll.qlCalendarAdvance(Calendar,X1158,NDays&amp;"D")</f>
        <v>47361</v>
      </c>
      <c r="Z1158" s="132">
        <v>2.1686362435864744E-2</v>
      </c>
      <c r="AA1158" s="129">
        <v>2.1653039005968822E-2</v>
      </c>
    </row>
    <row r="1159" spans="19:27" x14ac:dyDescent="0.2">
      <c r="S1159" s="1"/>
      <c r="T1159" s="109"/>
      <c r="W1159" s="130" t="str">
        <f t="shared" si="27"/>
        <v>1w</v>
      </c>
      <c r="X1159" s="128">
        <f>_xll.qlCalendarAdvance(Calendar,X1158,W1159,"f",FALSE)</f>
        <v>47366</v>
      </c>
      <c r="Y1159" s="131">
        <f>_xll.qlCalendarAdvance(Calendar,X1159,NDays&amp;"D")</f>
        <v>47368</v>
      </c>
      <c r="Z1159" s="132">
        <v>2.1682390965034302E-2</v>
      </c>
      <c r="AA1159" s="129">
        <v>2.1649437236659352E-2</v>
      </c>
    </row>
    <row r="1160" spans="19:27" x14ac:dyDescent="0.2">
      <c r="S1160" s="1"/>
      <c r="T1160" s="109"/>
      <c r="W1160" s="130" t="str">
        <f t="shared" si="27"/>
        <v>1w</v>
      </c>
      <c r="X1160" s="128">
        <f>_xll.qlCalendarAdvance(Calendar,X1159,W1160,"f",FALSE)</f>
        <v>47373</v>
      </c>
      <c r="Y1160" s="131">
        <f>_xll.qlCalendarAdvance(Calendar,X1160,NDays&amp;"D")</f>
        <v>47375</v>
      </c>
      <c r="Z1160" s="132">
        <v>2.1678363719018951E-2</v>
      </c>
      <c r="AA1160" s="129">
        <v>2.1645779982293334E-2</v>
      </c>
    </row>
    <row r="1161" spans="19:27" x14ac:dyDescent="0.2">
      <c r="S1161" s="1"/>
      <c r="T1161" s="109"/>
      <c r="W1161" s="130" t="str">
        <f t="shared" si="27"/>
        <v>1w</v>
      </c>
      <c r="X1161" s="128">
        <f>_xll.qlCalendarAdvance(Calendar,X1160,W1161,"f",FALSE)</f>
        <v>47380</v>
      </c>
      <c r="Y1161" s="131">
        <f>_xll.qlCalendarAdvance(Calendar,X1161,NDays&amp;"D")</f>
        <v>47382</v>
      </c>
      <c r="Z1161" s="132">
        <v>2.167428069798559E-2</v>
      </c>
      <c r="AA1161" s="129">
        <v>2.1642067242844121E-2</v>
      </c>
    </row>
    <row r="1162" spans="19:27" x14ac:dyDescent="0.2">
      <c r="S1162" s="1"/>
      <c r="T1162" s="109"/>
      <c r="W1162" s="130" t="str">
        <f t="shared" si="27"/>
        <v>1w</v>
      </c>
      <c r="X1162" s="128">
        <f>_xll.qlCalendarAdvance(Calendar,X1161,W1162,"f",FALSE)</f>
        <v>47387</v>
      </c>
      <c r="Y1162" s="131">
        <f>_xll.qlCalendarAdvance(Calendar,X1162,NDays&amp;"D")</f>
        <v>47389</v>
      </c>
      <c r="Z1162" s="132">
        <v>2.1671174471246418E-2</v>
      </c>
      <c r="AA1162" s="129">
        <v>2.1638299018391649E-2</v>
      </c>
    </row>
    <row r="1163" spans="19:27" x14ac:dyDescent="0.2">
      <c r="S1163" s="1"/>
      <c r="T1163" s="109"/>
      <c r="W1163" s="130" t="str">
        <f t="shared" si="27"/>
        <v>1w</v>
      </c>
      <c r="X1163" s="128">
        <f>_xll.qlCalendarAdvance(Calendar,X1162,W1163,"f",FALSE)</f>
        <v>47394</v>
      </c>
      <c r="Y1163" s="131">
        <f>_xll.qlCalendarAdvance(Calendar,X1163,NDays&amp;"D")</f>
        <v>47396</v>
      </c>
      <c r="Z1163" s="132">
        <v>2.1666967191510754E-2</v>
      </c>
      <c r="AA1163" s="129">
        <v>2.1634475308882628E-2</v>
      </c>
    </row>
    <row r="1164" spans="19:27" x14ac:dyDescent="0.2">
      <c r="S1164" s="1"/>
      <c r="T1164" s="109"/>
      <c r="W1164" s="130" t="str">
        <f t="shared" si="27"/>
        <v>1w</v>
      </c>
      <c r="X1164" s="128">
        <f>_xll.qlCalendarAdvance(Calendar,X1163,W1164,"f",FALSE)</f>
        <v>47401</v>
      </c>
      <c r="Y1164" s="131">
        <f>_xll.qlCalendarAdvance(Calendar,X1164,NDays&amp;"D")</f>
        <v>47403</v>
      </c>
      <c r="Z1164" s="132">
        <v>2.1662704127424333E-2</v>
      </c>
      <c r="AA1164" s="129">
        <v>2.1630596114343703E-2</v>
      </c>
    </row>
    <row r="1165" spans="19:27" x14ac:dyDescent="0.2">
      <c r="S1165" s="1"/>
      <c r="T1165" s="109"/>
      <c r="W1165" s="130" t="str">
        <f t="shared" si="27"/>
        <v>1w</v>
      </c>
      <c r="X1165" s="128">
        <f>_xll.qlCalendarAdvance(Calendar,X1164,W1165,"f",FALSE)</f>
        <v>47408</v>
      </c>
      <c r="Y1165" s="131">
        <f>_xll.qlCalendarAdvance(Calendar,X1165,NDays&amp;"D")</f>
        <v>47410</v>
      </c>
      <c r="Z1165" s="132">
        <v>2.1658385279173388E-2</v>
      </c>
      <c r="AA1165" s="129">
        <v>2.1626661434774874E-2</v>
      </c>
    </row>
    <row r="1166" spans="19:27" x14ac:dyDescent="0.2">
      <c r="S1166" s="1"/>
      <c r="T1166" s="109"/>
      <c r="W1166" s="130" t="str">
        <f t="shared" si="27"/>
        <v>1w</v>
      </c>
      <c r="X1166" s="128">
        <f>_xll.qlCalendarAdvance(Calendar,X1165,W1166,"f",FALSE)</f>
        <v>47415</v>
      </c>
      <c r="Y1166" s="131">
        <f>_xll.qlCalendarAdvance(Calendar,X1166,NDays&amp;"D")</f>
        <v>47417</v>
      </c>
      <c r="Z1166" s="132">
        <v>2.1654010646945009E-2</v>
      </c>
      <c r="AA1166" s="129">
        <v>2.1622671270149496E-2</v>
      </c>
    </row>
    <row r="1167" spans="19:27" x14ac:dyDescent="0.2">
      <c r="S1167" s="1"/>
      <c r="T1167" s="109"/>
      <c r="W1167" s="130" t="str">
        <f t="shared" si="27"/>
        <v>1w</v>
      </c>
      <c r="X1167" s="128">
        <f>_xll.qlCalendarAdvance(Calendar,X1166,W1167,"f",FALSE)</f>
        <v>47422</v>
      </c>
      <c r="Y1167" s="131">
        <f>_xll.qlCalendarAdvance(Calendar,X1167,NDays&amp;"D")</f>
        <v>47424</v>
      </c>
      <c r="Z1167" s="132">
        <v>2.1649580230928826E-2</v>
      </c>
      <c r="AA1167" s="129">
        <v>2.1618625620547505E-2</v>
      </c>
    </row>
    <row r="1168" spans="19:27" x14ac:dyDescent="0.2">
      <c r="S1168" s="1"/>
      <c r="T1168" s="109"/>
      <c r="W1168" s="130" t="str">
        <f t="shared" si="27"/>
        <v>1w</v>
      </c>
      <c r="X1168" s="128">
        <f>_xll.qlCalendarAdvance(Calendar,X1167,W1168,"f",FALSE)</f>
        <v>47429</v>
      </c>
      <c r="Y1168" s="131">
        <f>_xll.qlCalendarAdvance(Calendar,X1168,NDays&amp;"D")</f>
        <v>47431</v>
      </c>
      <c r="Z1168" s="132">
        <v>2.1645094031318729E-2</v>
      </c>
      <c r="AA1168" s="129">
        <v>2.1614524485915609E-2</v>
      </c>
    </row>
    <row r="1169" spans="19:27" x14ac:dyDescent="0.2">
      <c r="S1169" s="1"/>
      <c r="T1169" s="109"/>
      <c r="W1169" s="130" t="str">
        <f t="shared" si="27"/>
        <v>1w</v>
      </c>
      <c r="X1169" s="128">
        <f>_xll.qlCalendarAdvance(Calendar,X1168,W1169,"f",FALSE)</f>
        <v>47436</v>
      </c>
      <c r="Y1169" s="131">
        <f>_xll.qlCalendarAdvance(Calendar,X1169,NDays&amp;"D")</f>
        <v>47438</v>
      </c>
      <c r="Z1169" s="132">
        <v>2.1640552048307754E-2</v>
      </c>
      <c r="AA1169" s="129">
        <v>2.1610367866280455E-2</v>
      </c>
    </row>
    <row r="1170" spans="19:27" x14ac:dyDescent="0.2">
      <c r="S1170" s="1"/>
      <c r="T1170" s="109"/>
      <c r="W1170" s="130" t="str">
        <f t="shared" si="27"/>
        <v>1w</v>
      </c>
      <c r="X1170" s="128">
        <f>_xll.qlCalendarAdvance(Calendar,X1169,W1170,"f",FALSE)</f>
        <v>47443</v>
      </c>
      <c r="Y1170" s="131">
        <f>_xll.qlCalendarAdvance(Calendar,X1170,NDays&amp;"D")</f>
        <v>47445</v>
      </c>
      <c r="Z1170" s="132">
        <v>2.1635954282095745E-2</v>
      </c>
      <c r="AA1170" s="129">
        <v>2.1606155761642043E-2</v>
      </c>
    </row>
    <row r="1171" spans="19:27" x14ac:dyDescent="0.2">
      <c r="S1171" s="1"/>
      <c r="T1171" s="109"/>
      <c r="W1171" s="130" t="str">
        <f t="shared" si="27"/>
        <v>1w</v>
      </c>
      <c r="X1171" s="128">
        <f>_xll.qlCalendarAdvance(Calendar,X1170,W1171,"f",FALSE)</f>
        <v>47450</v>
      </c>
      <c r="Y1171" s="131">
        <f>_xll.qlCalendarAdvance(Calendar,X1171,NDays&amp;"D")</f>
        <v>47452</v>
      </c>
      <c r="Z1171" s="132">
        <v>2.1630076167546086E-2</v>
      </c>
      <c r="AA1171" s="129">
        <v>2.1601888172000372E-2</v>
      </c>
    </row>
    <row r="1172" spans="19:27" x14ac:dyDescent="0.2">
      <c r="S1172" s="1"/>
      <c r="T1172" s="109"/>
      <c r="W1172" s="130" t="str">
        <f t="shared" si="27"/>
        <v>1w</v>
      </c>
      <c r="X1172" s="128">
        <f>_xll.qlCalendarAdvance(Calendar,X1171,W1172,"f",FALSE)</f>
        <v>47457</v>
      </c>
      <c r="Y1172" s="131">
        <f>_xll.qlCalendarAdvance(Calendar,X1172,NDays&amp;"D")</f>
        <v>47459</v>
      </c>
      <c r="Z1172" s="132">
        <v>2.1625383898097539E-2</v>
      </c>
      <c r="AA1172" s="129">
        <v>2.1597565097382088E-2</v>
      </c>
    </row>
    <row r="1173" spans="19:27" x14ac:dyDescent="0.2">
      <c r="S1173" s="1"/>
      <c r="T1173" s="109"/>
      <c r="W1173" s="130" t="str">
        <f t="shared" ref="W1173:W1236" si="28">W1172</f>
        <v>1w</v>
      </c>
      <c r="X1173" s="128">
        <f>_xll.qlCalendarAdvance(Calendar,X1172,W1173,"f",FALSE)</f>
        <v>47464</v>
      </c>
      <c r="Y1173" s="131">
        <f>_xll.qlCalendarAdvance(Calendar,X1173,NDays&amp;"D")</f>
        <v>47466</v>
      </c>
      <c r="Z1173" s="132">
        <v>2.1620635859113335E-2</v>
      </c>
      <c r="AA1173" s="129">
        <v>2.1593186537760545E-2</v>
      </c>
    </row>
    <row r="1174" spans="19:27" x14ac:dyDescent="0.2">
      <c r="S1174" s="1"/>
      <c r="T1174" s="109"/>
      <c r="W1174" s="130" t="str">
        <f t="shared" si="28"/>
        <v>1w</v>
      </c>
      <c r="X1174" s="128">
        <f>_xll.qlCalendarAdvance(Calendar,X1173,W1174,"f",FALSE)</f>
        <v>47471</v>
      </c>
      <c r="Y1174" s="131">
        <f>_xll.qlCalendarAdvance(Calendar,X1174,NDays&amp;"D")</f>
        <v>47473</v>
      </c>
      <c r="Z1174" s="132">
        <v>2.1615832050791539E-2</v>
      </c>
      <c r="AA1174" s="129">
        <v>2.1588752493162389E-2</v>
      </c>
    </row>
    <row r="1175" spans="19:27" x14ac:dyDescent="0.2">
      <c r="S1175" s="1"/>
      <c r="T1175" s="109"/>
      <c r="W1175" s="130" t="str">
        <f t="shared" si="28"/>
        <v>1w</v>
      </c>
      <c r="X1175" s="128">
        <f>_xll.qlCalendarAdvance(Calendar,X1174,W1175,"f",FALSE)</f>
        <v>47479</v>
      </c>
      <c r="Y1175" s="131">
        <f>_xll.qlCalendarAdvance(Calendar,X1175,NDays&amp;"D")</f>
        <v>47483</v>
      </c>
      <c r="Z1175" s="132">
        <v>2.160829589375448E-2</v>
      </c>
      <c r="AA1175" s="129">
        <v>2.1581999442017441E-2</v>
      </c>
    </row>
    <row r="1176" spans="19:27" x14ac:dyDescent="0.2">
      <c r="S1176" s="1"/>
      <c r="T1176" s="109"/>
      <c r="W1176" s="130" t="str">
        <f t="shared" si="28"/>
        <v>1w</v>
      </c>
      <c r="X1176" s="128">
        <f>_xll.qlCalendarAdvance(Calendar,X1175,W1176,"f",FALSE)</f>
        <v>47486</v>
      </c>
      <c r="Y1176" s="131">
        <f>_xll.qlCalendarAdvance(Calendar,X1176,NDays&amp;"D")</f>
        <v>47490</v>
      </c>
      <c r="Z1176" s="132">
        <v>2.1604217019361483E-2</v>
      </c>
      <c r="AA1176" s="129">
        <v>2.157711627858383E-2</v>
      </c>
    </row>
    <row r="1177" spans="19:27" x14ac:dyDescent="0.2">
      <c r="S1177" s="1"/>
      <c r="T1177" s="109"/>
      <c r="W1177" s="130" t="str">
        <f t="shared" si="28"/>
        <v>1w</v>
      </c>
      <c r="X1177" s="128">
        <f>_xll.qlCalendarAdvance(Calendar,X1176,W1177,"f",FALSE)</f>
        <v>47493</v>
      </c>
      <c r="Y1177" s="131">
        <f>_xll.qlCalendarAdvance(Calendar,X1177,NDays&amp;"D")</f>
        <v>47497</v>
      </c>
      <c r="Z1177" s="132">
        <v>2.1599217720801301E-2</v>
      </c>
      <c r="AA1177" s="129">
        <v>2.157250047956083E-2</v>
      </c>
    </row>
    <row r="1178" spans="19:27" x14ac:dyDescent="0.2">
      <c r="S1178" s="1"/>
      <c r="T1178" s="109"/>
      <c r="W1178" s="130" t="str">
        <f t="shared" si="28"/>
        <v>1w</v>
      </c>
      <c r="X1178" s="128">
        <f>_xll.qlCalendarAdvance(Calendar,X1177,W1178,"f",FALSE)</f>
        <v>47500</v>
      </c>
      <c r="Y1178" s="131">
        <f>_xll.qlCalendarAdvance(Calendar,X1178,NDays&amp;"D")</f>
        <v>47504</v>
      </c>
      <c r="Z1178" s="132">
        <v>2.1594437225514487E-2</v>
      </c>
      <c r="AA1178" s="129">
        <v>2.1567829202036037E-2</v>
      </c>
    </row>
    <row r="1179" spans="19:27" x14ac:dyDescent="0.2">
      <c r="S1179" s="1"/>
      <c r="T1179" s="109"/>
      <c r="W1179" s="130" t="str">
        <f t="shared" si="28"/>
        <v>1w</v>
      </c>
      <c r="X1179" s="128">
        <f>_xll.qlCalendarAdvance(Calendar,X1178,W1179,"f",FALSE)</f>
        <v>47507</v>
      </c>
      <c r="Y1179" s="131">
        <f>_xll.qlCalendarAdvance(Calendar,X1179,NDays&amp;"D")</f>
        <v>47511</v>
      </c>
      <c r="Z1179" s="132">
        <v>2.1589051808829734E-2</v>
      </c>
      <c r="AA1179" s="129">
        <v>2.1563102446089388E-2</v>
      </c>
    </row>
    <row r="1180" spans="19:27" x14ac:dyDescent="0.2">
      <c r="S1180" s="1"/>
      <c r="T1180" s="109"/>
      <c r="W1180" s="130" t="str">
        <f t="shared" si="28"/>
        <v>1w</v>
      </c>
      <c r="X1180" s="128">
        <f>_xll.qlCalendarAdvance(Calendar,X1179,W1180,"f",FALSE)</f>
        <v>47514</v>
      </c>
      <c r="Y1180" s="131">
        <f>_xll.qlCalendarAdvance(Calendar,X1180,NDays&amp;"D")</f>
        <v>47518</v>
      </c>
      <c r="Z1180" s="132">
        <v>2.1583885195847894E-2</v>
      </c>
      <c r="AA1180" s="129">
        <v>2.1558320211800819E-2</v>
      </c>
    </row>
    <row r="1181" spans="19:27" x14ac:dyDescent="0.2">
      <c r="S1181" s="1"/>
      <c r="T1181" s="109"/>
      <c r="W1181" s="130" t="str">
        <f t="shared" si="28"/>
        <v>1w</v>
      </c>
      <c r="X1181" s="128">
        <f>_xll.qlCalendarAdvance(Calendar,X1180,W1181,"f",FALSE)</f>
        <v>47521</v>
      </c>
      <c r="Y1181" s="131">
        <f>_xll.qlCalendarAdvance(Calendar,X1181,NDays&amp;"D")</f>
        <v>47525</v>
      </c>
      <c r="Z1181" s="132">
        <v>2.1578662811822885E-2</v>
      </c>
      <c r="AA1181" s="129">
        <v>2.1553482499010457E-2</v>
      </c>
    </row>
    <row r="1182" spans="19:27" x14ac:dyDescent="0.2">
      <c r="S1182" s="1"/>
      <c r="T1182" s="109"/>
      <c r="W1182" s="130" t="str">
        <f t="shared" si="28"/>
        <v>1w</v>
      </c>
      <c r="X1182" s="128">
        <f>_xll.qlCalendarAdvance(Calendar,X1181,W1182,"f",FALSE)</f>
        <v>47528</v>
      </c>
      <c r="Y1182" s="131">
        <f>_xll.qlCalendarAdvance(Calendar,X1182,NDays&amp;"D")</f>
        <v>47532</v>
      </c>
      <c r="Z1182" s="132">
        <v>2.1573384656976072E-2</v>
      </c>
      <c r="AA1182" s="129">
        <v>2.154858930795811E-2</v>
      </c>
    </row>
    <row r="1183" spans="19:27" x14ac:dyDescent="0.2">
      <c r="S1183" s="1"/>
      <c r="T1183" s="109"/>
      <c r="W1183" s="130" t="str">
        <f t="shared" si="28"/>
        <v>1w</v>
      </c>
      <c r="X1183" s="128">
        <f>_xll.qlCalendarAdvance(Calendar,X1182,W1183,"f",FALSE)</f>
        <v>47535</v>
      </c>
      <c r="Y1183" s="131">
        <f>_xll.qlCalendarAdvance(Calendar,X1183,NDays&amp;"D")</f>
        <v>47539</v>
      </c>
      <c r="Z1183" s="132">
        <v>2.1568050731528812E-2</v>
      </c>
      <c r="AA1183" s="129">
        <v>2.1543640638324035E-2</v>
      </c>
    </row>
    <row r="1184" spans="19:27" x14ac:dyDescent="0.2">
      <c r="S1184" s="1"/>
      <c r="T1184" s="109"/>
      <c r="W1184" s="130" t="str">
        <f t="shared" si="28"/>
        <v>1w</v>
      </c>
      <c r="X1184" s="128">
        <f>_xll.qlCalendarAdvance(Calendar,X1183,W1184,"f",FALSE)</f>
        <v>47542</v>
      </c>
      <c r="Y1184" s="131">
        <f>_xll.qlCalendarAdvance(Calendar,X1184,NDays&amp;"D")</f>
        <v>47546</v>
      </c>
      <c r="Z1184" s="132">
        <v>2.1562909824430765E-2</v>
      </c>
      <c r="AA1184" s="129">
        <v>2.153863649034804E-2</v>
      </c>
    </row>
    <row r="1185" spans="19:27" x14ac:dyDescent="0.2">
      <c r="S1185" s="1"/>
      <c r="T1185" s="109"/>
      <c r="W1185" s="130" t="str">
        <f t="shared" si="28"/>
        <v>1w</v>
      </c>
      <c r="X1185" s="128">
        <f>_xll.qlCalendarAdvance(Calendar,X1184,W1185,"f",FALSE)</f>
        <v>47549</v>
      </c>
      <c r="Y1185" s="131">
        <f>_xll.qlCalendarAdvance(Calendar,X1185,NDays&amp;"D")</f>
        <v>47553</v>
      </c>
      <c r="Z1185" s="132">
        <v>2.1557460049417762E-2</v>
      </c>
      <c r="AA1185" s="129">
        <v>2.1533576863950188E-2</v>
      </c>
    </row>
    <row r="1186" spans="19:27" x14ac:dyDescent="0.2">
      <c r="S1186" s="1"/>
      <c r="T1186" s="109"/>
      <c r="W1186" s="130" t="str">
        <f t="shared" si="28"/>
        <v>1w</v>
      </c>
      <c r="X1186" s="128">
        <f>_xll.qlCalendarAdvance(Calendar,X1185,W1186,"f",FALSE)</f>
        <v>47556</v>
      </c>
      <c r="Y1186" s="131">
        <f>_xll.qlCalendarAdvance(Calendar,X1186,NDays&amp;"D")</f>
        <v>47560</v>
      </c>
      <c r="Z1186" s="132">
        <v>2.155195450125344E-2</v>
      </c>
      <c r="AA1186" s="129">
        <v>2.1528461759210415E-2</v>
      </c>
    </row>
    <row r="1187" spans="19:27" x14ac:dyDescent="0.2">
      <c r="S1187" s="1"/>
      <c r="T1187" s="109"/>
      <c r="W1187" s="130" t="str">
        <f t="shared" si="28"/>
        <v>1w</v>
      </c>
      <c r="X1187" s="128">
        <f>_xll.qlCalendarAdvance(Calendar,X1186,W1187,"f",FALSE)</f>
        <v>47563</v>
      </c>
      <c r="Y1187" s="131">
        <f>_xll.qlCalendarAdvance(Calendar,X1187,NDays&amp;"D")</f>
        <v>47567</v>
      </c>
      <c r="Z1187" s="132">
        <v>2.1546393180172398E-2</v>
      </c>
      <c r="AA1187" s="129">
        <v>2.1523291176048787E-2</v>
      </c>
    </row>
    <row r="1188" spans="19:27" x14ac:dyDescent="0.2">
      <c r="S1188" s="1"/>
      <c r="T1188" s="109"/>
      <c r="W1188" s="130" t="str">
        <f t="shared" si="28"/>
        <v>1w</v>
      </c>
      <c r="X1188" s="128">
        <f>_xll.qlCalendarAdvance(Calendar,X1187,W1188,"f",FALSE)</f>
        <v>47570</v>
      </c>
      <c r="Y1188" s="131">
        <f>_xll.qlCalendarAdvance(Calendar,X1188,NDays&amp;"D")</f>
        <v>47574</v>
      </c>
      <c r="Z1188" s="132">
        <v>2.154054455321882E-2</v>
      </c>
      <c r="AA1188" s="129">
        <v>2.1518065114385365E-2</v>
      </c>
    </row>
    <row r="1189" spans="19:27" x14ac:dyDescent="0.2">
      <c r="S1189" s="1"/>
      <c r="T1189" s="109"/>
      <c r="W1189" s="130" t="str">
        <f t="shared" si="28"/>
        <v>1w</v>
      </c>
      <c r="X1189" s="128">
        <f>_xll.qlCalendarAdvance(Calendar,X1188,W1189,"f",FALSE)</f>
        <v>47577</v>
      </c>
      <c r="Y1189" s="131">
        <f>_xll.qlCalendarAdvance(Calendar,X1189,NDays&amp;"D")</f>
        <v>47581</v>
      </c>
      <c r="Z1189" s="132">
        <v>2.1534876008961538E-2</v>
      </c>
      <c r="AA1189" s="129">
        <v>2.1512783574459959E-2</v>
      </c>
    </row>
    <row r="1190" spans="19:27" x14ac:dyDescent="0.2">
      <c r="S1190" s="1"/>
      <c r="T1190" s="109"/>
      <c r="W1190" s="130" t="str">
        <f t="shared" si="28"/>
        <v>1w</v>
      </c>
      <c r="X1190" s="128">
        <f>_xll.qlCalendarAdvance(Calendar,X1189,W1190,"f",FALSE)</f>
        <v>47584</v>
      </c>
      <c r="Y1190" s="131">
        <f>_xll.qlCalendarAdvance(Calendar,X1190,NDays&amp;"D")</f>
        <v>47588</v>
      </c>
      <c r="Z1190" s="132">
        <v>2.1529151695724492E-2</v>
      </c>
      <c r="AA1190" s="129">
        <v>2.1507446556032761E-2</v>
      </c>
    </row>
    <row r="1191" spans="19:27" x14ac:dyDescent="0.2">
      <c r="S1191" s="1"/>
      <c r="T1191" s="109"/>
      <c r="W1191" s="130" t="str">
        <f t="shared" si="28"/>
        <v>1w</v>
      </c>
      <c r="X1191" s="128">
        <f>_xll.qlCalendarAdvance(Calendar,X1190,W1191,"f",FALSE)</f>
        <v>47591</v>
      </c>
      <c r="Y1191" s="131">
        <f>_xll.qlCalendarAdvance(Calendar,X1191,NDays&amp;"D")</f>
        <v>47597</v>
      </c>
      <c r="Z1191" s="132">
        <v>2.1521709918550222E-2</v>
      </c>
      <c r="AA1191" s="129">
        <v>2.1500503155937878E-2</v>
      </c>
    </row>
    <row r="1192" spans="19:27" x14ac:dyDescent="0.2">
      <c r="S1192" s="1"/>
      <c r="T1192" s="109"/>
      <c r="W1192" s="130" t="str">
        <f t="shared" si="28"/>
        <v>1w</v>
      </c>
      <c r="X1192" s="128">
        <f>_xll.qlCalendarAdvance(Calendar,X1191,W1192,"f",FALSE)</f>
        <v>47598</v>
      </c>
      <c r="Y1192" s="131">
        <f>_xll.qlCalendarAdvance(Calendar,X1192,NDays&amp;"D")</f>
        <v>47602</v>
      </c>
      <c r="Z1192" s="132">
        <v>2.1517535763274729E-2</v>
      </c>
      <c r="AA1192" s="129">
        <v>2.1496606084152603E-2</v>
      </c>
    </row>
    <row r="1193" spans="19:27" x14ac:dyDescent="0.2">
      <c r="S1193" s="1"/>
      <c r="T1193" s="109"/>
      <c r="W1193" s="130" t="str">
        <f t="shared" si="28"/>
        <v>1w</v>
      </c>
      <c r="X1193" s="128">
        <f>_xll.qlCalendarAdvance(Calendar,X1192,W1193,"f",FALSE)</f>
        <v>47605</v>
      </c>
      <c r="Y1193" s="131">
        <f>_xll.qlCalendarAdvance(Calendar,X1193,NDays&amp;"D")</f>
        <v>47609</v>
      </c>
      <c r="Z1193" s="132">
        <v>2.1511854035832154E-2</v>
      </c>
      <c r="AA1193" s="129">
        <v>2.1491102630539771E-2</v>
      </c>
    </row>
    <row r="1194" spans="19:27" x14ac:dyDescent="0.2">
      <c r="S1194" s="1"/>
      <c r="T1194" s="109"/>
      <c r="W1194" s="130" t="str">
        <f t="shared" si="28"/>
        <v>1w</v>
      </c>
      <c r="X1194" s="128">
        <f>_xll.qlCalendarAdvance(Calendar,X1193,W1194,"f",FALSE)</f>
        <v>47612</v>
      </c>
      <c r="Y1194" s="131">
        <f>_xll.qlCalendarAdvance(Calendar,X1194,NDays&amp;"D")</f>
        <v>47616</v>
      </c>
      <c r="Z1194" s="132">
        <v>2.1505902311086064E-2</v>
      </c>
      <c r="AA1194" s="129">
        <v>2.1485543698664955E-2</v>
      </c>
    </row>
    <row r="1195" spans="19:27" x14ac:dyDescent="0.2">
      <c r="S1195" s="1"/>
      <c r="T1195" s="109"/>
      <c r="W1195" s="130" t="str">
        <f t="shared" si="28"/>
        <v>1w</v>
      </c>
      <c r="X1195" s="128">
        <f>_xll.qlCalendarAdvance(Calendar,X1194,W1195,"f",FALSE)</f>
        <v>47619</v>
      </c>
      <c r="Y1195" s="131">
        <f>_xll.qlCalendarAdvance(Calendar,X1195,NDays&amp;"D")</f>
        <v>47623</v>
      </c>
      <c r="Z1195" s="132">
        <v>2.149989481538082E-2</v>
      </c>
      <c r="AA1195" s="129">
        <v>2.1479929288368282E-2</v>
      </c>
    </row>
    <row r="1196" spans="19:27" x14ac:dyDescent="0.2">
      <c r="S1196" s="1"/>
      <c r="T1196" s="109"/>
      <c r="W1196" s="130" t="str">
        <f t="shared" si="28"/>
        <v>1w</v>
      </c>
      <c r="X1196" s="128">
        <f>_xll.qlCalendarAdvance(Calendar,X1195,W1196,"f",FALSE)</f>
        <v>47626</v>
      </c>
      <c r="Y1196" s="131">
        <f>_xll.qlCalendarAdvance(Calendar,X1196,NDays&amp;"D")</f>
        <v>47630</v>
      </c>
      <c r="Z1196" s="132">
        <v>2.1493831548970999E-2</v>
      </c>
      <c r="AA1196" s="129">
        <v>2.1474259399649753E-2</v>
      </c>
    </row>
    <row r="1197" spans="19:27" x14ac:dyDescent="0.2">
      <c r="S1197" s="1"/>
      <c r="T1197" s="109"/>
      <c r="W1197" s="130" t="str">
        <f t="shared" si="28"/>
        <v>1w</v>
      </c>
      <c r="X1197" s="128">
        <f>_xll.qlCalendarAdvance(Calendar,X1196,W1197,"f",FALSE)</f>
        <v>47633</v>
      </c>
      <c r="Y1197" s="131">
        <f>_xll.qlCalendarAdvance(Calendar,X1197,NDays&amp;"D")</f>
        <v>47637</v>
      </c>
      <c r="Z1197" s="132">
        <v>2.1487712512117264E-2</v>
      </c>
      <c r="AA1197" s="129">
        <v>2.1468534032589304E-2</v>
      </c>
    </row>
    <row r="1198" spans="19:27" x14ac:dyDescent="0.2">
      <c r="S1198" s="1"/>
      <c r="T1198" s="109"/>
      <c r="W1198" s="130" t="str">
        <f t="shared" si="28"/>
        <v>1w</v>
      </c>
      <c r="X1198" s="128">
        <f>_xll.qlCalendarAdvance(Calendar,X1197,W1198,"f",FALSE)</f>
        <v>47640</v>
      </c>
      <c r="Y1198" s="131">
        <f>_xll.qlCalendarAdvance(Calendar,X1198,NDays&amp;"D")</f>
        <v>47644</v>
      </c>
      <c r="Z1198" s="132">
        <v>2.1481537705078539E-2</v>
      </c>
      <c r="AA1198" s="129">
        <v>2.1462753187106998E-2</v>
      </c>
    </row>
    <row r="1199" spans="19:27" x14ac:dyDescent="0.2">
      <c r="S1199" s="1"/>
      <c r="T1199" s="109"/>
      <c r="W1199" s="130" t="str">
        <f t="shared" si="28"/>
        <v>1w</v>
      </c>
      <c r="X1199" s="128">
        <f>_xll.qlCalendarAdvance(Calendar,X1198,W1199,"f",FALSE)</f>
        <v>47647</v>
      </c>
      <c r="Y1199" s="131">
        <f>_xll.qlCalendarAdvance(Calendar,X1199,NDays&amp;"D")</f>
        <v>47651</v>
      </c>
      <c r="Z1199" s="132">
        <v>2.1475307310059505E-2</v>
      </c>
      <c r="AA1199" s="129">
        <v>2.1456916863282771E-2</v>
      </c>
    </row>
    <row r="1200" spans="19:27" x14ac:dyDescent="0.2">
      <c r="S1200" s="1"/>
      <c r="T1200" s="109"/>
      <c r="W1200" s="130" t="str">
        <f t="shared" si="28"/>
        <v>1w</v>
      </c>
      <c r="X1200" s="128">
        <f>_xll.qlCalendarAdvance(Calendar,X1199,W1200,"f",FALSE)</f>
        <v>47654</v>
      </c>
      <c r="Y1200" s="131">
        <f>_xll.qlCalendarAdvance(Calendar,X1200,NDays&amp;"D")</f>
        <v>47658</v>
      </c>
      <c r="Z1200" s="132">
        <v>2.1469022632084951E-2</v>
      </c>
      <c r="AA1200" s="129">
        <v>2.1451025061116624E-2</v>
      </c>
    </row>
    <row r="1201" spans="19:27" x14ac:dyDescent="0.2">
      <c r="S1201" s="1"/>
      <c r="T1201" s="109"/>
      <c r="W1201" s="130" t="str">
        <f t="shared" si="28"/>
        <v>1w</v>
      </c>
      <c r="X1201" s="128">
        <f>_xll.qlCalendarAdvance(Calendar,X1200,W1201,"f",FALSE)</f>
        <v>47661</v>
      </c>
      <c r="Y1201" s="131">
        <f>_xll.qlCalendarAdvance(Calendar,X1201,NDays&amp;"D")</f>
        <v>47665</v>
      </c>
      <c r="Z1201" s="132">
        <v>2.1462685404071292E-2</v>
      </c>
      <c r="AA1201" s="129">
        <v>2.1445077780528621E-2</v>
      </c>
    </row>
    <row r="1202" spans="19:27" x14ac:dyDescent="0.2">
      <c r="S1202" s="1"/>
      <c r="T1202" s="109"/>
      <c r="W1202" s="130" t="str">
        <f t="shared" si="28"/>
        <v>1w</v>
      </c>
      <c r="X1202" s="128">
        <f>_xll.qlCalendarAdvance(Calendar,X1201,W1202,"f",FALSE)</f>
        <v>47668</v>
      </c>
      <c r="Y1202" s="131">
        <f>_xll.qlCalendarAdvance(Calendar,X1202,NDays&amp;"D")</f>
        <v>47672</v>
      </c>
      <c r="Z1202" s="132">
        <v>2.145629735977515E-2</v>
      </c>
      <c r="AA1202" s="129">
        <v>2.1439075021678633E-2</v>
      </c>
    </row>
    <row r="1203" spans="19:27" x14ac:dyDescent="0.2">
      <c r="S1203" s="1"/>
      <c r="T1203" s="109"/>
      <c r="W1203" s="130" t="str">
        <f t="shared" si="28"/>
        <v>1w</v>
      </c>
      <c r="X1203" s="128">
        <f>_xll.qlCalendarAdvance(Calendar,X1202,W1203,"f",FALSE)</f>
        <v>47675</v>
      </c>
      <c r="Y1203" s="131">
        <f>_xll.qlCalendarAdvance(Calendar,X1203,NDays&amp;"D")</f>
        <v>47679</v>
      </c>
      <c r="Z1203" s="132">
        <v>2.1449860232934891E-2</v>
      </c>
      <c r="AA1203" s="129">
        <v>2.1433016784406789E-2</v>
      </c>
    </row>
    <row r="1204" spans="19:27" x14ac:dyDescent="0.2">
      <c r="S1204" s="1"/>
      <c r="T1204" s="109"/>
      <c r="W1204" s="130" t="str">
        <f t="shared" si="28"/>
        <v>1w</v>
      </c>
      <c r="X1204" s="128">
        <f>_xll.qlCalendarAdvance(Calendar,X1203,W1204,"f",FALSE)</f>
        <v>47682</v>
      </c>
      <c r="Y1204" s="131">
        <f>_xll.qlCalendarAdvance(Calendar,X1204,NDays&amp;"D")</f>
        <v>47686</v>
      </c>
      <c r="Z1204" s="132">
        <v>2.1443375757284541E-2</v>
      </c>
      <c r="AA1204" s="129">
        <v>2.142690306887296E-2</v>
      </c>
    </row>
    <row r="1205" spans="19:27" x14ac:dyDescent="0.2">
      <c r="S1205" s="1"/>
      <c r="T1205" s="109"/>
      <c r="W1205" s="130" t="str">
        <f t="shared" si="28"/>
        <v>1w</v>
      </c>
      <c r="X1205" s="128">
        <f>_xll.qlCalendarAdvance(Calendar,X1204,W1205,"f",FALSE)</f>
        <v>47689</v>
      </c>
      <c r="Y1205" s="131">
        <f>_xll.qlCalendarAdvance(Calendar,X1205,NDays&amp;"D")</f>
        <v>47693</v>
      </c>
      <c r="Z1205" s="132">
        <v>2.1436845666549437E-2</v>
      </c>
      <c r="AA1205" s="129">
        <v>2.1420733874837339E-2</v>
      </c>
    </row>
    <row r="1206" spans="19:27" x14ac:dyDescent="0.2">
      <c r="S1206" s="1"/>
      <c r="T1206" s="109"/>
      <c r="W1206" s="130" t="str">
        <f t="shared" si="28"/>
        <v>1w</v>
      </c>
      <c r="X1206" s="128">
        <f>_xll.qlCalendarAdvance(Calendar,X1205,W1206,"f",FALSE)</f>
        <v>47696</v>
      </c>
      <c r="Y1206" s="131">
        <f>_xll.qlCalendarAdvance(Calendar,X1206,NDays&amp;"D")</f>
        <v>47700</v>
      </c>
      <c r="Z1206" s="132">
        <v>2.1430271694440148E-2</v>
      </c>
      <c r="AA1206" s="129">
        <v>2.1414509202459797E-2</v>
      </c>
    </row>
    <row r="1207" spans="19:27" x14ac:dyDescent="0.2">
      <c r="S1207" s="1"/>
      <c r="T1207" s="109"/>
      <c r="W1207" s="130" t="str">
        <f t="shared" si="28"/>
        <v>1w</v>
      </c>
      <c r="X1207" s="128">
        <f>_xll.qlCalendarAdvance(Calendar,X1206,W1207,"f",FALSE)</f>
        <v>47703</v>
      </c>
      <c r="Y1207" s="131">
        <f>_xll.qlCalendarAdvance(Calendar,X1207,NDays&amp;"D")</f>
        <v>47707</v>
      </c>
      <c r="Z1207" s="132">
        <v>2.1423655574662026E-2</v>
      </c>
      <c r="AA1207" s="129">
        <v>2.1408229051820271E-2</v>
      </c>
    </row>
    <row r="1208" spans="19:27" x14ac:dyDescent="0.2">
      <c r="S1208" s="1"/>
      <c r="T1208" s="109"/>
      <c r="W1208" s="130" t="str">
        <f t="shared" si="28"/>
        <v>1w</v>
      </c>
      <c r="X1208" s="128">
        <f>_xll.qlCalendarAdvance(Calendar,X1207,W1208,"f",FALSE)</f>
        <v>47710</v>
      </c>
      <c r="Y1208" s="131">
        <f>_xll.qlCalendarAdvance(Calendar,X1208,NDays&amp;"D")</f>
        <v>47714</v>
      </c>
      <c r="Z1208" s="132">
        <v>2.1416999040907391E-2</v>
      </c>
      <c r="AA1208" s="129">
        <v>2.1401893422678953E-2</v>
      </c>
    </row>
    <row r="1209" spans="19:27" x14ac:dyDescent="0.2">
      <c r="S1209" s="1"/>
      <c r="T1209" s="109"/>
      <c r="W1209" s="130" t="str">
        <f t="shared" si="28"/>
        <v>1w</v>
      </c>
      <c r="X1209" s="128">
        <f>_xll.qlCalendarAdvance(Calendar,X1208,W1209,"f",FALSE)</f>
        <v>47717</v>
      </c>
      <c r="Y1209" s="131">
        <f>_xll.qlCalendarAdvance(Calendar,X1209,NDays&amp;"D")</f>
        <v>47721</v>
      </c>
      <c r="Z1209" s="132">
        <v>2.1410303826861609E-2</v>
      </c>
      <c r="AA1209" s="129">
        <v>2.1395502315355586E-2</v>
      </c>
    </row>
    <row r="1210" spans="19:27" x14ac:dyDescent="0.2">
      <c r="S1210" s="1"/>
      <c r="T1210" s="109"/>
      <c r="W1210" s="130" t="str">
        <f t="shared" si="28"/>
        <v>1w</v>
      </c>
      <c r="X1210" s="128">
        <f>_xll.qlCalendarAdvance(Calendar,X1209,W1210,"f",FALSE)</f>
        <v>47724</v>
      </c>
      <c r="Y1210" s="131">
        <f>_xll.qlCalendarAdvance(Calendar,X1210,NDays&amp;"D")</f>
        <v>47728</v>
      </c>
      <c r="Z1210" s="132">
        <v>2.1403423831756661E-2</v>
      </c>
      <c r="AA1210" s="129">
        <v>2.1389055729610362E-2</v>
      </c>
    </row>
    <row r="1211" spans="19:27" x14ac:dyDescent="0.2">
      <c r="S1211" s="1"/>
      <c r="T1211" s="109"/>
      <c r="W1211" s="130" t="str">
        <f t="shared" si="28"/>
        <v>1w</v>
      </c>
      <c r="X1211" s="128">
        <f>_xll.qlCalendarAdvance(Calendar,X1210,W1211,"f",FALSE)</f>
        <v>47731</v>
      </c>
      <c r="Y1211" s="131">
        <f>_xll.qlCalendarAdvance(Calendar,X1211,NDays&amp;"D")</f>
        <v>47735</v>
      </c>
      <c r="Z1211" s="132">
        <v>2.1396659221849707E-2</v>
      </c>
      <c r="AA1211" s="129">
        <v>2.1382553665603155E-2</v>
      </c>
    </row>
    <row r="1212" spans="19:27" x14ac:dyDescent="0.2">
      <c r="S1212" s="1"/>
      <c r="T1212" s="109"/>
      <c r="W1212" s="130" t="str">
        <f t="shared" si="28"/>
        <v>1w</v>
      </c>
      <c r="X1212" s="128">
        <f>_xll.qlCalendarAdvance(Calendar,X1211,W1212,"f",FALSE)</f>
        <v>47738</v>
      </c>
      <c r="Y1212" s="131">
        <f>_xll.qlCalendarAdvance(Calendar,X1212,NDays&amp;"D")</f>
        <v>47742</v>
      </c>
      <c r="Z1212" s="132">
        <v>2.1389861022596945E-2</v>
      </c>
      <c r="AA1212" s="129">
        <v>2.1376003137083543E-2</v>
      </c>
    </row>
    <row r="1213" spans="19:27" x14ac:dyDescent="0.2">
      <c r="S1213" s="1"/>
      <c r="T1213" s="109"/>
      <c r="W1213" s="130" t="str">
        <f t="shared" si="28"/>
        <v>1w</v>
      </c>
      <c r="X1213" s="128">
        <f>_xll.qlCalendarAdvance(Calendar,X1212,W1213,"f",FALSE)</f>
        <v>47745</v>
      </c>
      <c r="Y1213" s="131">
        <f>_xll.qlCalendarAdvance(Calendar,X1213,NDays&amp;"D")</f>
        <v>47749</v>
      </c>
      <c r="Z1213" s="132">
        <v>2.1383029834487699E-2</v>
      </c>
      <c r="AA1213" s="129">
        <v>2.136941925092728E-2</v>
      </c>
    </row>
    <row r="1214" spans="19:27" x14ac:dyDescent="0.2">
      <c r="S1214" s="1"/>
      <c r="T1214" s="109"/>
      <c r="W1214" s="130" t="str">
        <f t="shared" si="28"/>
        <v>1w</v>
      </c>
      <c r="X1214" s="128">
        <f>_xll.qlCalendarAdvance(Calendar,X1213,W1214,"f",FALSE)</f>
        <v>47752</v>
      </c>
      <c r="Y1214" s="131">
        <f>_xll.qlCalendarAdvance(Calendar,X1214,NDays&amp;"D")</f>
        <v>47756</v>
      </c>
      <c r="Z1214" s="132">
        <v>2.1376302453006028E-2</v>
      </c>
      <c r="AA1214" s="129">
        <v>2.1362802546622817E-2</v>
      </c>
    </row>
    <row r="1215" spans="19:27" x14ac:dyDescent="0.2">
      <c r="S1215" s="1"/>
      <c r="T1215" s="109"/>
      <c r="W1215" s="130" t="str">
        <f t="shared" si="28"/>
        <v>1w</v>
      </c>
      <c r="X1215" s="128">
        <f>_xll.qlCalendarAdvance(Calendar,X1214,W1215,"f",FALSE)</f>
        <v>47759</v>
      </c>
      <c r="Y1215" s="131">
        <f>_xll.qlCalendarAdvance(Calendar,X1215,NDays&amp;"D")</f>
        <v>47763</v>
      </c>
      <c r="Z1215" s="132">
        <v>2.1369402536980532E-2</v>
      </c>
      <c r="AA1215" s="129">
        <v>2.1356153024330027E-2</v>
      </c>
    </row>
    <row r="1216" spans="19:27" x14ac:dyDescent="0.2">
      <c r="S1216" s="1"/>
      <c r="T1216" s="109"/>
      <c r="W1216" s="130" t="str">
        <f t="shared" si="28"/>
        <v>1w</v>
      </c>
      <c r="X1216" s="128">
        <f>_xll.qlCalendarAdvance(Calendar,X1215,W1216,"f",FALSE)</f>
        <v>47766</v>
      </c>
      <c r="Y1216" s="131">
        <f>_xll.qlCalendarAdvance(Calendar,X1216,NDays&amp;"D")</f>
        <v>47770</v>
      </c>
      <c r="Z1216" s="132">
        <v>2.1362469637613762E-2</v>
      </c>
      <c r="AA1216" s="129">
        <v>2.1349470683809102E-2</v>
      </c>
    </row>
    <row r="1217" spans="19:27" x14ac:dyDescent="0.2">
      <c r="S1217" s="1"/>
      <c r="T1217" s="109"/>
      <c r="W1217" s="130" t="str">
        <f t="shared" si="28"/>
        <v>1w</v>
      </c>
      <c r="X1217" s="128">
        <f>_xll.qlCalendarAdvance(Calendar,X1216,W1217,"f",FALSE)</f>
        <v>47773</v>
      </c>
      <c r="Y1217" s="131">
        <f>_xll.qlCalendarAdvance(Calendar,X1217,NDays&amp;"D")</f>
        <v>47777</v>
      </c>
      <c r="Z1217" s="132">
        <v>2.1355503755080361E-2</v>
      </c>
      <c r="AA1217" s="129">
        <v>2.1342755525139978E-2</v>
      </c>
    </row>
    <row r="1218" spans="19:27" x14ac:dyDescent="0.2">
      <c r="S1218" s="1"/>
      <c r="T1218" s="109"/>
      <c r="W1218" s="130" t="str">
        <f t="shared" si="28"/>
        <v>1w</v>
      </c>
      <c r="X1218" s="128">
        <f>_xll.qlCalendarAdvance(Calendar,X1217,W1218,"f",FALSE)</f>
        <v>47780</v>
      </c>
      <c r="Y1218" s="131">
        <f>_xll.qlCalendarAdvance(Calendar,X1218,NDays&amp;"D")</f>
        <v>47784</v>
      </c>
      <c r="Z1218" s="132">
        <v>2.1348504889555836E-2</v>
      </c>
      <c r="AA1218" s="129">
        <v>2.1336007548562463E-2</v>
      </c>
    </row>
    <row r="1219" spans="19:27" x14ac:dyDescent="0.2">
      <c r="S1219" s="1"/>
      <c r="T1219" s="109"/>
      <c r="W1219" s="130" t="str">
        <f t="shared" si="28"/>
        <v>1w</v>
      </c>
      <c r="X1219" s="128">
        <f>_xll.qlCalendarAdvance(Calendar,X1218,W1219,"f",FALSE)</f>
        <v>47787</v>
      </c>
      <c r="Y1219" s="131">
        <f>_xll.qlCalendarAdvance(Calendar,X1219,NDays&amp;"D")</f>
        <v>47791</v>
      </c>
      <c r="Z1219" s="132">
        <v>2.1341473041215704E-2</v>
      </c>
      <c r="AA1219" s="129">
        <v>2.1329226753676878E-2</v>
      </c>
    </row>
    <row r="1220" spans="19:27" x14ac:dyDescent="0.2">
      <c r="S1220" s="1"/>
      <c r="T1220" s="109"/>
      <c r="W1220" s="130" t="str">
        <f t="shared" si="28"/>
        <v>1w</v>
      </c>
      <c r="X1220" s="128">
        <f>_xll.qlCalendarAdvance(Calendar,X1219,W1220,"f",FALSE)</f>
        <v>47794</v>
      </c>
      <c r="Y1220" s="131">
        <f>_xll.qlCalendarAdvance(Calendar,X1220,NDays&amp;"D")</f>
        <v>47798</v>
      </c>
      <c r="Z1220" s="132">
        <v>2.1334408210236341E-2</v>
      </c>
      <c r="AA1220" s="129">
        <v>2.1322413140723029E-2</v>
      </c>
    </row>
    <row r="1221" spans="19:27" x14ac:dyDescent="0.2">
      <c r="S1221" s="1"/>
      <c r="T1221" s="109"/>
      <c r="W1221" s="130" t="str">
        <f t="shared" si="28"/>
        <v>1w</v>
      </c>
      <c r="X1221" s="128">
        <f>_xll.qlCalendarAdvance(Calendar,X1220,W1221,"f",FALSE)</f>
        <v>47801</v>
      </c>
      <c r="Y1221" s="131">
        <f>_xll.qlCalendarAdvance(Calendar,X1221,NDays&amp;"D")</f>
        <v>47805</v>
      </c>
      <c r="Z1221" s="132">
        <v>2.132731039679674E-2</v>
      </c>
      <c r="AA1221" s="129">
        <v>2.1315566709700917E-2</v>
      </c>
    </row>
    <row r="1222" spans="19:27" x14ac:dyDescent="0.2">
      <c r="S1222" s="1"/>
      <c r="T1222" s="109"/>
      <c r="W1222" s="130" t="str">
        <f t="shared" si="28"/>
        <v>1w</v>
      </c>
      <c r="X1222" s="128">
        <f>_xll.qlCalendarAdvance(Calendar,X1221,W1222,"f",FALSE)</f>
        <v>47808</v>
      </c>
      <c r="Y1222" s="131">
        <f>_xll.qlCalendarAdvance(Calendar,X1222,NDays&amp;"D")</f>
        <v>47812</v>
      </c>
      <c r="Z1222" s="132">
        <v>2.1320179601075014E-2</v>
      </c>
      <c r="AA1222" s="129">
        <v>2.1308687460610543E-2</v>
      </c>
    </row>
    <row r="1223" spans="19:27" x14ac:dyDescent="0.2">
      <c r="S1223" s="1"/>
      <c r="T1223" s="109"/>
      <c r="W1223" s="130" t="str">
        <f t="shared" si="28"/>
        <v>1w</v>
      </c>
      <c r="X1223" s="128">
        <f>_xll.qlCalendarAdvance(Calendar,X1222,W1223,"f",FALSE)</f>
        <v>47815</v>
      </c>
      <c r="Y1223" s="131">
        <f>_xll.qlCalendarAdvance(Calendar,X1223,NDays&amp;"D")</f>
        <v>47819</v>
      </c>
      <c r="Z1223" s="132">
        <v>2.131290397868502E-2</v>
      </c>
      <c r="AA1223" s="129">
        <v>2.1301775393371969E-2</v>
      </c>
    </row>
    <row r="1224" spans="19:27" x14ac:dyDescent="0.2">
      <c r="S1224" s="1"/>
      <c r="T1224" s="109"/>
      <c r="W1224" s="130" t="str">
        <f t="shared" si="28"/>
        <v>1w</v>
      </c>
      <c r="X1224" s="128">
        <f>_xll.qlCalendarAdvance(Calendar,X1223,W1224,"f",FALSE)</f>
        <v>47822</v>
      </c>
      <c r="Y1224" s="131">
        <f>_xll.qlCalendarAdvance(Calendar,X1224,NDays&amp;"D")</f>
        <v>47826</v>
      </c>
      <c r="Z1224" s="132">
        <v>2.1305709999473121E-2</v>
      </c>
      <c r="AA1224" s="129">
        <v>2.1294830508145068E-2</v>
      </c>
    </row>
    <row r="1225" spans="19:27" x14ac:dyDescent="0.2">
      <c r="S1225" s="1"/>
      <c r="T1225" s="109"/>
      <c r="W1225" s="130" t="str">
        <f t="shared" si="28"/>
        <v>1w</v>
      </c>
      <c r="X1225" s="128">
        <f>_xll.qlCalendarAdvance(Calendar,X1224,W1225,"f",FALSE)</f>
        <v>47829</v>
      </c>
      <c r="Y1225" s="131">
        <f>_xll.qlCalendarAdvance(Calendar,X1225,NDays&amp;"D")</f>
        <v>47833</v>
      </c>
      <c r="Z1225" s="132">
        <v>2.1298483040310144E-2</v>
      </c>
      <c r="AA1225" s="129">
        <v>2.1287852804610097E-2</v>
      </c>
    </row>
    <row r="1226" spans="19:27" x14ac:dyDescent="0.2">
      <c r="S1226" s="1"/>
      <c r="T1226" s="109"/>
      <c r="W1226" s="130" t="str">
        <f t="shared" si="28"/>
        <v>1w</v>
      </c>
      <c r="X1226" s="128">
        <f>_xll.qlCalendarAdvance(Calendar,X1225,W1226,"f",FALSE)</f>
        <v>47836</v>
      </c>
      <c r="Y1226" s="131">
        <f>_xll.qlCalendarAdvance(Calendar,X1226,NDays&amp;"D")</f>
        <v>47840</v>
      </c>
      <c r="Z1226" s="132">
        <v>2.1291223101374407E-2</v>
      </c>
      <c r="AA1226" s="129">
        <v>2.1280842283166734E-2</v>
      </c>
    </row>
    <row r="1227" spans="19:27" x14ac:dyDescent="0.2">
      <c r="S1227" s="1"/>
      <c r="T1227" s="109"/>
      <c r="W1227" s="130" t="str">
        <f t="shared" si="28"/>
        <v>1w</v>
      </c>
      <c r="X1227" s="128">
        <f>_xll.qlCalendarAdvance(Calendar,X1226,W1227,"f",FALSE)</f>
        <v>47844</v>
      </c>
      <c r="Y1227" s="131">
        <f>_xll.qlCalendarAdvance(Calendar,X1227,NDays&amp;"D")</f>
        <v>47848</v>
      </c>
      <c r="Z1227" s="132">
        <v>2.1282785069700161E-2</v>
      </c>
      <c r="AA1227" s="129">
        <v>2.1272913789385228E-2</v>
      </c>
    </row>
    <row r="1228" spans="19:27" x14ac:dyDescent="0.2">
      <c r="S1228" s="1"/>
      <c r="T1228" s="109"/>
      <c r="W1228" s="130" t="str">
        <f t="shared" si="28"/>
        <v>1w</v>
      </c>
      <c r="X1228" s="128">
        <f>_xll.qlCalendarAdvance(Calendar,X1227,W1228,"f",FALSE)</f>
        <v>47851</v>
      </c>
      <c r="Y1228" s="131">
        <f>_xll.qlCalendarAdvance(Calendar,X1228,NDays&amp;"D")</f>
        <v>47855</v>
      </c>
      <c r="Z1228" s="132">
        <v>2.1275457248092877E-2</v>
      </c>
      <c r="AA1228" s="129">
        <v>2.1265709227238361E-2</v>
      </c>
    </row>
    <row r="1229" spans="19:27" x14ac:dyDescent="0.2">
      <c r="S1229" s="1"/>
      <c r="T1229" s="109"/>
      <c r="W1229" s="130" t="str">
        <f t="shared" si="28"/>
        <v>1w</v>
      </c>
      <c r="X1229" s="128">
        <f>_xll.qlCalendarAdvance(Calendar,X1228,W1229,"f",FALSE)</f>
        <v>47858</v>
      </c>
      <c r="Y1229" s="131">
        <f>_xll.qlCalendarAdvance(Calendar,X1229,NDays&amp;"D")</f>
        <v>47862</v>
      </c>
      <c r="Z1229" s="132">
        <v>2.1268191447411943E-2</v>
      </c>
      <c r="AA1229" s="129">
        <v>2.1258595563100613E-2</v>
      </c>
    </row>
    <row r="1230" spans="19:27" x14ac:dyDescent="0.2">
      <c r="S1230" s="1"/>
      <c r="T1230" s="109"/>
      <c r="W1230" s="130" t="str">
        <f t="shared" si="28"/>
        <v>1w</v>
      </c>
      <c r="X1230" s="128">
        <f>_xll.qlCalendarAdvance(Calendar,X1229,W1230,"f",FALSE)</f>
        <v>47865</v>
      </c>
      <c r="Y1230" s="131">
        <f>_xll.qlCalendarAdvance(Calendar,X1230,NDays&amp;"D")</f>
        <v>47869</v>
      </c>
      <c r="Z1230" s="132">
        <v>2.1260702672798892E-2</v>
      </c>
      <c r="AA1230" s="129">
        <v>2.1251449080974538E-2</v>
      </c>
    </row>
    <row r="1231" spans="19:27" x14ac:dyDescent="0.2">
      <c r="S1231" s="1"/>
      <c r="T1231" s="109"/>
      <c r="W1231" s="130" t="str">
        <f t="shared" si="28"/>
        <v>1w</v>
      </c>
      <c r="X1231" s="128">
        <f>_xll.qlCalendarAdvance(Calendar,X1230,W1231,"f",FALSE)</f>
        <v>47872</v>
      </c>
      <c r="Y1231" s="131">
        <f>_xll.qlCalendarAdvance(Calendar,X1231,NDays&amp;"D")</f>
        <v>47876</v>
      </c>
      <c r="Z1231" s="132">
        <v>2.1253275919476344E-2</v>
      </c>
      <c r="AA1231" s="129">
        <v>2.1244269780700265E-2</v>
      </c>
    </row>
    <row r="1232" spans="19:27" x14ac:dyDescent="0.2">
      <c r="S1232" s="1"/>
      <c r="T1232" s="109"/>
      <c r="W1232" s="130" t="str">
        <f t="shared" si="28"/>
        <v>1w</v>
      </c>
      <c r="X1232" s="128">
        <f>_xll.qlCalendarAdvance(Calendar,X1231,W1232,"f",FALSE)</f>
        <v>47879</v>
      </c>
      <c r="Y1232" s="131">
        <f>_xll.qlCalendarAdvance(Calendar,X1232,NDays&amp;"D")</f>
        <v>47883</v>
      </c>
      <c r="Z1232" s="132">
        <v>2.1245816189281008E-2</v>
      </c>
      <c r="AA1232" s="129">
        <v>2.1237057662437664E-2</v>
      </c>
    </row>
    <row r="1233" spans="19:27" x14ac:dyDescent="0.2">
      <c r="S1233" s="1"/>
      <c r="T1233" s="109"/>
      <c r="W1233" s="130" t="str">
        <f t="shared" si="28"/>
        <v>1w</v>
      </c>
      <c r="X1233" s="128">
        <f>_xll.qlCalendarAdvance(Calendar,X1232,W1233,"f",FALSE)</f>
        <v>47886</v>
      </c>
      <c r="Y1233" s="131">
        <f>_xll.qlCalendarAdvance(Calendar,X1233,NDays&amp;"D")</f>
        <v>47890</v>
      </c>
      <c r="Z1233" s="132">
        <v>2.1238323482393184E-2</v>
      </c>
      <c r="AA1233" s="129">
        <v>2.1229812726026864E-2</v>
      </c>
    </row>
    <row r="1234" spans="19:27" x14ac:dyDescent="0.2">
      <c r="S1234" s="1"/>
      <c r="T1234" s="109"/>
      <c r="W1234" s="130" t="str">
        <f t="shared" si="28"/>
        <v>1w</v>
      </c>
      <c r="X1234" s="128">
        <f>_xll.qlCalendarAdvance(Calendar,X1233,W1234,"f",FALSE)</f>
        <v>47893</v>
      </c>
      <c r="Y1234" s="131">
        <f>_xll.qlCalendarAdvance(Calendar,X1234,NDays&amp;"D")</f>
        <v>47897</v>
      </c>
      <c r="Z1234" s="132">
        <v>2.1230797799001166E-2</v>
      </c>
      <c r="AA1234" s="129">
        <v>2.1222534971547802E-2</v>
      </c>
    </row>
    <row r="1235" spans="19:27" x14ac:dyDescent="0.2">
      <c r="S1235" s="1"/>
      <c r="T1235" s="109"/>
      <c r="W1235" s="130" t="str">
        <f t="shared" si="28"/>
        <v>1w</v>
      </c>
      <c r="X1235" s="128">
        <f>_xll.qlCalendarAdvance(Calendar,X1234,W1235,"f",FALSE)</f>
        <v>47900</v>
      </c>
      <c r="Y1235" s="131">
        <f>_xll.qlCalendarAdvance(Calendar,X1235,NDays&amp;"D")</f>
        <v>47904</v>
      </c>
      <c r="Z1235" s="132">
        <v>2.1223239139288808E-2</v>
      </c>
      <c r="AA1235" s="129">
        <v>2.1215224399000476E-2</v>
      </c>
    </row>
    <row r="1236" spans="19:27" x14ac:dyDescent="0.2">
      <c r="S1236" s="1"/>
      <c r="T1236" s="109"/>
      <c r="W1236" s="130" t="str">
        <f t="shared" si="28"/>
        <v>1w</v>
      </c>
      <c r="X1236" s="128">
        <f>_xll.qlCalendarAdvance(Calendar,X1235,W1236,"f",FALSE)</f>
        <v>47907</v>
      </c>
      <c r="Y1236" s="131">
        <f>_xll.qlCalendarAdvance(Calendar,X1236,NDays&amp;"D")</f>
        <v>47911</v>
      </c>
      <c r="Z1236" s="132">
        <v>2.121579808416333E-2</v>
      </c>
      <c r="AA1236" s="129">
        <v>2.1207881008384888E-2</v>
      </c>
    </row>
    <row r="1237" spans="19:27" x14ac:dyDescent="0.2">
      <c r="S1237" s="1"/>
      <c r="T1237" s="109"/>
      <c r="W1237" s="130" t="str">
        <f t="shared" ref="W1237:W1300" si="29">W1236</f>
        <v>1w</v>
      </c>
      <c r="X1237" s="128">
        <f>_xll.qlCalendarAdvance(Calendar,X1236,W1237,"f",FALSE)</f>
        <v>47914</v>
      </c>
      <c r="Y1237" s="131">
        <f>_xll.qlCalendarAdvance(Calendar,X1237,NDays&amp;"D")</f>
        <v>47918</v>
      </c>
      <c r="Z1237" s="132">
        <v>2.1208167864856509E-2</v>
      </c>
      <c r="AA1237" s="129">
        <v>2.1200504799780973E-2</v>
      </c>
    </row>
    <row r="1238" spans="19:27" x14ac:dyDescent="0.2">
      <c r="S1238" s="1"/>
      <c r="T1238" s="109"/>
      <c r="W1238" s="130" t="str">
        <f t="shared" si="29"/>
        <v>1w</v>
      </c>
      <c r="X1238" s="128">
        <f>_xll.qlCalendarAdvance(Calendar,X1237,W1238,"f",FALSE)</f>
        <v>47921</v>
      </c>
      <c r="Y1238" s="131">
        <f>_xll.qlCalendarAdvance(Calendar,X1238,NDays&amp;"D")</f>
        <v>47925</v>
      </c>
      <c r="Z1238" s="132">
        <v>2.1200504666263428E-2</v>
      </c>
      <c r="AA1238" s="129">
        <v>2.1193095773028858E-2</v>
      </c>
    </row>
    <row r="1239" spans="19:27" x14ac:dyDescent="0.2">
      <c r="S1239" s="1"/>
      <c r="T1239" s="109"/>
      <c r="W1239" s="130" t="str">
        <f t="shared" si="29"/>
        <v>1w</v>
      </c>
      <c r="X1239" s="128">
        <f>_xll.qlCalendarAdvance(Calendar,X1238,W1239,"f",FALSE)</f>
        <v>47928</v>
      </c>
      <c r="Y1239" s="131">
        <f>_xll.qlCalendarAdvance(Calendar,X1239,NDays&amp;"D")</f>
        <v>47932</v>
      </c>
      <c r="Z1239" s="132">
        <v>2.119280848857872E-2</v>
      </c>
      <c r="AA1239" s="129">
        <v>2.1185653928208481E-2</v>
      </c>
    </row>
    <row r="1240" spans="19:27" x14ac:dyDescent="0.2">
      <c r="S1240" s="1"/>
      <c r="T1240" s="109"/>
      <c r="W1240" s="130" t="str">
        <f t="shared" si="29"/>
        <v>1w</v>
      </c>
      <c r="X1240" s="128">
        <f>_xll.qlCalendarAdvance(Calendar,X1239,W1240,"f",FALSE)</f>
        <v>47935</v>
      </c>
      <c r="Y1240" s="131">
        <f>_xll.qlCalendarAdvance(Calendar,X1240,NDays&amp;"D")</f>
        <v>47939</v>
      </c>
      <c r="Z1240" s="132">
        <v>2.1185015399982146E-2</v>
      </c>
      <c r="AA1240" s="129">
        <v>2.1178179265239905E-2</v>
      </c>
    </row>
    <row r="1241" spans="19:27" x14ac:dyDescent="0.2">
      <c r="S1241" s="1"/>
      <c r="T1241" s="109"/>
      <c r="W1241" s="130" t="str">
        <f t="shared" si="29"/>
        <v>1w</v>
      </c>
      <c r="X1241" s="128">
        <f>_xll.qlCalendarAdvance(Calendar,X1240,W1241,"f",FALSE)</f>
        <v>47942</v>
      </c>
      <c r="Y1241" s="131">
        <f>_xll.qlCalendarAdvance(Calendar,X1241,NDays&amp;"D")</f>
        <v>47946</v>
      </c>
      <c r="Z1241" s="132">
        <v>2.1177256075626358E-2</v>
      </c>
      <c r="AA1241" s="129">
        <v>2.1170671784283002E-2</v>
      </c>
    </row>
    <row r="1242" spans="19:27" x14ac:dyDescent="0.2">
      <c r="S1242" s="1"/>
      <c r="T1242" s="109"/>
      <c r="W1242" s="130" t="str">
        <f t="shared" si="29"/>
        <v>1w</v>
      </c>
      <c r="X1242" s="128">
        <f>_xll.qlCalendarAdvance(Calendar,X1241,W1242,"f",FALSE)</f>
        <v>47953</v>
      </c>
      <c r="Y1242" s="131">
        <f>_xll.qlCalendarAdvance(Calendar,X1242,NDays&amp;"D")</f>
        <v>47955</v>
      </c>
      <c r="Z1242" s="132">
        <v>2.1167231345840733E-2</v>
      </c>
      <c r="AA1242" s="129">
        <v>2.116097108635806E-2</v>
      </c>
    </row>
    <row r="1243" spans="19:27" x14ac:dyDescent="0.2">
      <c r="S1243" s="1"/>
      <c r="T1243" s="109"/>
      <c r="W1243" s="130" t="str">
        <f t="shared" si="29"/>
        <v>1w</v>
      </c>
      <c r="X1243" s="128">
        <f>_xll.qlCalendarAdvance(Calendar,X1242,W1243,"f",FALSE)</f>
        <v>47960</v>
      </c>
      <c r="Y1243" s="131">
        <f>_xll.qlCalendarAdvance(Calendar,X1243,NDays&amp;"D")</f>
        <v>47962</v>
      </c>
      <c r="Z1243" s="132">
        <v>2.1159396646328283E-2</v>
      </c>
      <c r="AA1243" s="129">
        <v>2.1153388592685118E-2</v>
      </c>
    </row>
    <row r="1244" spans="19:27" x14ac:dyDescent="0.2">
      <c r="S1244" s="1"/>
      <c r="T1244" s="109"/>
      <c r="W1244" s="130" t="str">
        <f t="shared" si="29"/>
        <v>1w</v>
      </c>
      <c r="X1244" s="128">
        <f>_xll.qlCalendarAdvance(Calendar,X1243,W1244,"f",FALSE)</f>
        <v>47967</v>
      </c>
      <c r="Y1244" s="131">
        <f>_xll.qlCalendarAdvance(Calendar,X1244,NDays&amp;"D")</f>
        <v>47970</v>
      </c>
      <c r="Z1244" s="132">
        <v>2.1150555935368749E-2</v>
      </c>
      <c r="AA1244" s="129">
        <v>2.1144833060509072E-2</v>
      </c>
    </row>
    <row r="1245" spans="19:27" x14ac:dyDescent="0.2">
      <c r="S1245" s="1"/>
      <c r="T1245" s="109"/>
      <c r="W1245" s="130" t="str">
        <f t="shared" si="29"/>
        <v>1w</v>
      </c>
      <c r="X1245" s="128">
        <f>_xll.qlCalendarAdvance(Calendar,X1244,W1245,"f",FALSE)</f>
        <v>47974</v>
      </c>
      <c r="Y1245" s="131">
        <f>_xll.qlCalendarAdvance(Calendar,X1245,NDays&amp;"D")</f>
        <v>47976</v>
      </c>
      <c r="Z1245" s="132">
        <v>2.1143677372958487E-2</v>
      </c>
      <c r="AA1245" s="129">
        <v>2.1138125151214382E-2</v>
      </c>
    </row>
    <row r="1246" spans="19:27" x14ac:dyDescent="0.2">
      <c r="S1246" s="1"/>
      <c r="T1246" s="109"/>
      <c r="W1246" s="130" t="str">
        <f t="shared" si="29"/>
        <v>1w</v>
      </c>
      <c r="X1246" s="128">
        <f>_xll.qlCalendarAdvance(Calendar,X1245,W1246,"f",FALSE)</f>
        <v>47981</v>
      </c>
      <c r="Y1246" s="131">
        <f>_xll.qlCalendarAdvance(Calendar,X1246,NDays&amp;"D")</f>
        <v>47983</v>
      </c>
      <c r="Z1246" s="132">
        <v>2.113574092492581E-2</v>
      </c>
      <c r="AA1246" s="129">
        <v>2.1130444203416587E-2</v>
      </c>
    </row>
    <row r="1247" spans="19:27" x14ac:dyDescent="0.2">
      <c r="S1247" s="1"/>
      <c r="T1247" s="109"/>
      <c r="W1247" s="130" t="str">
        <f t="shared" si="29"/>
        <v>1w</v>
      </c>
      <c r="X1247" s="128">
        <f>_xll.qlCalendarAdvance(Calendar,X1246,W1247,"f",FALSE)</f>
        <v>47988</v>
      </c>
      <c r="Y1247" s="131">
        <f>_xll.qlCalendarAdvance(Calendar,X1247,NDays&amp;"D")</f>
        <v>47990</v>
      </c>
      <c r="Z1247" s="132">
        <v>2.1127771499428898E-2</v>
      </c>
      <c r="AA1247" s="129">
        <v>2.112273043755053E-2</v>
      </c>
    </row>
    <row r="1248" spans="19:27" x14ac:dyDescent="0.2">
      <c r="S1248" s="1"/>
      <c r="T1248" s="109"/>
      <c r="W1248" s="130" t="str">
        <f t="shared" si="29"/>
        <v>1w</v>
      </c>
      <c r="X1248" s="128">
        <f>_xll.qlCalendarAdvance(Calendar,X1247,W1248,"f",FALSE)</f>
        <v>47995</v>
      </c>
      <c r="Y1248" s="131">
        <f>_xll.qlCalendarAdvance(Calendar,X1248,NDays&amp;"D")</f>
        <v>47997</v>
      </c>
      <c r="Z1248" s="132">
        <v>2.1119769096669322E-2</v>
      </c>
      <c r="AA1248" s="129">
        <v>2.1114983853616209E-2</v>
      </c>
    </row>
    <row r="1249" spans="19:27" x14ac:dyDescent="0.2">
      <c r="S1249" s="1"/>
      <c r="T1249" s="109"/>
      <c r="W1249" s="130" t="str">
        <f t="shared" si="29"/>
        <v>1w</v>
      </c>
      <c r="X1249" s="128">
        <f>_xll.qlCalendarAdvance(Calendar,X1248,W1249,"f",FALSE)</f>
        <v>48002</v>
      </c>
      <c r="Y1249" s="131">
        <f>_xll.qlCalendarAdvance(Calendar,X1249,NDays&amp;"D")</f>
        <v>48004</v>
      </c>
      <c r="Z1249" s="132">
        <v>2.1111733716847797E-2</v>
      </c>
      <c r="AA1249" s="129">
        <v>2.1107204451693562E-2</v>
      </c>
    </row>
    <row r="1250" spans="19:27" x14ac:dyDescent="0.2">
      <c r="S1250" s="1"/>
      <c r="T1250" s="109"/>
      <c r="W1250" s="130" t="str">
        <f t="shared" si="29"/>
        <v>1w</v>
      </c>
      <c r="X1250" s="128">
        <f>_xll.qlCalendarAdvance(Calendar,X1249,W1250,"f",FALSE)</f>
        <v>48009</v>
      </c>
      <c r="Y1250" s="131">
        <f>_xll.qlCalendarAdvance(Calendar,X1250,NDays&amp;"D")</f>
        <v>48011</v>
      </c>
      <c r="Z1250" s="132">
        <v>2.1103665360167636E-2</v>
      </c>
      <c r="AA1250" s="129">
        <v>2.1099392231622716E-2</v>
      </c>
    </row>
    <row r="1251" spans="19:27" x14ac:dyDescent="0.2">
      <c r="S1251" s="1"/>
      <c r="T1251" s="109"/>
      <c r="W1251" s="130" t="str">
        <f t="shared" si="29"/>
        <v>1w</v>
      </c>
      <c r="X1251" s="128">
        <f>_xll.qlCalendarAdvance(Calendar,X1250,W1251,"f",FALSE)</f>
        <v>48016</v>
      </c>
      <c r="Y1251" s="131">
        <f>_xll.qlCalendarAdvance(Calendar,X1251,NDays&amp;"D")</f>
        <v>48018</v>
      </c>
      <c r="Z1251" s="132">
        <v>2.1095564026831288E-2</v>
      </c>
      <c r="AA1251" s="129">
        <v>2.1091547193643478E-2</v>
      </c>
    </row>
    <row r="1252" spans="19:27" x14ac:dyDescent="0.2">
      <c r="S1252" s="1"/>
      <c r="T1252" s="109"/>
      <c r="W1252" s="130" t="str">
        <f t="shared" si="29"/>
        <v>1w</v>
      </c>
      <c r="X1252" s="128">
        <f>_xll.qlCalendarAdvance(Calendar,X1251,W1252,"f",FALSE)</f>
        <v>48023</v>
      </c>
      <c r="Y1252" s="131">
        <f>_xll.qlCalendarAdvance(Calendar,X1252,NDays&amp;"D")</f>
        <v>48025</v>
      </c>
      <c r="Z1252" s="132">
        <v>2.1087429717041199E-2</v>
      </c>
      <c r="AA1252" s="129">
        <v>2.1083669337595978E-2</v>
      </c>
    </row>
    <row r="1253" spans="19:27" x14ac:dyDescent="0.2">
      <c r="S1253" s="1"/>
      <c r="T1253" s="109"/>
      <c r="W1253" s="130" t="str">
        <f t="shared" si="29"/>
        <v>1w</v>
      </c>
      <c r="X1253" s="128">
        <f>_xll.qlCalendarAdvance(Calendar,X1252,W1253,"f",FALSE)</f>
        <v>48030</v>
      </c>
      <c r="Y1253" s="131">
        <f>_xll.qlCalendarAdvance(Calendar,X1253,NDays&amp;"D")</f>
        <v>48032</v>
      </c>
      <c r="Z1253" s="132">
        <v>2.1079262431005028E-2</v>
      </c>
      <c r="AA1253" s="129">
        <v>2.1075758663480215E-2</v>
      </c>
    </row>
    <row r="1254" spans="19:27" x14ac:dyDescent="0.2">
      <c r="S1254" s="1"/>
      <c r="T1254" s="109"/>
      <c r="W1254" s="130" t="str">
        <f t="shared" si="29"/>
        <v>1w</v>
      </c>
      <c r="X1254" s="128">
        <f>_xll.qlCalendarAdvance(Calendar,X1253,W1254,"f",FALSE)</f>
        <v>48037</v>
      </c>
      <c r="Y1254" s="131">
        <f>_xll.qlCalendarAdvance(Calendar,X1254,NDays&amp;"D")</f>
        <v>48039</v>
      </c>
      <c r="Z1254" s="132">
        <v>2.1071062168925223E-2</v>
      </c>
      <c r="AA1254" s="129">
        <v>2.1067815171376125E-2</v>
      </c>
    </row>
    <row r="1255" spans="19:27" x14ac:dyDescent="0.2">
      <c r="S1255" s="1"/>
      <c r="T1255" s="109"/>
      <c r="W1255" s="130" t="str">
        <f t="shared" si="29"/>
        <v>1w</v>
      </c>
      <c r="X1255" s="128">
        <f>_xll.qlCalendarAdvance(Calendar,X1254,W1255,"f",FALSE)</f>
        <v>48044</v>
      </c>
      <c r="Y1255" s="131">
        <f>_xll.qlCalendarAdvance(Calendar,X1255,NDays&amp;"D")</f>
        <v>48046</v>
      </c>
      <c r="Z1255" s="132">
        <v>2.1062828931008571E-2</v>
      </c>
      <c r="AA1255" s="129">
        <v>2.1059838861123836E-2</v>
      </c>
    </row>
    <row r="1256" spans="19:27" x14ac:dyDescent="0.2">
      <c r="S1256" s="1"/>
      <c r="T1256" s="109"/>
      <c r="W1256" s="130" t="str">
        <f t="shared" si="29"/>
        <v>1w</v>
      </c>
      <c r="X1256" s="128">
        <f>_xll.qlCalendarAdvance(Calendar,X1255,W1256,"f",FALSE)</f>
        <v>48051</v>
      </c>
      <c r="Y1256" s="131">
        <f>_xll.qlCalendarAdvance(Calendar,X1256,NDays&amp;"D")</f>
        <v>48053</v>
      </c>
      <c r="Z1256" s="132">
        <v>2.1054562717463605E-2</v>
      </c>
      <c r="AA1256" s="129">
        <v>2.1051829732963157E-2</v>
      </c>
    </row>
    <row r="1257" spans="19:27" x14ac:dyDescent="0.2">
      <c r="S1257" s="1"/>
      <c r="T1257" s="109"/>
      <c r="W1257" s="130" t="str">
        <f t="shared" si="29"/>
        <v>1w</v>
      </c>
      <c r="X1257" s="128">
        <f>_xll.qlCalendarAdvance(Calendar,X1256,W1257,"f",FALSE)</f>
        <v>48058</v>
      </c>
      <c r="Y1257" s="131">
        <f>_xll.qlCalendarAdvance(Calendar,X1257,NDays&amp;"D")</f>
        <v>48060</v>
      </c>
      <c r="Z1257" s="132">
        <v>2.1046263528497117E-2</v>
      </c>
      <c r="AA1257" s="129">
        <v>2.1043787786734214E-2</v>
      </c>
    </row>
    <row r="1258" spans="19:27" x14ac:dyDescent="0.2">
      <c r="S1258" s="1"/>
      <c r="T1258" s="109"/>
      <c r="W1258" s="130" t="str">
        <f t="shared" si="29"/>
        <v>1w</v>
      </c>
      <c r="X1258" s="128">
        <f>_xll.qlCalendarAdvance(Calendar,X1257,W1258,"f",FALSE)</f>
        <v>48065</v>
      </c>
      <c r="Y1258" s="131">
        <f>_xll.qlCalendarAdvance(Calendar,X1258,NDays&amp;"D")</f>
        <v>48067</v>
      </c>
      <c r="Z1258" s="132">
        <v>2.1037931364317634E-2</v>
      </c>
      <c r="AA1258" s="129">
        <v>2.1035713022437008E-2</v>
      </c>
    </row>
    <row r="1259" spans="19:27" x14ac:dyDescent="0.2">
      <c r="S1259" s="1"/>
      <c r="T1259" s="109"/>
      <c r="W1259" s="130" t="str">
        <f t="shared" si="29"/>
        <v>1w</v>
      </c>
      <c r="X1259" s="128">
        <f>_xll.qlCalendarAdvance(Calendar,X1258,W1259,"f",FALSE)</f>
        <v>48072</v>
      </c>
      <c r="Y1259" s="131">
        <f>_xll.qlCalendarAdvance(Calendar,X1259,NDays&amp;"D")</f>
        <v>48074</v>
      </c>
      <c r="Z1259" s="132">
        <v>2.102956622513542E-2</v>
      </c>
      <c r="AA1259" s="129">
        <v>2.1027605440151476E-2</v>
      </c>
    </row>
    <row r="1260" spans="19:27" x14ac:dyDescent="0.2">
      <c r="S1260" s="1"/>
      <c r="T1260" s="109"/>
      <c r="W1260" s="130" t="str">
        <f t="shared" si="29"/>
        <v>1w</v>
      </c>
      <c r="X1260" s="128">
        <f>_xll.qlCalendarAdvance(Calendar,X1259,W1260,"f",FALSE)</f>
        <v>48079</v>
      </c>
      <c r="Y1260" s="131">
        <f>_xll.qlCalendarAdvance(Calendar,X1260,NDays&amp;"D")</f>
        <v>48081</v>
      </c>
      <c r="Z1260" s="132">
        <v>2.1021168111161614E-2</v>
      </c>
      <c r="AA1260" s="129">
        <v>2.101946503979768E-2</v>
      </c>
    </row>
    <row r="1261" spans="19:27" x14ac:dyDescent="0.2">
      <c r="S1261" s="1"/>
      <c r="T1261" s="109"/>
      <c r="W1261" s="130" t="str">
        <f t="shared" si="29"/>
        <v>1w</v>
      </c>
      <c r="X1261" s="128">
        <f>_xll.qlCalendarAdvance(Calendar,X1260,W1261,"f",FALSE)</f>
        <v>48086</v>
      </c>
      <c r="Y1261" s="131">
        <f>_xll.qlCalendarAdvance(Calendar,X1261,NDays&amp;"D")</f>
        <v>48088</v>
      </c>
      <c r="Z1261" s="132">
        <v>2.1012737022606486E-2</v>
      </c>
      <c r="AA1261" s="129">
        <v>2.1011291821455558E-2</v>
      </c>
    </row>
    <row r="1262" spans="19:27" x14ac:dyDescent="0.2">
      <c r="S1262" s="1"/>
      <c r="T1262" s="109"/>
      <c r="W1262" s="130" t="str">
        <f t="shared" si="29"/>
        <v>1w</v>
      </c>
      <c r="X1262" s="128">
        <f>_xll.qlCalendarAdvance(Calendar,X1261,W1262,"f",FALSE)</f>
        <v>48093</v>
      </c>
      <c r="Y1262" s="131">
        <f>_xll.qlCalendarAdvance(Calendar,X1262,NDays&amp;"D")</f>
        <v>48095</v>
      </c>
      <c r="Z1262" s="132">
        <v>2.1004272083642989E-2</v>
      </c>
      <c r="AA1262" s="129">
        <v>2.1003085785205045E-2</v>
      </c>
    </row>
    <row r="1263" spans="19:27" x14ac:dyDescent="0.2">
      <c r="S1263" s="1"/>
      <c r="T1263" s="109"/>
      <c r="W1263" s="130" t="str">
        <f t="shared" si="29"/>
        <v>1w</v>
      </c>
      <c r="X1263" s="128">
        <f>_xll.qlCalendarAdvance(Calendar,X1262,W1263,"f",FALSE)</f>
        <v>48100</v>
      </c>
      <c r="Y1263" s="131">
        <f>_xll.qlCalendarAdvance(Calendar,X1263,NDays&amp;"D")</f>
        <v>48102</v>
      </c>
      <c r="Z1263" s="132">
        <v>2.0995777896040027E-2</v>
      </c>
      <c r="AA1263" s="129">
        <v>2.0994846930886268E-2</v>
      </c>
    </row>
    <row r="1264" spans="19:27" x14ac:dyDescent="0.2">
      <c r="S1264" s="1"/>
      <c r="T1264" s="109"/>
      <c r="W1264" s="130" t="str">
        <f t="shared" si="29"/>
        <v>1w</v>
      </c>
      <c r="X1264" s="128">
        <f>_xll.qlCalendarAdvance(Calendar,X1263,W1264,"f",FALSE)</f>
        <v>48107</v>
      </c>
      <c r="Y1264" s="131">
        <f>_xll.qlCalendarAdvance(Calendar,X1264,NDays&amp;"D")</f>
        <v>48109</v>
      </c>
      <c r="Z1264" s="132">
        <v>2.0987250736196741E-2</v>
      </c>
      <c r="AA1264" s="129">
        <v>2.0986575258499229E-2</v>
      </c>
    </row>
    <row r="1265" spans="19:27" x14ac:dyDescent="0.2">
      <c r="S1265" s="1"/>
      <c r="T1265" s="109"/>
      <c r="W1265" s="130" t="str">
        <f t="shared" si="29"/>
        <v>1w</v>
      </c>
      <c r="X1265" s="128">
        <f>_xll.qlCalendarAdvance(Calendar,X1264,W1265,"f",FALSE)</f>
        <v>48114</v>
      </c>
      <c r="Y1265" s="131">
        <f>_xll.qlCalendarAdvance(Calendar,X1265,NDays&amp;"D")</f>
        <v>48116</v>
      </c>
      <c r="Z1265" s="132">
        <v>2.097865825904742E-2</v>
      </c>
      <c r="AA1265" s="129">
        <v>2.0978270768043927E-2</v>
      </c>
    </row>
    <row r="1266" spans="19:27" x14ac:dyDescent="0.2">
      <c r="S1266" s="1"/>
      <c r="T1266" s="109"/>
      <c r="W1266" s="130" t="str">
        <f t="shared" si="29"/>
        <v>1w</v>
      </c>
      <c r="X1266" s="128">
        <f>_xll.qlCalendarAdvance(Calendar,X1265,W1266,"f",FALSE)</f>
        <v>48121</v>
      </c>
      <c r="Y1266" s="131">
        <f>_xll.qlCalendarAdvance(Calendar,X1266,NDays&amp;"D")</f>
        <v>48123</v>
      </c>
      <c r="Z1266" s="132">
        <v>2.0970086968563232E-2</v>
      </c>
      <c r="AA1266" s="129">
        <v>2.0969933459680234E-2</v>
      </c>
    </row>
    <row r="1267" spans="19:27" x14ac:dyDescent="0.2">
      <c r="S1267" s="1"/>
      <c r="T1267" s="109"/>
      <c r="W1267" s="130" t="str">
        <f t="shared" si="29"/>
        <v>1w</v>
      </c>
      <c r="X1267" s="128">
        <f>_xll.qlCalendarAdvance(Calendar,X1266,W1267,"f",FALSE)</f>
        <v>48128</v>
      </c>
      <c r="Y1267" s="131">
        <f>_xll.qlCalendarAdvance(Calendar,X1267,NDays&amp;"D")</f>
        <v>48130</v>
      </c>
      <c r="Z1267" s="132">
        <v>2.0961458037004381E-2</v>
      </c>
      <c r="AA1267" s="129">
        <v>2.0961563333328215E-2</v>
      </c>
    </row>
    <row r="1268" spans="19:27" x14ac:dyDescent="0.2">
      <c r="S1268" s="1"/>
      <c r="T1268" s="109"/>
      <c r="W1268" s="130" t="str">
        <f t="shared" si="29"/>
        <v>1w</v>
      </c>
      <c r="X1268" s="128">
        <f>_xll.qlCalendarAdvance(Calendar,X1267,W1268,"f",FALSE)</f>
        <v>48135</v>
      </c>
      <c r="Y1268" s="131">
        <f>_xll.qlCalendarAdvance(Calendar,X1268,NDays&amp;"D")</f>
        <v>48137</v>
      </c>
      <c r="Z1268" s="132">
        <v>2.0952796132365614E-2</v>
      </c>
      <c r="AA1268" s="129">
        <v>2.0953160388907932E-2</v>
      </c>
    </row>
    <row r="1269" spans="19:27" x14ac:dyDescent="0.2">
      <c r="S1269" s="1"/>
      <c r="T1269" s="109"/>
      <c r="W1269" s="130" t="str">
        <f t="shared" si="29"/>
        <v>1w</v>
      </c>
      <c r="X1269" s="128">
        <f>_xll.qlCalendarAdvance(Calendar,X1268,W1269,"f",FALSE)</f>
        <v>48142</v>
      </c>
      <c r="Y1269" s="131">
        <f>_xll.qlCalendarAdvance(Calendar,X1269,NDays&amp;"D")</f>
        <v>48144</v>
      </c>
      <c r="Z1269" s="132">
        <v>2.0944101254865011E-2</v>
      </c>
      <c r="AA1269" s="129">
        <v>2.0944724626499323E-2</v>
      </c>
    </row>
    <row r="1270" spans="19:27" x14ac:dyDescent="0.2">
      <c r="S1270" s="1"/>
      <c r="T1270" s="109"/>
      <c r="W1270" s="130" t="str">
        <f t="shared" si="29"/>
        <v>1w</v>
      </c>
      <c r="X1270" s="128">
        <f>_xll.qlCalendarAdvance(Calendar,X1269,W1270,"f",FALSE)</f>
        <v>48149</v>
      </c>
      <c r="Y1270" s="131">
        <f>_xll.qlCalendarAdvance(Calendar,X1270,NDays&amp;"D")</f>
        <v>48151</v>
      </c>
      <c r="Z1270" s="132">
        <v>2.0935373404722402E-2</v>
      </c>
      <c r="AA1270" s="129">
        <v>2.0936256046102386E-2</v>
      </c>
    </row>
    <row r="1271" spans="19:27" x14ac:dyDescent="0.2">
      <c r="S1271" s="1"/>
      <c r="T1271" s="109"/>
      <c r="W1271" s="130" t="str">
        <f t="shared" si="29"/>
        <v>1w</v>
      </c>
      <c r="X1271" s="128">
        <f>_xll.qlCalendarAdvance(Calendar,X1270,W1271,"f",FALSE)</f>
        <v>48156</v>
      </c>
      <c r="Y1271" s="131">
        <f>_xll.qlCalendarAdvance(Calendar,X1271,NDays&amp;"D")</f>
        <v>48158</v>
      </c>
      <c r="Z1271" s="132">
        <v>2.092661258215674E-2</v>
      </c>
      <c r="AA1271" s="129">
        <v>2.0927754647717123E-2</v>
      </c>
    </row>
    <row r="1272" spans="19:27" x14ac:dyDescent="0.2">
      <c r="S1272" s="1"/>
      <c r="T1272" s="109"/>
      <c r="W1272" s="130" t="str">
        <f t="shared" si="29"/>
        <v>1w</v>
      </c>
      <c r="X1272" s="128">
        <f>_xll.qlCalendarAdvance(Calendar,X1271,W1272,"f",FALSE)</f>
        <v>48163</v>
      </c>
      <c r="Y1272" s="131">
        <f>_xll.qlCalendarAdvance(Calendar,X1272,NDays&amp;"D")</f>
        <v>48165</v>
      </c>
      <c r="Z1272" s="132">
        <v>2.0917818787386983E-2</v>
      </c>
      <c r="AA1272" s="129">
        <v>2.0919220431263597E-2</v>
      </c>
    </row>
    <row r="1273" spans="19:27" x14ac:dyDescent="0.2">
      <c r="S1273" s="1"/>
      <c r="T1273" s="109"/>
      <c r="W1273" s="130" t="str">
        <f t="shared" si="29"/>
        <v>1w</v>
      </c>
      <c r="X1273" s="128">
        <f>_xll.qlCalendarAdvance(Calendar,X1272,W1273,"f",FALSE)</f>
        <v>48170</v>
      </c>
      <c r="Y1273" s="131">
        <f>_xll.qlCalendarAdvance(Calendar,X1273,NDays&amp;"D")</f>
        <v>48172</v>
      </c>
      <c r="Z1273" s="132">
        <v>2.0908992020637295E-2</v>
      </c>
      <c r="AA1273" s="129">
        <v>2.0910653396901679E-2</v>
      </c>
    </row>
    <row r="1274" spans="19:27" x14ac:dyDescent="0.2">
      <c r="S1274" s="1"/>
      <c r="T1274" s="109"/>
      <c r="W1274" s="130" t="str">
        <f t="shared" si="29"/>
        <v>1w</v>
      </c>
      <c r="X1274" s="128">
        <f>_xll.qlCalendarAdvance(Calendar,X1273,W1274,"f",FALSE)</f>
        <v>48177</v>
      </c>
      <c r="Y1274" s="131">
        <f>_xll.qlCalendarAdvance(Calendar,X1274,NDays&amp;"D")</f>
        <v>48179</v>
      </c>
      <c r="Z1274" s="132">
        <v>2.09001322821275E-2</v>
      </c>
      <c r="AA1274" s="129">
        <v>2.0902053544551435E-2</v>
      </c>
    </row>
    <row r="1275" spans="19:27" x14ac:dyDescent="0.2">
      <c r="S1275" s="1"/>
      <c r="T1275" s="109"/>
      <c r="W1275" s="130" t="str">
        <f t="shared" si="29"/>
        <v>1w</v>
      </c>
      <c r="X1275" s="128">
        <f>_xll.qlCalendarAdvance(Calendar,X1274,W1275,"f",FALSE)</f>
        <v>48184</v>
      </c>
      <c r="Y1275" s="131">
        <f>_xll.qlCalendarAdvance(Calendar,X1275,NDays&amp;"D")</f>
        <v>48186</v>
      </c>
      <c r="Z1275" s="132">
        <v>2.0891275871349185E-2</v>
      </c>
      <c r="AA1275" s="129">
        <v>2.0893420874212865E-2</v>
      </c>
    </row>
    <row r="1276" spans="19:27" x14ac:dyDescent="0.2">
      <c r="S1276" s="1"/>
      <c r="T1276" s="109"/>
      <c r="W1276" s="130" t="str">
        <f t="shared" si="29"/>
        <v>1w</v>
      </c>
      <c r="X1276" s="128">
        <f>_xll.qlCalendarAdvance(Calendar,X1275,W1276,"f",FALSE)</f>
        <v>48191</v>
      </c>
      <c r="Y1276" s="131">
        <f>_xll.qlCalendarAdvance(Calendar,X1276,NDays&amp;"D")</f>
        <v>48193</v>
      </c>
      <c r="Z1276" s="132">
        <v>2.0882353061409478E-2</v>
      </c>
      <c r="AA1276" s="129">
        <v>2.0884755385885967E-2</v>
      </c>
    </row>
    <row r="1277" spans="19:27" x14ac:dyDescent="0.2">
      <c r="S1277" s="1"/>
      <c r="T1277" s="109"/>
      <c r="W1277" s="130" t="str">
        <f t="shared" si="29"/>
        <v>1w</v>
      </c>
      <c r="X1277" s="128">
        <f>_xll.qlCalendarAdvance(Calendar,X1276,W1277,"f",FALSE)</f>
        <v>48198</v>
      </c>
      <c r="Y1277" s="131">
        <f>_xll.qlCalendarAdvance(Calendar,X1277,NDays&amp;"D")</f>
        <v>48200</v>
      </c>
      <c r="Z1277" s="132">
        <v>2.0873397282052685E-2</v>
      </c>
      <c r="AA1277" s="129">
        <v>2.0876057079570742E-2</v>
      </c>
    </row>
    <row r="1278" spans="19:27" x14ac:dyDescent="0.2">
      <c r="S1278" s="1"/>
      <c r="T1278" s="109"/>
      <c r="W1278" s="130" t="str">
        <f t="shared" si="29"/>
        <v>1w</v>
      </c>
      <c r="X1278" s="128">
        <f>_xll.qlCalendarAdvance(Calendar,X1277,W1278,"f",FALSE)</f>
        <v>48205</v>
      </c>
      <c r="Y1278" s="131">
        <f>_xll.qlCalendarAdvance(Calendar,X1278,NDays&amp;"D")</f>
        <v>48211</v>
      </c>
      <c r="Z1278" s="132">
        <v>2.0859210741343729E-2</v>
      </c>
      <c r="AA1278" s="129">
        <v>2.0862322006731659E-2</v>
      </c>
    </row>
    <row r="1279" spans="19:27" x14ac:dyDescent="0.2">
      <c r="S1279" s="1"/>
      <c r="T1279" s="109"/>
      <c r="W1279" s="130" t="str">
        <f t="shared" si="29"/>
        <v>1w</v>
      </c>
      <c r="X1279" s="128">
        <f>_xll.qlCalendarAdvance(Calendar,X1278,W1279,"f",FALSE)</f>
        <v>48212</v>
      </c>
      <c r="Y1279" s="131">
        <f>_xll.qlCalendarAdvance(Calendar,X1279,NDays&amp;"D")</f>
        <v>48215</v>
      </c>
      <c r="Z1279" s="132">
        <v>2.0854095307856129E-2</v>
      </c>
      <c r="AA1279" s="129">
        <v>2.0857260065358929E-2</v>
      </c>
    </row>
    <row r="1280" spans="19:27" x14ac:dyDescent="0.2">
      <c r="S1280" s="1"/>
      <c r="T1280" s="109"/>
      <c r="W1280" s="130" t="str">
        <f t="shared" si="29"/>
        <v>1w</v>
      </c>
      <c r="X1280" s="128">
        <f>_xll.qlCalendarAdvance(Calendar,X1279,W1280,"f",FALSE)</f>
        <v>48219</v>
      </c>
      <c r="Y1280" s="131">
        <f>_xll.qlCalendarAdvance(Calendar,X1280,NDays&amp;"D")</f>
        <v>48221</v>
      </c>
      <c r="Z1280" s="132">
        <v>2.0846332129705696E-2</v>
      </c>
      <c r="AA1280" s="129">
        <v>2.0849765252695107E-2</v>
      </c>
    </row>
    <row r="1281" spans="19:27" x14ac:dyDescent="0.2">
      <c r="S1281" s="1"/>
      <c r="T1281" s="109"/>
      <c r="W1281" s="130" t="str">
        <f t="shared" si="29"/>
        <v>1w</v>
      </c>
      <c r="X1281" s="128">
        <f>_xll.qlCalendarAdvance(Calendar,X1280,W1281,"f",FALSE)</f>
        <v>48226</v>
      </c>
      <c r="Y1281" s="131">
        <f>_xll.qlCalendarAdvance(Calendar,X1281,NDays&amp;"D")</f>
        <v>48228</v>
      </c>
      <c r="Z1281" s="132">
        <v>2.0837244474913499E-2</v>
      </c>
      <c r="AA1281" s="129">
        <v>2.0840935674506511E-2</v>
      </c>
    </row>
    <row r="1282" spans="19:27" x14ac:dyDescent="0.2">
      <c r="S1282" s="1"/>
      <c r="T1282" s="109"/>
      <c r="W1282" s="130" t="str">
        <f t="shared" si="29"/>
        <v>1w</v>
      </c>
      <c r="X1282" s="128">
        <f>_xll.qlCalendarAdvance(Calendar,X1281,W1282,"f",FALSE)</f>
        <v>48233</v>
      </c>
      <c r="Y1282" s="131">
        <f>_xll.qlCalendarAdvance(Calendar,X1282,NDays&amp;"D")</f>
        <v>48235</v>
      </c>
      <c r="Z1282" s="132">
        <v>2.0828123851825951E-2</v>
      </c>
      <c r="AA1282" s="129">
        <v>2.0832073278329588E-2</v>
      </c>
    </row>
    <row r="1283" spans="19:27" x14ac:dyDescent="0.2">
      <c r="S1283" s="1"/>
      <c r="T1283" s="109"/>
      <c r="W1283" s="130" t="str">
        <f t="shared" si="29"/>
        <v>1w</v>
      </c>
      <c r="X1283" s="128">
        <f>_xll.qlCalendarAdvance(Calendar,X1282,W1283,"f",FALSE)</f>
        <v>48240</v>
      </c>
      <c r="Y1283" s="131">
        <f>_xll.qlCalendarAdvance(Calendar,X1283,NDays&amp;"D")</f>
        <v>48242</v>
      </c>
      <c r="Z1283" s="132">
        <v>2.081897026066969E-2</v>
      </c>
      <c r="AA1283" s="129">
        <v>2.0823178064164338E-2</v>
      </c>
    </row>
    <row r="1284" spans="19:27" x14ac:dyDescent="0.2">
      <c r="S1284" s="1"/>
      <c r="T1284" s="109"/>
      <c r="W1284" s="130" t="str">
        <f t="shared" si="29"/>
        <v>1w</v>
      </c>
      <c r="X1284" s="128">
        <f>_xll.qlCalendarAdvance(Calendar,X1283,W1284,"f",FALSE)</f>
        <v>48247</v>
      </c>
      <c r="Y1284" s="131">
        <f>_xll.qlCalendarAdvance(Calendar,X1284,NDays&amp;"D")</f>
        <v>48249</v>
      </c>
      <c r="Z1284" s="132">
        <v>2.0809845626039269E-2</v>
      </c>
      <c r="AA1284" s="129">
        <v>2.0814250032010762E-2</v>
      </c>
    </row>
    <row r="1285" spans="19:27" x14ac:dyDescent="0.2">
      <c r="S1285" s="1"/>
      <c r="T1285" s="109"/>
      <c r="W1285" s="130" t="str">
        <f t="shared" si="29"/>
        <v>1w</v>
      </c>
      <c r="X1285" s="128">
        <f>_xll.qlCalendarAdvance(Calendar,X1284,W1285,"f",FALSE)</f>
        <v>48254</v>
      </c>
      <c r="Y1285" s="131">
        <f>_xll.qlCalendarAdvance(Calendar,X1285,NDays&amp;"D")</f>
        <v>48256</v>
      </c>
      <c r="Z1285" s="132">
        <v>2.0800628985526259E-2</v>
      </c>
      <c r="AA1285" s="129">
        <v>2.0805289181948794E-2</v>
      </c>
    </row>
    <row r="1286" spans="19:27" x14ac:dyDescent="0.2">
      <c r="S1286" s="1"/>
      <c r="T1286" s="109"/>
      <c r="W1286" s="130" t="str">
        <f t="shared" si="29"/>
        <v>1w</v>
      </c>
      <c r="X1286" s="128">
        <f>_xll.qlCalendarAdvance(Calendar,X1285,W1286,"f",FALSE)</f>
        <v>48261</v>
      </c>
      <c r="Y1286" s="131">
        <f>_xll.qlCalendarAdvance(Calendar,X1286,NDays&amp;"D")</f>
        <v>48263</v>
      </c>
      <c r="Z1286" s="132">
        <v>2.079137937927733E-2</v>
      </c>
      <c r="AA1286" s="129">
        <v>2.07962955138985E-2</v>
      </c>
    </row>
    <row r="1287" spans="19:27" x14ac:dyDescent="0.2">
      <c r="S1287" s="1"/>
      <c r="T1287" s="109"/>
      <c r="W1287" s="130" t="str">
        <f t="shared" si="29"/>
        <v>1w</v>
      </c>
      <c r="X1287" s="128">
        <f>_xll.qlCalendarAdvance(Calendar,X1286,W1287,"f",FALSE)</f>
        <v>48268</v>
      </c>
      <c r="Y1287" s="131">
        <f>_xll.qlCalendarAdvance(Calendar,X1287,NDays&amp;"D")</f>
        <v>48270</v>
      </c>
      <c r="Z1287" s="132">
        <v>2.0782096807520745E-2</v>
      </c>
      <c r="AA1287" s="129">
        <v>2.0787269027859878E-2</v>
      </c>
    </row>
    <row r="1288" spans="19:27" x14ac:dyDescent="0.2">
      <c r="S1288" s="1"/>
      <c r="T1288" s="109"/>
      <c r="W1288" s="130" t="str">
        <f t="shared" si="29"/>
        <v>1w</v>
      </c>
      <c r="X1288" s="128">
        <f>_xll.qlCalendarAdvance(Calendar,X1287,W1288,"f",FALSE)</f>
        <v>48275</v>
      </c>
      <c r="Y1288" s="131">
        <f>_xll.qlCalendarAdvance(Calendar,X1288,NDays&amp;"D")</f>
        <v>48277</v>
      </c>
      <c r="Z1288" s="132">
        <v>2.0772634034560037E-2</v>
      </c>
      <c r="AA1288" s="129">
        <v>2.0778209723912866E-2</v>
      </c>
    </row>
    <row r="1289" spans="19:27" x14ac:dyDescent="0.2">
      <c r="S1289" s="1"/>
      <c r="T1289" s="109"/>
      <c r="W1289" s="130" t="str">
        <f t="shared" si="29"/>
        <v>1w</v>
      </c>
      <c r="X1289" s="128">
        <f>_xll.qlCalendarAdvance(Calendar,X1288,W1289,"f",FALSE)</f>
        <v>48282</v>
      </c>
      <c r="Y1289" s="131">
        <f>_xll.qlCalendarAdvance(Calendar,X1289,NDays&amp;"D")</f>
        <v>48284</v>
      </c>
      <c r="Z1289" s="132">
        <v>2.076327974686603E-2</v>
      </c>
      <c r="AA1289" s="129">
        <v>2.0769117601977527E-2</v>
      </c>
    </row>
    <row r="1290" spans="19:27" x14ac:dyDescent="0.2">
      <c r="S1290" s="1"/>
      <c r="T1290" s="109"/>
      <c r="W1290" s="130" t="str">
        <f t="shared" si="29"/>
        <v>1w</v>
      </c>
      <c r="X1290" s="128">
        <f>_xll.qlCalendarAdvance(Calendar,X1289,W1290,"f",FALSE)</f>
        <v>48289</v>
      </c>
      <c r="Y1290" s="131">
        <f>_xll.qlCalendarAdvance(Calendar,X1290,NDays&amp;"D")</f>
        <v>48291</v>
      </c>
      <c r="Z1290" s="132">
        <v>2.0753892491077685E-2</v>
      </c>
      <c r="AA1290" s="129">
        <v>2.0759992662133797E-2</v>
      </c>
    </row>
    <row r="1291" spans="19:27" x14ac:dyDescent="0.2">
      <c r="S1291" s="1"/>
      <c r="T1291" s="109"/>
      <c r="W1291" s="130" t="str">
        <f t="shared" si="29"/>
        <v>1w</v>
      </c>
      <c r="X1291" s="128">
        <f>_xll.qlCalendarAdvance(Calendar,X1290,W1291,"f",FALSE)</f>
        <v>48296</v>
      </c>
      <c r="Y1291" s="131">
        <f>_xll.qlCalendarAdvance(Calendar,X1291,NDays&amp;"D")</f>
        <v>48298</v>
      </c>
      <c r="Z1291" s="132">
        <v>2.0744472267431327E-2</v>
      </c>
      <c r="AA1291" s="129">
        <v>2.0750603443962845E-2</v>
      </c>
    </row>
    <row r="1292" spans="19:27" x14ac:dyDescent="0.2">
      <c r="S1292" s="1"/>
      <c r="T1292" s="109"/>
      <c r="W1292" s="130" t="str">
        <f t="shared" si="29"/>
        <v>1w</v>
      </c>
      <c r="X1292" s="128">
        <f>_xll.qlCalendarAdvance(Calendar,X1291,W1292,"f",FALSE)</f>
        <v>48303</v>
      </c>
      <c r="Y1292" s="131">
        <f>_xll.qlCalendarAdvance(Calendar,X1292,NDays&amp;"D")</f>
        <v>48305</v>
      </c>
      <c r="Z1292" s="132">
        <v>2.0735104415022226E-2</v>
      </c>
      <c r="AA1292" s="129">
        <v>2.0741644328561293E-2</v>
      </c>
    </row>
    <row r="1293" spans="19:27" x14ac:dyDescent="0.2">
      <c r="S1293" s="1"/>
      <c r="T1293" s="109"/>
      <c r="W1293" s="130" t="str">
        <f t="shared" si="29"/>
        <v>1w</v>
      </c>
      <c r="X1293" s="128">
        <f>_xll.qlCalendarAdvance(Calendar,X1292,W1293,"f",FALSE)</f>
        <v>48310</v>
      </c>
      <c r="Y1293" s="131">
        <f>_xll.qlCalendarAdvance(Calendar,X1293,NDays&amp;"D")</f>
        <v>48312</v>
      </c>
      <c r="Z1293" s="132">
        <v>2.0725621155842096E-2</v>
      </c>
      <c r="AA1293" s="129">
        <v>2.0732420934832518E-2</v>
      </c>
    </row>
    <row r="1294" spans="19:27" x14ac:dyDescent="0.2">
      <c r="S1294" s="1"/>
      <c r="T1294" s="109"/>
      <c r="W1294" s="130" t="str">
        <f t="shared" si="29"/>
        <v>1w</v>
      </c>
      <c r="X1294" s="128">
        <f>_xll.qlCalendarAdvance(Calendar,X1293,W1294,"f",FALSE)</f>
        <v>48317</v>
      </c>
      <c r="Y1294" s="131">
        <f>_xll.qlCalendarAdvance(Calendar,X1294,NDays&amp;"D")</f>
        <v>48319</v>
      </c>
      <c r="Z1294" s="132">
        <v>2.0716104931141541E-2</v>
      </c>
      <c r="AA1294" s="129">
        <v>2.0723164723195353E-2</v>
      </c>
    </row>
    <row r="1295" spans="19:27" x14ac:dyDescent="0.2">
      <c r="S1295" s="1"/>
      <c r="T1295" s="109"/>
      <c r="W1295" s="130" t="str">
        <f t="shared" si="29"/>
        <v>1w</v>
      </c>
      <c r="X1295" s="128">
        <f>_xll.qlCalendarAdvance(Calendar,X1294,W1295,"f",FALSE)</f>
        <v>48324</v>
      </c>
      <c r="Y1295" s="131">
        <f>_xll.qlCalendarAdvance(Calendar,X1295,NDays&amp;"D")</f>
        <v>48326</v>
      </c>
      <c r="Z1295" s="132">
        <v>2.0706555741160374E-2</v>
      </c>
      <c r="AA1295" s="129">
        <v>2.0713875693649797E-2</v>
      </c>
    </row>
    <row r="1296" spans="19:27" x14ac:dyDescent="0.2">
      <c r="S1296" s="1"/>
      <c r="T1296" s="109"/>
      <c r="W1296" s="130" t="str">
        <f t="shared" si="29"/>
        <v>1w</v>
      </c>
      <c r="X1296" s="128">
        <f>_xll.qlCalendarAdvance(Calendar,X1295,W1296,"f",FALSE)</f>
        <v>48331</v>
      </c>
      <c r="Y1296" s="131">
        <f>_xll.qlCalendarAdvance(Calendar,X1296,NDays&amp;"D")</f>
        <v>48333</v>
      </c>
      <c r="Z1296" s="132">
        <v>2.0696973586134884E-2</v>
      </c>
      <c r="AA1296" s="129">
        <v>2.0704553846115914E-2</v>
      </c>
    </row>
    <row r="1297" spans="19:27" x14ac:dyDescent="0.2">
      <c r="S1297" s="1"/>
      <c r="T1297" s="109"/>
      <c r="W1297" s="130" t="str">
        <f t="shared" si="29"/>
        <v>1w</v>
      </c>
      <c r="X1297" s="128">
        <f>_xll.qlCalendarAdvance(Calendar,X1296,W1297,"f",FALSE)</f>
        <v>48338</v>
      </c>
      <c r="Y1297" s="131">
        <f>_xll.qlCalendarAdvance(Calendar,X1297,NDays&amp;"D")</f>
        <v>48340</v>
      </c>
      <c r="Z1297" s="132">
        <v>2.0687258613857389E-2</v>
      </c>
      <c r="AA1297" s="129">
        <v>2.0695199180593704E-2</v>
      </c>
    </row>
    <row r="1298" spans="19:27" x14ac:dyDescent="0.2">
      <c r="S1298" s="1"/>
      <c r="T1298" s="109"/>
      <c r="W1298" s="130" t="str">
        <f t="shared" si="29"/>
        <v>1w</v>
      </c>
      <c r="X1298" s="128">
        <f>_xll.qlCalendarAdvance(Calendar,X1297,W1298,"f",FALSE)</f>
        <v>48345</v>
      </c>
      <c r="Y1298" s="131">
        <f>_xll.qlCalendarAdvance(Calendar,X1298,NDays&amp;"D")</f>
        <v>48347</v>
      </c>
      <c r="Z1298" s="132">
        <v>2.0677607621885714E-2</v>
      </c>
      <c r="AA1298" s="129">
        <v>2.0685811697243039E-2</v>
      </c>
    </row>
    <row r="1299" spans="19:27" x14ac:dyDescent="0.2">
      <c r="S1299" s="1"/>
      <c r="T1299" s="109"/>
      <c r="W1299" s="130" t="str">
        <f t="shared" si="29"/>
        <v>1w</v>
      </c>
      <c r="X1299" s="128">
        <f>_xll.qlCalendarAdvance(Calendar,X1298,W1299,"f",FALSE)</f>
        <v>48352</v>
      </c>
      <c r="Y1299" s="131">
        <f>_xll.qlCalendarAdvance(Calendar,X1299,NDays&amp;"D")</f>
        <v>48354</v>
      </c>
      <c r="Z1299" s="132">
        <v>2.0667923663974498E-2</v>
      </c>
      <c r="AA1299" s="129">
        <v>2.0676391395904048E-2</v>
      </c>
    </row>
    <row r="1300" spans="19:27" x14ac:dyDescent="0.2">
      <c r="S1300" s="1"/>
      <c r="T1300" s="109"/>
      <c r="W1300" s="130" t="str">
        <f t="shared" si="29"/>
        <v>1w</v>
      </c>
      <c r="X1300" s="128">
        <f>_xll.qlCalendarAdvance(Calendar,X1299,W1300,"f",FALSE)</f>
        <v>48359</v>
      </c>
      <c r="Y1300" s="131">
        <f>_xll.qlCalendarAdvance(Calendar,X1300,NDays&amp;"D")</f>
        <v>48361</v>
      </c>
      <c r="Z1300" s="132">
        <v>2.0658206740366149E-2</v>
      </c>
      <c r="AA1300" s="129">
        <v>2.0666938276656666E-2</v>
      </c>
    </row>
    <row r="1301" spans="19:27" x14ac:dyDescent="0.2">
      <c r="S1301" s="1"/>
      <c r="T1301" s="109"/>
      <c r="W1301" s="130" t="str">
        <f t="shared" ref="W1301:W1364" si="30">W1300</f>
        <v>1w</v>
      </c>
      <c r="X1301" s="128">
        <f>_xll.qlCalendarAdvance(Calendar,X1300,W1301,"f",FALSE)</f>
        <v>48366</v>
      </c>
      <c r="Y1301" s="131">
        <f>_xll.qlCalendarAdvance(Calendar,X1301,NDays&amp;"D")</f>
        <v>48368</v>
      </c>
      <c r="Z1301" s="132">
        <v>2.0648456851307433E-2</v>
      </c>
      <c r="AA1301" s="129">
        <v>2.0657452339500892E-2</v>
      </c>
    </row>
    <row r="1302" spans="19:27" x14ac:dyDescent="0.2">
      <c r="S1302" s="1"/>
      <c r="T1302" s="109"/>
      <c r="W1302" s="130" t="str">
        <f t="shared" si="30"/>
        <v>1w</v>
      </c>
      <c r="X1302" s="128">
        <f>_xll.qlCalendarAdvance(Calendar,X1301,W1302,"f",FALSE)</f>
        <v>48373</v>
      </c>
      <c r="Y1302" s="131">
        <f>_xll.qlCalendarAdvance(Calendar,X1302,NDays&amp;"D")</f>
        <v>48375</v>
      </c>
      <c r="Z1302" s="132">
        <v>2.06386739970425E-2</v>
      </c>
      <c r="AA1302" s="129">
        <v>2.0647933584436728E-2</v>
      </c>
    </row>
    <row r="1303" spans="19:27" x14ac:dyDescent="0.2">
      <c r="S1303" s="1"/>
      <c r="T1303" s="109"/>
      <c r="W1303" s="130" t="str">
        <f t="shared" si="30"/>
        <v>1w</v>
      </c>
      <c r="X1303" s="128">
        <f>_xll.qlCalendarAdvance(Calendar,X1302,W1303,"f",FALSE)</f>
        <v>48380</v>
      </c>
      <c r="Y1303" s="131">
        <f>_xll.qlCalendarAdvance(Calendar,X1303,NDays&amp;"D")</f>
        <v>48382</v>
      </c>
      <c r="Z1303" s="132">
        <v>2.0628858177818107E-2</v>
      </c>
      <c r="AA1303" s="129">
        <v>2.0638382011464174E-2</v>
      </c>
    </row>
    <row r="1304" spans="19:27" x14ac:dyDescent="0.2">
      <c r="S1304" s="1"/>
      <c r="T1304" s="109"/>
      <c r="W1304" s="130" t="str">
        <f t="shared" si="30"/>
        <v>1w</v>
      </c>
      <c r="X1304" s="128">
        <f>_xll.qlCalendarAdvance(Calendar,X1303,W1304,"f",FALSE)</f>
        <v>48387</v>
      </c>
      <c r="Y1304" s="131">
        <f>_xll.qlCalendarAdvance(Calendar,X1304,NDays&amp;"D")</f>
        <v>48389</v>
      </c>
      <c r="Z1304" s="132">
        <v>2.0619009393880151E-2</v>
      </c>
      <c r="AA1304" s="129">
        <v>2.0628797620583228E-2</v>
      </c>
    </row>
    <row r="1305" spans="19:27" x14ac:dyDescent="0.2">
      <c r="S1305" s="1"/>
      <c r="T1305" s="109"/>
      <c r="W1305" s="130" t="str">
        <f t="shared" si="30"/>
        <v>1w</v>
      </c>
      <c r="X1305" s="128">
        <f>_xll.qlCalendarAdvance(Calendar,X1304,W1305,"f",FALSE)</f>
        <v>48394</v>
      </c>
      <c r="Y1305" s="131">
        <f>_xll.qlCalendarAdvance(Calendar,X1305,NDays&amp;"D")</f>
        <v>48396</v>
      </c>
      <c r="Z1305" s="132">
        <v>2.0609127645477121E-2</v>
      </c>
      <c r="AA1305" s="129">
        <v>2.0619180411713955E-2</v>
      </c>
    </row>
    <row r="1306" spans="19:27" x14ac:dyDescent="0.2">
      <c r="S1306" s="1"/>
      <c r="T1306" s="109"/>
      <c r="W1306" s="130" t="str">
        <f t="shared" si="30"/>
        <v>1w</v>
      </c>
      <c r="X1306" s="128">
        <f>_xll.qlCalendarAdvance(Calendar,X1305,W1306,"f",FALSE)</f>
        <v>48401</v>
      </c>
      <c r="Y1306" s="131">
        <f>_xll.qlCalendarAdvance(Calendar,X1306,NDays&amp;"D")</f>
        <v>48403</v>
      </c>
      <c r="Z1306" s="132">
        <v>2.0599212932856648E-2</v>
      </c>
      <c r="AA1306" s="129">
        <v>2.0609530385016228E-2</v>
      </c>
    </row>
    <row r="1307" spans="19:27" x14ac:dyDescent="0.2">
      <c r="S1307" s="1"/>
      <c r="T1307" s="109"/>
      <c r="W1307" s="130" t="str">
        <f t="shared" si="30"/>
        <v>1w</v>
      </c>
      <c r="X1307" s="128">
        <f>_xll.qlCalendarAdvance(Calendar,X1306,W1307,"f",FALSE)</f>
        <v>48408</v>
      </c>
      <c r="Y1307" s="131">
        <f>_xll.qlCalendarAdvance(Calendar,X1307,NDays&amp;"D")</f>
        <v>48410</v>
      </c>
      <c r="Z1307" s="132">
        <v>2.0589265256268967E-2</v>
      </c>
      <c r="AA1307" s="129">
        <v>2.059984754041011E-2</v>
      </c>
    </row>
    <row r="1308" spans="19:27" x14ac:dyDescent="0.2">
      <c r="S1308" s="1"/>
      <c r="T1308" s="109"/>
      <c r="W1308" s="130" t="str">
        <f t="shared" si="30"/>
        <v>1w</v>
      </c>
      <c r="X1308" s="128">
        <f>_xll.qlCalendarAdvance(Calendar,X1307,W1308,"f",FALSE)</f>
        <v>48415</v>
      </c>
      <c r="Y1308" s="131">
        <f>_xll.qlCalendarAdvance(Calendar,X1308,NDays&amp;"D")</f>
        <v>48417</v>
      </c>
      <c r="Z1308" s="132">
        <v>2.0579284615964314E-2</v>
      </c>
      <c r="AA1308" s="129">
        <v>2.0590131877895601E-2</v>
      </c>
    </row>
    <row r="1309" spans="19:27" x14ac:dyDescent="0.2">
      <c r="S1309" s="1"/>
      <c r="T1309" s="109"/>
      <c r="W1309" s="130" t="str">
        <f t="shared" si="30"/>
        <v>1w</v>
      </c>
      <c r="X1309" s="128">
        <f>_xll.qlCalendarAdvance(Calendar,X1308,W1309,"f",FALSE)</f>
        <v>48422</v>
      </c>
      <c r="Y1309" s="131">
        <f>_xll.qlCalendarAdvance(Calendar,X1309,NDays&amp;"D")</f>
        <v>48424</v>
      </c>
      <c r="Z1309" s="132">
        <v>2.0569271012193791E-2</v>
      </c>
      <c r="AA1309" s="129">
        <v>2.0580383397472701E-2</v>
      </c>
    </row>
    <row r="1310" spans="19:27" x14ac:dyDescent="0.2">
      <c r="S1310" s="1"/>
      <c r="T1310" s="109"/>
      <c r="W1310" s="130" t="str">
        <f t="shared" si="30"/>
        <v>1w</v>
      </c>
      <c r="X1310" s="128">
        <f>_xll.qlCalendarAdvance(Calendar,X1309,W1310,"f",FALSE)</f>
        <v>48429</v>
      </c>
      <c r="Y1310" s="131">
        <f>_xll.qlCalendarAdvance(Calendar,X1310,NDays&amp;"D")</f>
        <v>48431</v>
      </c>
      <c r="Z1310" s="132">
        <v>2.0559224445207632E-2</v>
      </c>
      <c r="AA1310" s="129">
        <v>2.0570602099061475E-2</v>
      </c>
    </row>
    <row r="1311" spans="19:27" x14ac:dyDescent="0.2">
      <c r="S1311" s="1"/>
      <c r="T1311" s="109"/>
      <c r="W1311" s="130" t="str">
        <f t="shared" si="30"/>
        <v>1w</v>
      </c>
      <c r="X1311" s="128">
        <f>_xll.qlCalendarAdvance(Calendar,X1310,W1311,"f",FALSE)</f>
        <v>48436</v>
      </c>
      <c r="Y1311" s="131">
        <f>_xll.qlCalendarAdvance(Calendar,X1311,NDays&amp;"D")</f>
        <v>48438</v>
      </c>
      <c r="Z1311" s="132">
        <v>2.0549144915260418E-2</v>
      </c>
      <c r="AA1311" s="129">
        <v>2.0560787982821793E-2</v>
      </c>
    </row>
    <row r="1312" spans="19:27" x14ac:dyDescent="0.2">
      <c r="S1312" s="1"/>
      <c r="T1312" s="109"/>
      <c r="W1312" s="130" t="str">
        <f t="shared" si="30"/>
        <v>1w</v>
      </c>
      <c r="X1312" s="128">
        <f>_xll.qlCalendarAdvance(Calendar,X1311,W1312,"f",FALSE)</f>
        <v>48443</v>
      </c>
      <c r="Y1312" s="131">
        <f>_xll.qlCalendarAdvance(Calendar,X1312,NDays&amp;"D")</f>
        <v>48445</v>
      </c>
      <c r="Z1312" s="132">
        <v>2.0539032422604988E-2</v>
      </c>
      <c r="AA1312" s="129">
        <v>2.0550941048753657E-2</v>
      </c>
    </row>
    <row r="1313" spans="19:27" x14ac:dyDescent="0.2">
      <c r="S1313" s="1"/>
      <c r="T1313" s="109"/>
      <c r="W1313" s="130" t="str">
        <f t="shared" si="30"/>
        <v>1w</v>
      </c>
      <c r="X1313" s="128">
        <f>_xll.qlCalendarAdvance(Calendar,X1312,W1313,"f",FALSE)</f>
        <v>48450</v>
      </c>
      <c r="Y1313" s="131">
        <f>_xll.qlCalendarAdvance(Calendar,X1313,NDays&amp;"D")</f>
        <v>48452</v>
      </c>
      <c r="Z1313" s="132">
        <v>2.0528886967496791E-2</v>
      </c>
      <c r="AA1313" s="129">
        <v>2.0541061296617258E-2</v>
      </c>
    </row>
    <row r="1314" spans="19:27" x14ac:dyDescent="0.2">
      <c r="S1314" s="1"/>
      <c r="T1314" s="109"/>
      <c r="W1314" s="130" t="str">
        <f t="shared" si="30"/>
        <v>1w</v>
      </c>
      <c r="X1314" s="128">
        <f>_xll.qlCalendarAdvance(Calendar,X1313,W1314,"f",FALSE)</f>
        <v>48457</v>
      </c>
      <c r="Y1314" s="131">
        <f>_xll.qlCalendarAdvance(Calendar,X1314,NDays&amp;"D")</f>
        <v>48459</v>
      </c>
      <c r="Z1314" s="132">
        <v>2.0518858048913551E-2</v>
      </c>
      <c r="AA1314" s="129">
        <v>2.053114872673234E-2</v>
      </c>
    </row>
    <row r="1315" spans="19:27" x14ac:dyDescent="0.2">
      <c r="S1315" s="1"/>
      <c r="T1315" s="109"/>
      <c r="W1315" s="130" t="str">
        <f t="shared" si="30"/>
        <v>1w</v>
      </c>
      <c r="X1315" s="128">
        <f>_xll.qlCalendarAdvance(Calendar,X1314,W1315,"f",FALSE)</f>
        <v>48464</v>
      </c>
      <c r="Y1315" s="131">
        <f>_xll.qlCalendarAdvance(Calendar,X1315,NDays&amp;"D")</f>
        <v>48466</v>
      </c>
      <c r="Z1315" s="132">
        <v>2.0508649604284147E-2</v>
      </c>
      <c r="AA1315" s="129">
        <v>2.0521203338939031E-2</v>
      </c>
    </row>
    <row r="1316" spans="19:27" x14ac:dyDescent="0.2">
      <c r="S1316" s="1"/>
      <c r="T1316" s="109"/>
      <c r="W1316" s="130" t="str">
        <f t="shared" si="30"/>
        <v>1w</v>
      </c>
      <c r="X1316" s="128">
        <f>_xll.qlCalendarAdvance(Calendar,X1315,W1316,"f",FALSE)</f>
        <v>48471</v>
      </c>
      <c r="Y1316" s="131">
        <f>_xll.qlCalendarAdvance(Calendar,X1316,NDays&amp;"D")</f>
        <v>48473</v>
      </c>
      <c r="Z1316" s="132">
        <v>2.0498408199533958E-2</v>
      </c>
      <c r="AA1316" s="129">
        <v>2.0511225133317268E-2</v>
      </c>
    </row>
    <row r="1317" spans="19:27" x14ac:dyDescent="0.2">
      <c r="S1317" s="1"/>
      <c r="T1317" s="109"/>
      <c r="W1317" s="130" t="str">
        <f t="shared" si="30"/>
        <v>1w</v>
      </c>
      <c r="X1317" s="128">
        <f>_xll.qlCalendarAdvance(Calendar,X1316,W1317,"f",FALSE)</f>
        <v>48478</v>
      </c>
      <c r="Y1317" s="131">
        <f>_xll.qlCalendarAdvance(Calendar,X1317,NDays&amp;"D")</f>
        <v>48480</v>
      </c>
      <c r="Z1317" s="132">
        <v>2.0488133834918602E-2</v>
      </c>
      <c r="AA1317" s="129">
        <v>2.0501214109707178E-2</v>
      </c>
    </row>
    <row r="1318" spans="19:27" x14ac:dyDescent="0.2">
      <c r="S1318" s="1"/>
      <c r="T1318" s="109"/>
      <c r="W1318" s="130" t="str">
        <f t="shared" si="30"/>
        <v>1w</v>
      </c>
      <c r="X1318" s="128">
        <f>_xll.qlCalendarAdvance(Calendar,X1317,W1318,"f",FALSE)</f>
        <v>48485</v>
      </c>
      <c r="Y1318" s="131">
        <f>_xll.qlCalendarAdvance(Calendar,X1318,NDays&amp;"D")</f>
        <v>48487</v>
      </c>
      <c r="Z1318" s="132">
        <v>2.0477665264105837E-2</v>
      </c>
      <c r="AA1318" s="129">
        <v>2.0491170268268633E-2</v>
      </c>
    </row>
    <row r="1319" spans="19:27" x14ac:dyDescent="0.2">
      <c r="S1319" s="1"/>
      <c r="T1319" s="109"/>
      <c r="W1319" s="130" t="str">
        <f t="shared" si="30"/>
        <v>1w</v>
      </c>
      <c r="X1319" s="128">
        <f>_xll.qlCalendarAdvance(Calendar,X1318,W1319,"f",FALSE)</f>
        <v>48492</v>
      </c>
      <c r="Y1319" s="131">
        <f>_xll.qlCalendarAdvance(Calendar,X1319,NDays&amp;"D")</f>
        <v>48494</v>
      </c>
      <c r="Z1319" s="132">
        <v>2.0467322039661947E-2</v>
      </c>
      <c r="AA1319" s="129">
        <v>2.0481093609001633E-2</v>
      </c>
    </row>
    <row r="1320" spans="19:27" x14ac:dyDescent="0.2">
      <c r="S1320" s="1"/>
      <c r="T1320" s="109"/>
      <c r="W1320" s="130" t="str">
        <f t="shared" si="30"/>
        <v>1w</v>
      </c>
      <c r="X1320" s="128">
        <f>_xll.qlCalendarAdvance(Calendar,X1319,W1320,"f",FALSE)</f>
        <v>48499</v>
      </c>
      <c r="Y1320" s="131">
        <f>_xll.qlCalendarAdvance(Calendar,X1320,NDays&amp;"D")</f>
        <v>48501</v>
      </c>
      <c r="Z1320" s="132">
        <v>2.0456945854568198E-2</v>
      </c>
      <c r="AA1320" s="129">
        <v>2.0470984131826242E-2</v>
      </c>
    </row>
    <row r="1321" spans="19:27" x14ac:dyDescent="0.2">
      <c r="S1321" s="1"/>
      <c r="T1321" s="109"/>
      <c r="W1321" s="130" t="str">
        <f t="shared" si="30"/>
        <v>1w</v>
      </c>
      <c r="X1321" s="128">
        <f>_xll.qlCalendarAdvance(Calendar,X1320,W1321,"f",FALSE)</f>
        <v>48506</v>
      </c>
      <c r="Y1321" s="131">
        <f>_xll.qlCalendarAdvance(Calendar,X1321,NDays&amp;"D")</f>
        <v>48508</v>
      </c>
      <c r="Z1321" s="132">
        <v>2.0446536709085247E-2</v>
      </c>
      <c r="AA1321" s="129">
        <v>2.046084183674246E-2</v>
      </c>
    </row>
    <row r="1322" spans="19:27" x14ac:dyDescent="0.2">
      <c r="S1322" s="1"/>
      <c r="T1322" s="109"/>
      <c r="W1322" s="130" t="str">
        <f t="shared" si="30"/>
        <v>1w</v>
      </c>
      <c r="X1322" s="128">
        <f>_xll.qlCalendarAdvance(Calendar,X1321,W1322,"f",FALSE)</f>
        <v>48513</v>
      </c>
      <c r="Y1322" s="131">
        <f>_xll.qlCalendarAdvance(Calendar,X1322,NDays&amp;"D")</f>
        <v>48515</v>
      </c>
      <c r="Z1322" s="132">
        <v>2.0436094603475494E-2</v>
      </c>
      <c r="AA1322" s="129">
        <v>2.0450666723830224E-2</v>
      </c>
    </row>
    <row r="1323" spans="19:27" x14ac:dyDescent="0.2">
      <c r="S1323" s="1"/>
      <c r="T1323" s="109"/>
      <c r="W1323" s="130" t="str">
        <f t="shared" si="30"/>
        <v>1w</v>
      </c>
      <c r="X1323" s="128">
        <f>_xll.qlCalendarAdvance(Calendar,X1322,W1323,"f",FALSE)</f>
        <v>48520</v>
      </c>
      <c r="Y1323" s="131">
        <f>_xll.qlCalendarAdvance(Calendar,X1323,NDays&amp;"D")</f>
        <v>48522</v>
      </c>
      <c r="Z1323" s="132">
        <v>2.042561953800134E-2</v>
      </c>
      <c r="AA1323" s="129">
        <v>2.0440458793089533E-2</v>
      </c>
    </row>
    <row r="1324" spans="19:27" x14ac:dyDescent="0.2">
      <c r="S1324" s="1"/>
      <c r="T1324" s="109"/>
      <c r="W1324" s="130" t="str">
        <f t="shared" si="30"/>
        <v>1w</v>
      </c>
      <c r="X1324" s="128">
        <f>_xll.qlCalendarAdvance(Calendar,X1323,W1324,"f",FALSE)</f>
        <v>48527</v>
      </c>
      <c r="Y1324" s="131">
        <f>_xll.qlCalendarAdvance(Calendar,X1324,NDays&amp;"D")</f>
        <v>48529</v>
      </c>
      <c r="Z1324" s="132">
        <v>2.0415111512925181E-2</v>
      </c>
      <c r="AA1324" s="129">
        <v>2.0430218044360515E-2</v>
      </c>
    </row>
    <row r="1325" spans="19:27" x14ac:dyDescent="0.2">
      <c r="S1325" s="1"/>
      <c r="T1325" s="109"/>
      <c r="W1325" s="130" t="str">
        <f t="shared" si="30"/>
        <v>1w</v>
      </c>
      <c r="X1325" s="128">
        <f>_xll.qlCalendarAdvance(Calendar,X1324,W1325,"f",FALSE)</f>
        <v>48534</v>
      </c>
      <c r="Y1325" s="131">
        <f>_xll.qlCalendarAdvance(Calendar,X1325,NDays&amp;"D")</f>
        <v>48536</v>
      </c>
      <c r="Z1325" s="132">
        <v>2.040457052851289E-2</v>
      </c>
      <c r="AA1325" s="129">
        <v>2.0419944477882979E-2</v>
      </c>
    </row>
    <row r="1326" spans="19:27" x14ac:dyDescent="0.2">
      <c r="S1326" s="1"/>
      <c r="T1326" s="109"/>
      <c r="W1326" s="130" t="str">
        <f t="shared" si="30"/>
        <v>1w</v>
      </c>
      <c r="X1326" s="128">
        <f>_xll.qlCalendarAdvance(Calendar,X1325,W1326,"f",FALSE)</f>
        <v>48541</v>
      </c>
      <c r="Y1326" s="131">
        <f>_xll.qlCalendarAdvance(Calendar,X1326,NDays&amp;"D")</f>
        <v>48543</v>
      </c>
      <c r="Z1326" s="132">
        <v>2.0393996585028606E-2</v>
      </c>
      <c r="AA1326" s="129">
        <v>2.0409638093576987E-2</v>
      </c>
    </row>
    <row r="1327" spans="19:27" x14ac:dyDescent="0.2">
      <c r="S1327" s="1"/>
      <c r="T1327" s="109"/>
      <c r="W1327" s="130" t="str">
        <f t="shared" si="30"/>
        <v>1w</v>
      </c>
      <c r="X1327" s="128">
        <f>_xll.qlCalendarAdvance(Calendar,X1326,W1327,"f",FALSE)</f>
        <v>48548</v>
      </c>
      <c r="Y1327" s="131">
        <f>_xll.qlCalendarAdvance(Calendar,X1327,NDays&amp;"D")</f>
        <v>48550</v>
      </c>
      <c r="Z1327" s="132">
        <v>2.0383764934078563E-2</v>
      </c>
      <c r="AA1327" s="129">
        <v>2.0399298891362605E-2</v>
      </c>
    </row>
    <row r="1328" spans="19:27" x14ac:dyDescent="0.2">
      <c r="S1328" s="1"/>
      <c r="T1328" s="109"/>
      <c r="W1328" s="130" t="str">
        <f t="shared" si="30"/>
        <v>1w</v>
      </c>
      <c r="X1328" s="128">
        <f>_xll.qlCalendarAdvance(Calendar,X1327,W1328,"f",FALSE)</f>
        <v>48555</v>
      </c>
      <c r="Y1328" s="131">
        <f>_xll.qlCalendarAdvance(Calendar,X1328,NDays&amp;"D")</f>
        <v>48557</v>
      </c>
      <c r="Z1328" s="132">
        <v>2.0373130982487275E-2</v>
      </c>
      <c r="AA1328" s="129">
        <v>2.0388926871239832E-2</v>
      </c>
    </row>
    <row r="1329" spans="19:27" x14ac:dyDescent="0.2">
      <c r="S1329" s="1"/>
      <c r="T1329" s="109"/>
      <c r="W1329" s="130" t="str">
        <f t="shared" si="30"/>
        <v>1w</v>
      </c>
      <c r="X1329" s="128">
        <f>_xll.qlCalendarAdvance(Calendar,X1328,W1329,"f",FALSE)</f>
        <v>48562</v>
      </c>
      <c r="Y1329" s="131">
        <f>_xll.qlCalendarAdvance(Calendar,X1329,NDays&amp;"D")</f>
        <v>48564</v>
      </c>
      <c r="Z1329" s="132">
        <v>2.0362464075680542E-2</v>
      </c>
      <c r="AA1329" s="129">
        <v>2.037852203336854E-2</v>
      </c>
    </row>
    <row r="1330" spans="19:27" x14ac:dyDescent="0.2">
      <c r="S1330" s="1"/>
      <c r="T1330" s="109"/>
      <c r="W1330" s="130" t="str">
        <f t="shared" si="30"/>
        <v>1w</v>
      </c>
      <c r="X1330" s="128">
        <f>_xll.qlCalendarAdvance(Calendar,X1329,W1330,"f",FALSE)</f>
        <v>48569</v>
      </c>
      <c r="Y1330" s="131">
        <f>_xll.qlCalendarAdvance(Calendar,X1330,NDays&amp;"D")</f>
        <v>48571</v>
      </c>
      <c r="Z1330" s="132">
        <v>2.0351764213920376E-2</v>
      </c>
      <c r="AA1330" s="129">
        <v>2.0368084377668794E-2</v>
      </c>
    </row>
    <row r="1331" spans="19:27" x14ac:dyDescent="0.2">
      <c r="S1331" s="1"/>
      <c r="T1331" s="109"/>
      <c r="W1331" s="130" t="str">
        <f t="shared" si="30"/>
        <v>1w</v>
      </c>
      <c r="X1331" s="128">
        <f>_xll.qlCalendarAdvance(Calendar,X1330,W1331,"f",FALSE)</f>
        <v>48576</v>
      </c>
      <c r="Y1331" s="131">
        <f>_xll.qlCalendarAdvance(Calendar,X1331,NDays&amp;"D")</f>
        <v>48578</v>
      </c>
      <c r="Z1331" s="132">
        <v>2.0341031397467901E-2</v>
      </c>
      <c r="AA1331" s="129">
        <v>2.0357613904060656E-2</v>
      </c>
    </row>
    <row r="1332" spans="19:27" x14ac:dyDescent="0.2">
      <c r="S1332" s="1"/>
      <c r="T1332" s="109"/>
      <c r="W1332" s="130" t="str">
        <f t="shared" si="30"/>
        <v>1w</v>
      </c>
      <c r="X1332" s="128">
        <f>_xll.qlCalendarAdvance(Calendar,X1331,W1332,"f",FALSE)</f>
        <v>48583</v>
      </c>
      <c r="Y1332" s="131">
        <f>_xll.qlCalendarAdvance(Calendar,X1332,NDays&amp;"D")</f>
        <v>48585</v>
      </c>
      <c r="Z1332" s="132">
        <v>2.0330265626591348E-2</v>
      </c>
      <c r="AA1332" s="129">
        <v>2.0347110612624064E-2</v>
      </c>
    </row>
    <row r="1333" spans="19:27" x14ac:dyDescent="0.2">
      <c r="S1333" s="1"/>
      <c r="T1333" s="109"/>
      <c r="W1333" s="130" t="str">
        <f t="shared" si="30"/>
        <v>1w</v>
      </c>
      <c r="X1333" s="128">
        <f>_xll.qlCalendarAdvance(Calendar,X1332,W1333,"f",FALSE)</f>
        <v>48590</v>
      </c>
      <c r="Y1333" s="131">
        <f>_xll.qlCalendarAdvance(Calendar,X1333,NDays&amp;"D")</f>
        <v>48592</v>
      </c>
      <c r="Z1333" s="132">
        <v>2.031946690155273E-2</v>
      </c>
      <c r="AA1333" s="129">
        <v>2.0336574503359017E-2</v>
      </c>
    </row>
    <row r="1334" spans="19:27" x14ac:dyDescent="0.2">
      <c r="S1334" s="1"/>
      <c r="T1334" s="109"/>
      <c r="W1334" s="130" t="str">
        <f t="shared" si="30"/>
        <v>1w</v>
      </c>
      <c r="X1334" s="128">
        <f>_xll.qlCalendarAdvance(Calendar,X1333,W1334,"f",FALSE)</f>
        <v>48597</v>
      </c>
      <c r="Y1334" s="131">
        <f>_xll.qlCalendarAdvance(Calendar,X1334,NDays&amp;"D")</f>
        <v>48599</v>
      </c>
      <c r="Z1334" s="132">
        <v>2.0308635222618499E-2</v>
      </c>
      <c r="AA1334" s="129">
        <v>2.0326005576265516E-2</v>
      </c>
    </row>
    <row r="1335" spans="19:27" x14ac:dyDescent="0.2">
      <c r="S1335" s="1"/>
      <c r="T1335" s="109"/>
      <c r="W1335" s="130" t="str">
        <f t="shared" si="30"/>
        <v>1w</v>
      </c>
      <c r="X1335" s="128">
        <f>_xll.qlCalendarAdvance(Calendar,X1334,W1335,"f",FALSE)</f>
        <v>48604</v>
      </c>
      <c r="Y1335" s="131">
        <f>_xll.qlCalendarAdvance(Calendar,X1335,NDays&amp;"D")</f>
        <v>48606</v>
      </c>
      <c r="Z1335" s="132">
        <v>2.0297770590055109E-2</v>
      </c>
      <c r="AA1335" s="129">
        <v>2.0315403831423495E-2</v>
      </c>
    </row>
    <row r="1336" spans="19:27" x14ac:dyDescent="0.2">
      <c r="S1336" s="1"/>
      <c r="T1336" s="109"/>
      <c r="W1336" s="130" t="str">
        <f t="shared" si="30"/>
        <v>1w</v>
      </c>
      <c r="X1336" s="128">
        <f>_xll.qlCalendarAdvance(Calendar,X1335,W1336,"f",FALSE)</f>
        <v>48611</v>
      </c>
      <c r="Y1336" s="131">
        <f>_xll.qlCalendarAdvance(Calendar,X1336,NDays&amp;"D")</f>
        <v>48613</v>
      </c>
      <c r="Z1336" s="132">
        <v>2.0287086839544975E-2</v>
      </c>
      <c r="AA1336" s="129">
        <v>2.0304769268593148E-2</v>
      </c>
    </row>
    <row r="1337" spans="19:27" x14ac:dyDescent="0.2">
      <c r="S1337" s="1"/>
      <c r="T1337" s="109"/>
      <c r="W1337" s="130" t="str">
        <f t="shared" si="30"/>
        <v>1w</v>
      </c>
      <c r="X1337" s="128">
        <f>_xll.qlCalendarAdvance(Calendar,X1336,W1337,"f",FALSE)</f>
        <v>48618</v>
      </c>
      <c r="Y1337" s="131">
        <f>_xll.qlCalendarAdvance(Calendar,X1337,NDays&amp;"D")</f>
        <v>48620</v>
      </c>
      <c r="Z1337" s="132">
        <v>2.0276159268411163E-2</v>
      </c>
      <c r="AA1337" s="129">
        <v>2.0294101888014282E-2</v>
      </c>
    </row>
    <row r="1338" spans="19:27" x14ac:dyDescent="0.2">
      <c r="S1338" s="1"/>
      <c r="T1338" s="109"/>
      <c r="W1338" s="130" t="str">
        <f t="shared" si="30"/>
        <v>1w</v>
      </c>
      <c r="X1338" s="128">
        <f>_xll.qlCalendarAdvance(Calendar,X1337,W1338,"f",FALSE)</f>
        <v>48625</v>
      </c>
      <c r="Y1338" s="131">
        <f>_xll.qlCalendarAdvance(Calendar,X1338,NDays&amp;"D")</f>
        <v>48627</v>
      </c>
      <c r="Z1338" s="132">
        <v>2.0265198745953887E-2</v>
      </c>
      <c r="AA1338" s="129">
        <v>2.0283401689686897E-2</v>
      </c>
    </row>
    <row r="1339" spans="19:27" x14ac:dyDescent="0.2">
      <c r="S1339" s="1"/>
      <c r="T1339" s="109"/>
      <c r="W1339" s="130" t="str">
        <f t="shared" si="30"/>
        <v>1w</v>
      </c>
      <c r="X1339" s="128">
        <f>_xll.qlCalendarAdvance(Calendar,X1338,W1339,"f",FALSE)</f>
        <v>48632</v>
      </c>
      <c r="Y1339" s="131">
        <f>_xll.qlCalendarAdvance(Calendar,X1339,NDays&amp;"D")</f>
        <v>48634</v>
      </c>
      <c r="Z1339" s="132">
        <v>2.0254205272438097E-2</v>
      </c>
      <c r="AA1339" s="129">
        <v>2.0272668673451122E-2</v>
      </c>
    </row>
    <row r="1340" spans="19:27" x14ac:dyDescent="0.2">
      <c r="S1340" s="1"/>
      <c r="T1340" s="109"/>
      <c r="W1340" s="130" t="str">
        <f t="shared" si="30"/>
        <v>1w</v>
      </c>
      <c r="X1340" s="128">
        <f>_xll.qlCalendarAdvance(Calendar,X1339,W1340,"f",FALSE)</f>
        <v>48639</v>
      </c>
      <c r="Y1340" s="131">
        <f>_xll.qlCalendarAdvance(Calendar,X1340,NDays&amp;"D")</f>
        <v>48641</v>
      </c>
      <c r="Z1340" s="132">
        <v>2.0242500824156812E-2</v>
      </c>
      <c r="AA1340" s="129">
        <v>2.0261902839386892E-2</v>
      </c>
    </row>
    <row r="1341" spans="19:27" x14ac:dyDescent="0.2">
      <c r="S1341" s="1"/>
      <c r="T1341" s="109"/>
      <c r="W1341" s="130" t="str">
        <f t="shared" si="30"/>
        <v>1w</v>
      </c>
      <c r="X1341" s="128">
        <f>_xll.qlCalendarAdvance(Calendar,X1340,W1341,"f",FALSE)</f>
        <v>48646</v>
      </c>
      <c r="Y1341" s="131">
        <f>_xll.qlCalendarAdvance(Calendar,X1341,NDays&amp;"D")</f>
        <v>48648</v>
      </c>
      <c r="Z1341" s="132">
        <v>2.0231432526975419E-2</v>
      </c>
      <c r="AA1341" s="129">
        <v>2.0251104187574143E-2</v>
      </c>
    </row>
    <row r="1342" spans="19:27" x14ac:dyDescent="0.2">
      <c r="S1342" s="1"/>
      <c r="T1342" s="109"/>
      <c r="W1342" s="130" t="str">
        <f t="shared" si="30"/>
        <v>1w</v>
      </c>
      <c r="X1342" s="128">
        <f>_xll.qlCalendarAdvance(Calendar,X1341,W1342,"f",FALSE)</f>
        <v>48653</v>
      </c>
      <c r="Y1342" s="131">
        <f>_xll.qlCalendarAdvance(Calendar,X1342,NDays&amp;"D")</f>
        <v>48655</v>
      </c>
      <c r="Z1342" s="132">
        <v>2.0220331275075942E-2</v>
      </c>
      <c r="AA1342" s="129">
        <v>2.0240272717932939E-2</v>
      </c>
    </row>
    <row r="1343" spans="19:27" x14ac:dyDescent="0.2">
      <c r="S1343" s="1"/>
      <c r="T1343" s="109"/>
      <c r="W1343" s="130" t="str">
        <f t="shared" si="30"/>
        <v>1w</v>
      </c>
      <c r="X1343" s="128">
        <f>_xll.qlCalendarAdvance(Calendar,X1342,W1343,"f",FALSE)</f>
        <v>48660</v>
      </c>
      <c r="Y1343" s="131">
        <f>_xll.qlCalendarAdvance(Calendar,X1343,NDays&amp;"D")</f>
        <v>48662</v>
      </c>
      <c r="Z1343" s="132">
        <v>2.0209197068739897E-2</v>
      </c>
      <c r="AA1343" s="129">
        <v>2.022940843046328E-2</v>
      </c>
    </row>
    <row r="1344" spans="19:27" x14ac:dyDescent="0.2">
      <c r="S1344" s="1"/>
      <c r="T1344" s="109"/>
      <c r="W1344" s="130" t="str">
        <f t="shared" si="30"/>
        <v>1w</v>
      </c>
      <c r="X1344" s="128">
        <f>_xll.qlCalendarAdvance(Calendar,X1343,W1344,"f",FALSE)</f>
        <v>48667</v>
      </c>
      <c r="Y1344" s="131">
        <f>_xll.qlCalendarAdvance(Calendar,X1344,NDays&amp;"D")</f>
        <v>48669</v>
      </c>
      <c r="Z1344" s="132">
        <v>2.0198268114677946E-2</v>
      </c>
      <c r="AA1344" s="129">
        <v>2.0218511325245103E-2</v>
      </c>
    </row>
    <row r="1345" spans="19:27" x14ac:dyDescent="0.2">
      <c r="S1345" s="1"/>
      <c r="T1345" s="109"/>
      <c r="W1345" s="130" t="str">
        <f t="shared" si="30"/>
        <v>1w</v>
      </c>
      <c r="X1345" s="128">
        <f>_xll.qlCalendarAdvance(Calendar,X1344,W1345,"f",FALSE)</f>
        <v>48674</v>
      </c>
      <c r="Y1345" s="131">
        <f>_xll.qlCalendarAdvance(Calendar,X1345,NDays&amp;"D")</f>
        <v>48676</v>
      </c>
      <c r="Z1345" s="132">
        <v>2.0187070980607017E-2</v>
      </c>
      <c r="AA1345" s="129">
        <v>2.0207581402118535E-2</v>
      </c>
    </row>
    <row r="1346" spans="19:27" x14ac:dyDescent="0.2">
      <c r="S1346" s="1"/>
      <c r="T1346" s="109"/>
      <c r="W1346" s="130" t="str">
        <f t="shared" si="30"/>
        <v>1w</v>
      </c>
      <c r="X1346" s="128">
        <f>_xll.qlCalendarAdvance(Calendar,X1345,W1346,"f",FALSE)</f>
        <v>48681</v>
      </c>
      <c r="Y1346" s="131">
        <f>_xll.qlCalendarAdvance(Calendar,X1346,NDays&amp;"D")</f>
        <v>48683</v>
      </c>
      <c r="Z1346" s="132">
        <v>2.0175840894415938E-2</v>
      </c>
      <c r="AA1346" s="129">
        <v>2.0195745304912194E-2</v>
      </c>
    </row>
    <row r="1347" spans="19:27" x14ac:dyDescent="0.2">
      <c r="S1347" s="1"/>
      <c r="T1347" s="109"/>
      <c r="W1347" s="130" t="str">
        <f t="shared" si="30"/>
        <v>1w</v>
      </c>
      <c r="X1347" s="128">
        <f>_xll.qlCalendarAdvance(Calendar,X1346,W1347,"f",FALSE)</f>
        <v>48688</v>
      </c>
      <c r="Y1347" s="131">
        <f>_xll.qlCalendarAdvance(Calendar,X1347,NDays&amp;"D")</f>
        <v>48690</v>
      </c>
      <c r="Z1347" s="132">
        <v>2.0164577856384917E-2</v>
      </c>
      <c r="AA1347" s="129">
        <v>2.0185623102699779E-2</v>
      </c>
    </row>
    <row r="1348" spans="19:27" x14ac:dyDescent="0.2">
      <c r="S1348" s="1"/>
      <c r="T1348" s="109"/>
      <c r="W1348" s="130" t="str">
        <f t="shared" si="30"/>
        <v>1w</v>
      </c>
      <c r="X1348" s="128">
        <f>_xll.qlCalendarAdvance(Calendar,X1347,W1348,"f",FALSE)</f>
        <v>48695</v>
      </c>
      <c r="Y1348" s="131">
        <f>_xll.qlCalendarAdvance(Calendar,X1348,NDays&amp;"D")</f>
        <v>48697</v>
      </c>
      <c r="Z1348" s="132">
        <v>2.0153281866792418E-2</v>
      </c>
      <c r="AA1348" s="129">
        <v>2.0174594726247719E-2</v>
      </c>
    </row>
    <row r="1349" spans="19:27" x14ac:dyDescent="0.2">
      <c r="S1349" s="1"/>
      <c r="T1349" s="109"/>
      <c r="W1349" s="130" t="str">
        <f t="shared" si="30"/>
        <v>1w</v>
      </c>
      <c r="X1349" s="128">
        <f>_xll.qlCalendarAdvance(Calendar,X1348,W1349,"f",FALSE)</f>
        <v>48702</v>
      </c>
      <c r="Y1349" s="131">
        <f>_xll.qlCalendarAdvance(Calendar,X1349,NDays&amp;"D")</f>
        <v>48704</v>
      </c>
      <c r="Z1349" s="132">
        <v>2.014169980326393E-2</v>
      </c>
      <c r="AA1349" s="129">
        <v>2.016353353204714E-2</v>
      </c>
    </row>
    <row r="1350" spans="19:27" x14ac:dyDescent="0.2">
      <c r="S1350" s="1"/>
      <c r="T1350" s="109"/>
      <c r="W1350" s="130" t="str">
        <f t="shared" si="30"/>
        <v>1w</v>
      </c>
      <c r="X1350" s="128">
        <f>_xll.qlCalendarAdvance(Calendar,X1349,W1350,"f",FALSE)</f>
        <v>48709</v>
      </c>
      <c r="Y1350" s="131">
        <f>_xll.qlCalendarAdvance(Calendar,X1350,NDays&amp;"D")</f>
        <v>48711</v>
      </c>
      <c r="Z1350" s="132">
        <v>2.0130334923750801E-2</v>
      </c>
      <c r="AA1350" s="129">
        <v>2.0152439520018106E-2</v>
      </c>
    </row>
    <row r="1351" spans="19:27" x14ac:dyDescent="0.2">
      <c r="S1351" s="1"/>
      <c r="T1351" s="109"/>
      <c r="W1351" s="130" t="str">
        <f t="shared" si="30"/>
        <v>1w</v>
      </c>
      <c r="X1351" s="128">
        <f>_xll.qlCalendarAdvance(Calendar,X1350,W1351,"f",FALSE)</f>
        <v>48716</v>
      </c>
      <c r="Y1351" s="131">
        <f>_xll.qlCalendarAdvance(Calendar,X1351,NDays&amp;"D")</f>
        <v>48718</v>
      </c>
      <c r="Z1351" s="132">
        <v>2.0118937092062774E-2</v>
      </c>
      <c r="AA1351" s="129">
        <v>2.0141312690240554E-2</v>
      </c>
    </row>
    <row r="1352" spans="19:27" x14ac:dyDescent="0.2">
      <c r="S1352" s="1"/>
      <c r="T1352" s="109"/>
      <c r="W1352" s="130" t="str">
        <f t="shared" si="30"/>
        <v>1w</v>
      </c>
      <c r="X1352" s="128">
        <f>_xll.qlCalendarAdvance(Calendar,X1351,W1352,"f",FALSE)</f>
        <v>48723</v>
      </c>
      <c r="Y1352" s="131">
        <f>_xll.qlCalendarAdvance(Calendar,X1352,NDays&amp;"D")</f>
        <v>48725</v>
      </c>
      <c r="Z1352" s="132">
        <v>2.0107506308486567E-2</v>
      </c>
      <c r="AA1352" s="129">
        <v>2.0130153042634547E-2</v>
      </c>
    </row>
    <row r="1353" spans="19:27" x14ac:dyDescent="0.2">
      <c r="S1353" s="1"/>
      <c r="T1353" s="109"/>
      <c r="W1353" s="130" t="str">
        <f t="shared" si="30"/>
        <v>1w</v>
      </c>
      <c r="X1353" s="128">
        <f>_xll.qlCalendarAdvance(Calendar,X1352,W1353,"f",FALSE)</f>
        <v>48730</v>
      </c>
      <c r="Y1353" s="131">
        <f>_xll.qlCalendarAdvance(Calendar,X1353,NDays&amp;"D")</f>
        <v>48732</v>
      </c>
      <c r="Z1353" s="132">
        <v>2.0096042573308916E-2</v>
      </c>
      <c r="AA1353" s="129">
        <v>2.0118960577280021E-2</v>
      </c>
    </row>
    <row r="1354" spans="19:27" x14ac:dyDescent="0.2">
      <c r="S1354" s="1"/>
      <c r="T1354" s="109"/>
      <c r="W1354" s="130" t="str">
        <f t="shared" si="30"/>
        <v>1w</v>
      </c>
      <c r="X1354" s="128">
        <f>_xll.qlCalendarAdvance(Calendar,X1353,W1354,"f",FALSE)</f>
        <v>48737</v>
      </c>
      <c r="Y1354" s="131">
        <f>_xll.qlCalendarAdvance(Calendar,X1354,NDays&amp;"D")</f>
        <v>48739</v>
      </c>
      <c r="Z1354" s="132">
        <v>2.0084545886822625E-2</v>
      </c>
      <c r="AA1354" s="129">
        <v>2.0107735294256912E-2</v>
      </c>
    </row>
    <row r="1355" spans="19:27" x14ac:dyDescent="0.2">
      <c r="S1355" s="1"/>
      <c r="T1355" s="109"/>
      <c r="W1355" s="130" t="str">
        <f t="shared" si="30"/>
        <v>1w</v>
      </c>
      <c r="X1355" s="128">
        <f>_xll.qlCalendarAdvance(Calendar,X1354,W1355,"f",FALSE)</f>
        <v>48744</v>
      </c>
      <c r="Y1355" s="131">
        <f>_xll.qlCalendarAdvance(Calendar,X1355,NDays&amp;"D")</f>
        <v>48746</v>
      </c>
      <c r="Z1355" s="132">
        <v>2.0073016249310082E-2</v>
      </c>
      <c r="AA1355" s="129">
        <v>2.0096477193325413E-2</v>
      </c>
    </row>
    <row r="1356" spans="19:27" x14ac:dyDescent="0.2">
      <c r="S1356" s="1"/>
      <c r="T1356" s="109"/>
      <c r="W1356" s="130" t="str">
        <f t="shared" si="30"/>
        <v>1w</v>
      </c>
      <c r="X1356" s="128">
        <f>_xll.qlCalendarAdvance(Calendar,X1355,W1356,"f",FALSE)</f>
        <v>48751</v>
      </c>
      <c r="Y1356" s="131">
        <f>_xll.qlCalendarAdvance(Calendar,X1356,NDays&amp;"D")</f>
        <v>48753</v>
      </c>
      <c r="Z1356" s="132">
        <v>2.0061453661066694E-2</v>
      </c>
      <c r="AA1356" s="129">
        <v>2.0085186274645395E-2</v>
      </c>
    </row>
    <row r="1357" spans="19:27" x14ac:dyDescent="0.2">
      <c r="S1357" s="1"/>
      <c r="T1357" s="109"/>
      <c r="W1357" s="130" t="str">
        <f t="shared" si="30"/>
        <v>1w</v>
      </c>
      <c r="X1357" s="128">
        <f>_xll.qlCalendarAdvance(Calendar,X1356,W1357,"f",FALSE)</f>
        <v>48758</v>
      </c>
      <c r="Y1357" s="131">
        <f>_xll.qlCalendarAdvance(Calendar,X1357,NDays&amp;"D")</f>
        <v>48760</v>
      </c>
      <c r="Z1357" s="132">
        <v>2.0049858122381803E-2</v>
      </c>
      <c r="AA1357" s="129">
        <v>2.0073862538296794E-2</v>
      </c>
    </row>
    <row r="1358" spans="19:27" x14ac:dyDescent="0.2">
      <c r="S1358" s="1"/>
      <c r="T1358" s="109"/>
      <c r="W1358" s="130" t="str">
        <f t="shared" si="30"/>
        <v>1w</v>
      </c>
      <c r="X1358" s="128">
        <f>_xll.qlCalendarAdvance(Calendar,X1357,W1358,"f",FALSE)</f>
        <v>48765</v>
      </c>
      <c r="Y1358" s="131">
        <f>_xll.qlCalendarAdvance(Calendar,X1358,NDays&amp;"D")</f>
        <v>48767</v>
      </c>
      <c r="Z1358" s="132">
        <v>2.0038229633545609E-2</v>
      </c>
      <c r="AA1358" s="129">
        <v>2.0062505984119738E-2</v>
      </c>
    </row>
    <row r="1359" spans="19:27" x14ac:dyDescent="0.2">
      <c r="S1359" s="1"/>
      <c r="T1359" s="109"/>
      <c r="W1359" s="130" t="str">
        <f t="shared" si="30"/>
        <v>1w</v>
      </c>
      <c r="X1359" s="128">
        <f>_xll.qlCalendarAdvance(Calendar,X1358,W1359,"f",FALSE)</f>
        <v>48772</v>
      </c>
      <c r="Y1359" s="131">
        <f>_xll.qlCalendarAdvance(Calendar,X1359,NDays&amp;"D")</f>
        <v>48774</v>
      </c>
      <c r="Z1359" s="132">
        <v>2.0026568194851792E-2</v>
      </c>
      <c r="AA1359" s="129">
        <v>2.0051116612114228E-2</v>
      </c>
    </row>
    <row r="1360" spans="19:27" x14ac:dyDescent="0.2">
      <c r="S1360" s="1"/>
      <c r="T1360" s="109"/>
      <c r="W1360" s="130" t="str">
        <f t="shared" si="30"/>
        <v>1w</v>
      </c>
      <c r="X1360" s="128">
        <f>_xll.qlCalendarAdvance(Calendar,X1359,W1360,"f",FALSE)</f>
        <v>48779</v>
      </c>
      <c r="Y1360" s="131">
        <f>_xll.qlCalendarAdvance(Calendar,X1360,NDays&amp;"D")</f>
        <v>48781</v>
      </c>
      <c r="Z1360" s="132">
        <v>2.0014873806593156E-2</v>
      </c>
      <c r="AA1360" s="129">
        <v>2.0039694422440135E-2</v>
      </c>
    </row>
    <row r="1361" spans="19:27" x14ac:dyDescent="0.2">
      <c r="S1361" s="1"/>
      <c r="T1361" s="109"/>
      <c r="W1361" s="130" t="str">
        <f t="shared" si="30"/>
        <v>1w</v>
      </c>
      <c r="X1361" s="128">
        <f>_xll.qlCalendarAdvance(Calendar,X1360,W1361,"f",FALSE)</f>
        <v>48786</v>
      </c>
      <c r="Y1361" s="131">
        <f>_xll.qlCalendarAdvance(Calendar,X1361,NDays&amp;"D")</f>
        <v>48788</v>
      </c>
      <c r="Z1361" s="132">
        <v>2.0003146469065123E-2</v>
      </c>
      <c r="AA1361" s="129">
        <v>2.0028239415017524E-2</v>
      </c>
    </row>
    <row r="1362" spans="19:27" x14ac:dyDescent="0.2">
      <c r="S1362" s="1"/>
      <c r="T1362" s="109"/>
      <c r="W1362" s="130" t="str">
        <f t="shared" si="30"/>
        <v>1w</v>
      </c>
      <c r="X1362" s="128">
        <f>_xll.qlCalendarAdvance(Calendar,X1361,W1362,"f",FALSE)</f>
        <v>48793</v>
      </c>
      <c r="Y1362" s="131">
        <f>_xll.qlCalendarAdvance(Calendar,X1362,NDays&amp;"D")</f>
        <v>48795</v>
      </c>
      <c r="Z1362" s="132">
        <v>1.9991386182560498E-2</v>
      </c>
      <c r="AA1362" s="129">
        <v>2.0016751589766457E-2</v>
      </c>
    </row>
    <row r="1363" spans="19:27" x14ac:dyDescent="0.2">
      <c r="S1363" s="1"/>
      <c r="T1363" s="109"/>
      <c r="W1363" s="130" t="str">
        <f t="shared" si="30"/>
        <v>1w</v>
      </c>
      <c r="X1363" s="128">
        <f>_xll.qlCalendarAdvance(Calendar,X1362,W1363,"f",FALSE)</f>
        <v>48800</v>
      </c>
      <c r="Y1363" s="131">
        <f>_xll.qlCalendarAdvance(Calendar,X1363,NDays&amp;"D")</f>
        <v>48802</v>
      </c>
      <c r="Z1363" s="132">
        <v>1.9979592947377302E-2</v>
      </c>
      <c r="AA1363" s="129">
        <v>2.0005230946846808E-2</v>
      </c>
    </row>
    <row r="1364" spans="19:27" x14ac:dyDescent="0.2">
      <c r="S1364" s="1"/>
      <c r="T1364" s="109"/>
      <c r="W1364" s="130" t="str">
        <f t="shared" si="30"/>
        <v>1w</v>
      </c>
      <c r="X1364" s="128">
        <f>_xll.qlCalendarAdvance(Calendar,X1363,W1364,"f",FALSE)</f>
        <v>48807</v>
      </c>
      <c r="Y1364" s="131">
        <f>_xll.qlCalendarAdvance(Calendar,X1364,NDays&amp;"D")</f>
        <v>48809</v>
      </c>
      <c r="Z1364" s="132">
        <v>1.9967766763810089E-2</v>
      </c>
      <c r="AA1364" s="129">
        <v>1.999367748617864E-2</v>
      </c>
    </row>
    <row r="1365" spans="19:27" x14ac:dyDescent="0.2">
      <c r="S1365" s="1"/>
      <c r="T1365" s="109"/>
      <c r="W1365" s="130" t="str">
        <f t="shared" ref="W1365:W1428" si="31">W1364</f>
        <v>1w</v>
      </c>
      <c r="X1365" s="128">
        <f>_xll.qlCalendarAdvance(Calendar,X1364,W1365,"f",FALSE)</f>
        <v>48814</v>
      </c>
      <c r="Y1365" s="131">
        <f>_xll.qlCalendarAdvance(Calendar,X1365,NDays&amp;"D")</f>
        <v>48816</v>
      </c>
      <c r="Z1365" s="132">
        <v>1.9955907632157745E-2</v>
      </c>
      <c r="AA1365" s="129">
        <v>1.998209120784189E-2</v>
      </c>
    </row>
    <row r="1366" spans="19:27" x14ac:dyDescent="0.2">
      <c r="S1366" s="1"/>
      <c r="T1366" s="109"/>
      <c r="W1366" s="130" t="str">
        <f t="shared" si="31"/>
        <v>1w</v>
      </c>
      <c r="X1366" s="128">
        <f>_xll.qlCalendarAdvance(Calendar,X1365,W1366,"f",FALSE)</f>
        <v>48821</v>
      </c>
      <c r="Y1366" s="131">
        <f>_xll.qlCalendarAdvance(Calendar,X1366,NDays&amp;"D")</f>
        <v>48823</v>
      </c>
      <c r="Z1366" s="132">
        <v>1.9944319661667143E-2</v>
      </c>
      <c r="AA1366" s="129">
        <v>1.9970472111676685E-2</v>
      </c>
    </row>
    <row r="1367" spans="19:27" x14ac:dyDescent="0.2">
      <c r="S1367" s="1"/>
      <c r="T1367" s="109"/>
      <c r="W1367" s="130" t="str">
        <f t="shared" si="31"/>
        <v>1w</v>
      </c>
      <c r="X1367" s="128">
        <f>_xll.qlCalendarAdvance(Calendar,X1366,W1367,"f",FALSE)</f>
        <v>48828</v>
      </c>
      <c r="Y1367" s="131">
        <f>_xll.qlCalendarAdvance(Calendar,X1367,NDays&amp;"D")</f>
        <v>48830</v>
      </c>
      <c r="Z1367" s="132">
        <v>1.9932397646757784E-2</v>
      </c>
      <c r="AA1367" s="129">
        <v>1.9958820197842897E-2</v>
      </c>
    </row>
    <row r="1368" spans="19:27" x14ac:dyDescent="0.2">
      <c r="S1368" s="1"/>
      <c r="T1368" s="109"/>
      <c r="W1368" s="130" t="str">
        <f t="shared" si="31"/>
        <v>1w</v>
      </c>
      <c r="X1368" s="128">
        <f>_xll.qlCalendarAdvance(Calendar,X1367,W1368,"f",FALSE)</f>
        <v>48835</v>
      </c>
      <c r="Y1368" s="131">
        <f>_xll.qlCalendarAdvance(Calendar,X1368,NDays&amp;"D")</f>
        <v>48837</v>
      </c>
      <c r="Z1368" s="132">
        <v>1.992044268606518E-2</v>
      </c>
      <c r="AA1368" s="129">
        <v>1.9947135466100718E-2</v>
      </c>
    </row>
    <row r="1369" spans="19:27" x14ac:dyDescent="0.2">
      <c r="S1369" s="1"/>
      <c r="T1369" s="109"/>
      <c r="W1369" s="130" t="str">
        <f t="shared" si="31"/>
        <v>1w</v>
      </c>
      <c r="X1369" s="128">
        <f>_xll.qlCalendarAdvance(Calendar,X1368,W1369,"f",FALSE)</f>
        <v>48842</v>
      </c>
      <c r="Y1369" s="131">
        <f>_xll.qlCalendarAdvance(Calendar,X1369,NDays&amp;"D")</f>
        <v>48844</v>
      </c>
      <c r="Z1369" s="132">
        <v>1.9908454779884479E-2</v>
      </c>
      <c r="AA1369" s="129">
        <v>1.9935417916769893E-2</v>
      </c>
    </row>
    <row r="1370" spans="19:27" x14ac:dyDescent="0.2">
      <c r="S1370" s="1"/>
      <c r="T1370" s="109"/>
      <c r="W1370" s="130" t="str">
        <f t="shared" si="31"/>
        <v>1w</v>
      </c>
      <c r="X1370" s="128">
        <f>_xll.qlCalendarAdvance(Calendar,X1369,W1370,"f",FALSE)</f>
        <v>48849</v>
      </c>
      <c r="Y1370" s="131">
        <f>_xll.qlCalendarAdvance(Calendar,X1370,NDays&amp;"D")</f>
        <v>48851</v>
      </c>
      <c r="Z1370" s="132">
        <v>1.9896433928515225E-2</v>
      </c>
      <c r="AA1370" s="129">
        <v>1.9923667549770485E-2</v>
      </c>
    </row>
    <row r="1371" spans="19:27" x14ac:dyDescent="0.2">
      <c r="S1371" s="1"/>
      <c r="T1371" s="109"/>
      <c r="W1371" s="130" t="str">
        <f t="shared" si="31"/>
        <v>1w</v>
      </c>
      <c r="X1371" s="128">
        <f>_xll.qlCalendarAdvance(Calendar,X1370,W1371,"f",FALSE)</f>
        <v>48856</v>
      </c>
      <c r="Y1371" s="131">
        <f>_xll.qlCalendarAdvance(Calendar,X1371,NDays&amp;"D")</f>
        <v>48858</v>
      </c>
      <c r="Z1371" s="132">
        <v>1.9884060949202559E-2</v>
      </c>
      <c r="AA1371" s="129">
        <v>1.9911884364942622E-2</v>
      </c>
    </row>
    <row r="1372" spans="19:27" x14ac:dyDescent="0.2">
      <c r="S1372" s="1"/>
      <c r="T1372" s="109"/>
      <c r="W1372" s="130" t="str">
        <f t="shared" si="31"/>
        <v>1w</v>
      </c>
      <c r="X1372" s="128">
        <f>_xll.qlCalendarAdvance(Calendar,X1371,W1372,"f",FALSE)</f>
        <v>48863</v>
      </c>
      <c r="Y1372" s="131">
        <f>_xll.qlCalendarAdvance(Calendar,X1372,NDays&amp;"D")</f>
        <v>48865</v>
      </c>
      <c r="Z1372" s="132">
        <v>1.9871971189348463E-2</v>
      </c>
      <c r="AA1372" s="129">
        <v>1.9900068362526113E-2</v>
      </c>
    </row>
    <row r="1373" spans="19:27" x14ac:dyDescent="0.2">
      <c r="S1373" s="1"/>
      <c r="T1373" s="109"/>
      <c r="W1373" s="130" t="str">
        <f t="shared" si="31"/>
        <v>1w</v>
      </c>
      <c r="X1373" s="128">
        <f>_xll.qlCalendarAdvance(Calendar,X1372,W1373,"f",FALSE)</f>
        <v>48870</v>
      </c>
      <c r="Y1373" s="131">
        <f>_xll.qlCalendarAdvance(Calendar,X1373,NDays&amp;"D")</f>
        <v>48872</v>
      </c>
      <c r="Z1373" s="132">
        <v>1.9859848483816875E-2</v>
      </c>
      <c r="AA1373" s="129">
        <v>1.9888219542281149E-2</v>
      </c>
    </row>
    <row r="1374" spans="19:27" x14ac:dyDescent="0.2">
      <c r="S1374" s="1"/>
      <c r="T1374" s="109"/>
      <c r="W1374" s="130" t="str">
        <f t="shared" si="31"/>
        <v>1w</v>
      </c>
      <c r="X1374" s="128">
        <f>_xll.qlCalendarAdvance(Calendar,X1373,W1374,"f",FALSE)</f>
        <v>48877</v>
      </c>
      <c r="Y1374" s="131">
        <f>_xll.qlCalendarAdvance(Calendar,X1374,NDays&amp;"D")</f>
        <v>48879</v>
      </c>
      <c r="Z1374" s="132">
        <v>1.9847692832914505E-2</v>
      </c>
      <c r="AA1374" s="129">
        <v>1.9876337904367603E-2</v>
      </c>
    </row>
    <row r="1375" spans="19:27" x14ac:dyDescent="0.2">
      <c r="S1375" s="1"/>
      <c r="T1375" s="109"/>
      <c r="W1375" s="130" t="str">
        <f t="shared" si="31"/>
        <v>1w</v>
      </c>
      <c r="X1375" s="128">
        <f>_xll.qlCalendarAdvance(Calendar,X1374,W1375,"f",FALSE)</f>
        <v>48884</v>
      </c>
      <c r="Y1375" s="131">
        <f>_xll.qlCalendarAdvance(Calendar,X1375,NDays&amp;"D")</f>
        <v>48886</v>
      </c>
      <c r="Z1375" s="132">
        <v>1.9835504236945464E-2</v>
      </c>
      <c r="AA1375" s="129">
        <v>1.9864423448705537E-2</v>
      </c>
    </row>
    <row r="1376" spans="19:27" x14ac:dyDescent="0.2">
      <c r="S1376" s="1"/>
      <c r="T1376" s="109"/>
      <c r="W1376" s="130" t="str">
        <f t="shared" si="31"/>
        <v>1w</v>
      </c>
      <c r="X1376" s="128">
        <f>_xll.qlCalendarAdvance(Calendar,X1375,W1376,"f",FALSE)</f>
        <v>48891</v>
      </c>
      <c r="Y1376" s="131">
        <f>_xll.qlCalendarAdvance(Calendar,X1376,NDays&amp;"D")</f>
        <v>48893</v>
      </c>
      <c r="Z1376" s="132">
        <v>1.9823282696218195E-2</v>
      </c>
      <c r="AA1376" s="129">
        <v>1.9852476175534761E-2</v>
      </c>
    </row>
    <row r="1377" spans="19:27" x14ac:dyDescent="0.2">
      <c r="S1377" s="1"/>
      <c r="T1377" s="109"/>
      <c r="W1377" s="130" t="str">
        <f t="shared" si="31"/>
        <v>1w</v>
      </c>
      <c r="X1377" s="128">
        <f>_xll.qlCalendarAdvance(Calendar,X1376,W1377,"f",FALSE)</f>
        <v>48898</v>
      </c>
      <c r="Y1377" s="131">
        <f>_xll.qlCalendarAdvance(Calendar,X1377,NDays&amp;"D")</f>
        <v>48900</v>
      </c>
      <c r="Z1377" s="132">
        <v>1.9811028211038546E-2</v>
      </c>
      <c r="AA1377" s="129">
        <v>1.9840496084455594E-2</v>
      </c>
    </row>
    <row r="1378" spans="19:27" x14ac:dyDescent="0.2">
      <c r="S1378" s="1"/>
      <c r="T1378" s="109"/>
      <c r="W1378" s="130" t="str">
        <f t="shared" si="31"/>
        <v>1w</v>
      </c>
      <c r="X1378" s="128">
        <f>_xll.qlCalendarAdvance(Calendar,X1377,W1378,"f",FALSE)</f>
        <v>48905</v>
      </c>
      <c r="Y1378" s="131">
        <f>_xll.qlCalendarAdvance(Calendar,X1378,NDays&amp;"D")</f>
        <v>48907</v>
      </c>
      <c r="Z1378" s="132">
        <v>1.9798740781714959E-2</v>
      </c>
      <c r="AA1378" s="129">
        <v>1.9828483175707845E-2</v>
      </c>
    </row>
    <row r="1379" spans="19:27" x14ac:dyDescent="0.2">
      <c r="S1379" s="1"/>
      <c r="T1379" s="109"/>
      <c r="W1379" s="130" t="str">
        <f t="shared" si="31"/>
        <v>1w</v>
      </c>
      <c r="X1379" s="128">
        <f>_xll.qlCalendarAdvance(Calendar,X1378,W1379,"f",FALSE)</f>
        <v>48912</v>
      </c>
      <c r="Y1379" s="131">
        <f>_xll.qlCalendarAdvance(Calendar,X1379,NDays&amp;"D")</f>
        <v>48914</v>
      </c>
      <c r="Z1379" s="132">
        <v>1.9787106854609604E-2</v>
      </c>
      <c r="AA1379" s="129">
        <v>1.9816437449291513E-2</v>
      </c>
    </row>
    <row r="1380" spans="19:27" x14ac:dyDescent="0.2">
      <c r="S1380" s="1"/>
      <c r="T1380" s="109"/>
      <c r="W1380" s="130" t="str">
        <f t="shared" si="31"/>
        <v>1w</v>
      </c>
      <c r="X1380" s="128">
        <f>_xll.qlCalendarAdvance(Calendar,X1379,W1380,"f",FALSE)</f>
        <v>48919</v>
      </c>
      <c r="Y1380" s="131">
        <f>_xll.qlCalendarAdvance(Calendar,X1380,NDays&amp;"D")</f>
        <v>48921</v>
      </c>
      <c r="Z1380" s="132">
        <v>1.9774759597713576E-2</v>
      </c>
      <c r="AA1380" s="129">
        <v>1.9804358905206598E-2</v>
      </c>
    </row>
    <row r="1381" spans="19:27" x14ac:dyDescent="0.2">
      <c r="S1381" s="1"/>
      <c r="T1381" s="109"/>
      <c r="W1381" s="130" t="str">
        <f t="shared" si="31"/>
        <v>1w</v>
      </c>
      <c r="X1381" s="128">
        <f>_xll.qlCalendarAdvance(Calendar,X1380,W1381,"f",FALSE)</f>
        <v>48926</v>
      </c>
      <c r="Y1381" s="131">
        <f>_xll.qlCalendarAdvance(Calendar,X1381,NDays&amp;"D")</f>
        <v>48928</v>
      </c>
      <c r="Z1381" s="132">
        <v>1.9762379400322772E-2</v>
      </c>
      <c r="AA1381" s="129">
        <v>1.9792247543373165E-2</v>
      </c>
    </row>
    <row r="1382" spans="19:27" x14ac:dyDescent="0.2">
      <c r="S1382" s="1"/>
      <c r="T1382" s="109"/>
      <c r="W1382" s="130" t="str">
        <f t="shared" si="31"/>
        <v>1w</v>
      </c>
      <c r="X1382" s="128">
        <f>_xll.qlCalendarAdvance(Calendar,X1381,W1382,"f",FALSE)</f>
        <v>48933</v>
      </c>
      <c r="Y1382" s="131">
        <f>_xll.qlCalendarAdvance(Calendar,X1382,NDays&amp;"D")</f>
        <v>48935</v>
      </c>
      <c r="Z1382" s="132">
        <v>1.9749966262744501E-2</v>
      </c>
      <c r="AA1382" s="129">
        <v>1.9780103363871149E-2</v>
      </c>
    </row>
    <row r="1383" spans="19:27" x14ac:dyDescent="0.2">
      <c r="S1383" s="1"/>
      <c r="T1383" s="109"/>
      <c r="W1383" s="130" t="str">
        <f t="shared" si="31"/>
        <v>1w</v>
      </c>
      <c r="X1383" s="128">
        <f>_xll.qlCalendarAdvance(Calendar,X1382,W1383,"f",FALSE)</f>
        <v>48940</v>
      </c>
      <c r="Y1383" s="131">
        <f>_xll.qlCalendarAdvance(Calendar,X1383,NDays&amp;"D")</f>
        <v>48942</v>
      </c>
      <c r="Z1383" s="132">
        <v>1.973752018528252E-2</v>
      </c>
      <c r="AA1383" s="129">
        <v>1.9767926366780486E-2</v>
      </c>
    </row>
    <row r="1384" spans="19:27" x14ac:dyDescent="0.2">
      <c r="S1384" s="1"/>
      <c r="T1384" s="109"/>
      <c r="W1384" s="130" t="str">
        <f t="shared" si="31"/>
        <v>1w</v>
      </c>
      <c r="X1384" s="128">
        <f>_xll.qlCalendarAdvance(Calendar,X1383,W1384,"f",FALSE)</f>
        <v>48947</v>
      </c>
      <c r="Y1384" s="131">
        <f>_xll.qlCalendarAdvance(Calendar,X1384,NDays&amp;"D")</f>
        <v>48949</v>
      </c>
      <c r="Z1384" s="132">
        <v>1.9725041168241475E-2</v>
      </c>
      <c r="AA1384" s="129">
        <v>1.9755716551861369E-2</v>
      </c>
    </row>
    <row r="1385" spans="19:27" x14ac:dyDescent="0.2">
      <c r="S1385" s="1"/>
      <c r="T1385" s="109"/>
      <c r="W1385" s="130" t="str">
        <f t="shared" si="31"/>
        <v>1w</v>
      </c>
      <c r="X1385" s="128">
        <f>_xll.qlCalendarAdvance(Calendar,X1384,W1385,"f",FALSE)</f>
        <v>48954</v>
      </c>
      <c r="Y1385" s="131">
        <f>_xll.qlCalendarAdvance(Calendar,X1385,NDays&amp;"D")</f>
        <v>48956</v>
      </c>
      <c r="Z1385" s="132">
        <v>1.971252921193134E-2</v>
      </c>
      <c r="AA1385" s="129">
        <v>1.9743473919433541E-2</v>
      </c>
    </row>
    <row r="1386" spans="19:27" x14ac:dyDescent="0.2">
      <c r="S1386" s="1"/>
      <c r="T1386" s="109"/>
      <c r="W1386" s="130" t="str">
        <f t="shared" si="31"/>
        <v>1w</v>
      </c>
      <c r="X1386" s="128">
        <f>_xll.qlCalendarAdvance(Calendar,X1385,W1386,"f",FALSE)</f>
        <v>48961</v>
      </c>
      <c r="Y1386" s="131">
        <f>_xll.qlCalendarAdvance(Calendar,X1386,NDays&amp;"D")</f>
        <v>48963</v>
      </c>
      <c r="Z1386" s="132">
        <v>1.9699984316657648E-2</v>
      </c>
      <c r="AA1386" s="129">
        <v>1.9731198469257194E-2</v>
      </c>
    </row>
    <row r="1387" spans="19:27" x14ac:dyDescent="0.2">
      <c r="S1387" s="1"/>
      <c r="T1387" s="109"/>
      <c r="W1387" s="130" t="str">
        <f t="shared" si="31"/>
        <v>1w</v>
      </c>
      <c r="X1387" s="128">
        <f>_xll.qlCalendarAdvance(Calendar,X1386,W1387,"f",FALSE)</f>
        <v>48968</v>
      </c>
      <c r="Y1387" s="131">
        <f>_xll.qlCalendarAdvance(Calendar,X1387,NDays&amp;"D")</f>
        <v>48970</v>
      </c>
      <c r="Z1387" s="132">
        <v>1.9687406482730374E-2</v>
      </c>
      <c r="AA1387" s="129">
        <v>1.9718890201412265E-2</v>
      </c>
    </row>
    <row r="1388" spans="19:27" x14ac:dyDescent="0.2">
      <c r="S1388" s="1"/>
      <c r="T1388" s="109"/>
      <c r="W1388" s="130" t="str">
        <f t="shared" si="31"/>
        <v>1w</v>
      </c>
      <c r="X1388" s="128">
        <f>_xll.qlCalendarAdvance(Calendar,X1387,W1388,"f",FALSE)</f>
        <v>48975</v>
      </c>
      <c r="Y1388" s="131">
        <f>_xll.qlCalendarAdvance(Calendar,X1388,NDays&amp;"D")</f>
        <v>48977</v>
      </c>
      <c r="Z1388" s="132">
        <v>1.967516579591734E-2</v>
      </c>
      <c r="AA1388" s="129">
        <v>1.9706549115898753E-2</v>
      </c>
    </row>
    <row r="1389" spans="19:27" x14ac:dyDescent="0.2">
      <c r="S1389" s="1"/>
      <c r="T1389" s="109"/>
      <c r="W1389" s="130" t="str">
        <f t="shared" si="31"/>
        <v>1w</v>
      </c>
      <c r="X1389" s="128">
        <f>_xll.qlCalendarAdvance(Calendar,X1388,W1389,"f",FALSE)</f>
        <v>48982</v>
      </c>
      <c r="Y1389" s="131">
        <f>_xll.qlCalendarAdvance(Calendar,X1389,NDays&amp;"D")</f>
        <v>48984</v>
      </c>
      <c r="Z1389" s="132">
        <v>1.9662525127277883E-2</v>
      </c>
      <c r="AA1389" s="129">
        <v>1.9694175212716658E-2</v>
      </c>
    </row>
    <row r="1390" spans="19:27" x14ac:dyDescent="0.2">
      <c r="S1390" s="1"/>
      <c r="T1390" s="109"/>
      <c r="W1390" s="130" t="str">
        <f t="shared" si="31"/>
        <v>1w</v>
      </c>
      <c r="X1390" s="128">
        <f>_xll.qlCalendarAdvance(Calendar,X1389,W1390,"f",FALSE)</f>
        <v>48989</v>
      </c>
      <c r="Y1390" s="131">
        <f>_xll.qlCalendarAdvance(Calendar,X1390,NDays&amp;"D")</f>
        <v>48991</v>
      </c>
      <c r="Z1390" s="132">
        <v>1.9649851522245035E-2</v>
      </c>
      <c r="AA1390" s="129">
        <v>1.9681768491945917E-2</v>
      </c>
    </row>
    <row r="1391" spans="19:27" x14ac:dyDescent="0.2">
      <c r="S1391" s="1"/>
      <c r="T1391" s="109"/>
      <c r="W1391" s="130" t="str">
        <f t="shared" si="31"/>
        <v>1w</v>
      </c>
      <c r="X1391" s="128">
        <f>_xll.qlCalendarAdvance(Calendar,X1390,W1391,"f",FALSE)</f>
        <v>48996</v>
      </c>
      <c r="Y1391" s="131">
        <f>_xll.qlCalendarAdvance(Calendar,X1391,NDays&amp;"D")</f>
        <v>48998</v>
      </c>
      <c r="Z1391" s="132">
        <v>1.9637144981126869E-2</v>
      </c>
      <c r="AA1391" s="129">
        <v>1.9669328953506593E-2</v>
      </c>
    </row>
    <row r="1392" spans="19:27" x14ac:dyDescent="0.2">
      <c r="S1392" s="1"/>
      <c r="T1392" s="109"/>
      <c r="W1392" s="130" t="str">
        <f t="shared" si="31"/>
        <v>1w</v>
      </c>
      <c r="X1392" s="128">
        <f>_xll.qlCalendarAdvance(Calendar,X1391,W1392,"f",FALSE)</f>
        <v>49003</v>
      </c>
      <c r="Y1392" s="131">
        <f>_xll.qlCalendarAdvance(Calendar,X1392,NDays&amp;"D")</f>
        <v>49005</v>
      </c>
      <c r="Z1392" s="132">
        <v>1.9623257810651971E-2</v>
      </c>
      <c r="AA1392" s="129">
        <v>1.965685659731875E-2</v>
      </c>
    </row>
    <row r="1393" spans="19:27" x14ac:dyDescent="0.2">
      <c r="S1393" s="1"/>
      <c r="T1393" s="109"/>
      <c r="W1393" s="130" t="str">
        <f t="shared" si="31"/>
        <v>1w</v>
      </c>
      <c r="X1393" s="128">
        <f>_xll.qlCalendarAdvance(Calendar,X1392,W1393,"f",FALSE)</f>
        <v>49010</v>
      </c>
      <c r="Y1393" s="131">
        <f>_xll.qlCalendarAdvance(Calendar,X1393,NDays&amp;"D")</f>
        <v>49012</v>
      </c>
      <c r="Z1393" s="132">
        <v>1.9610476256717593E-2</v>
      </c>
      <c r="AA1393" s="129">
        <v>1.9644351423622197E-2</v>
      </c>
    </row>
    <row r="1394" spans="19:27" x14ac:dyDescent="0.2">
      <c r="S1394" s="1"/>
      <c r="T1394" s="109"/>
      <c r="W1394" s="130" t="str">
        <f t="shared" si="31"/>
        <v>1w</v>
      </c>
      <c r="X1394" s="128">
        <f>_xll.qlCalendarAdvance(Calendar,X1393,W1394,"f",FALSE)</f>
        <v>49017</v>
      </c>
      <c r="Y1394" s="131">
        <f>_xll.qlCalendarAdvance(Calendar,X1394,NDays&amp;"D")</f>
        <v>49019</v>
      </c>
      <c r="Z1394" s="132">
        <v>1.9597661763683938E-2</v>
      </c>
      <c r="AA1394" s="129">
        <v>1.9631813432177125E-2</v>
      </c>
    </row>
    <row r="1395" spans="19:27" x14ac:dyDescent="0.2">
      <c r="S1395" s="1"/>
      <c r="T1395" s="109"/>
      <c r="W1395" s="130" t="str">
        <f t="shared" si="31"/>
        <v>1w</v>
      </c>
      <c r="X1395" s="128">
        <f>_xll.qlCalendarAdvance(Calendar,X1394,W1395,"f",FALSE)</f>
        <v>49024</v>
      </c>
      <c r="Y1395" s="131">
        <f>_xll.qlCalendarAdvance(Calendar,X1395,NDays&amp;"D")</f>
        <v>49026</v>
      </c>
      <c r="Z1395" s="132">
        <v>1.9584814331872494E-2</v>
      </c>
      <c r="AA1395" s="129">
        <v>1.9619242623063471E-2</v>
      </c>
    </row>
    <row r="1396" spans="19:27" x14ac:dyDescent="0.2">
      <c r="S1396" s="1"/>
      <c r="T1396" s="109"/>
      <c r="W1396" s="130" t="str">
        <f t="shared" si="31"/>
        <v>1w</v>
      </c>
      <c r="X1396" s="128">
        <f>_xll.qlCalendarAdvance(Calendar,X1395,W1396,"f",FALSE)</f>
        <v>49031</v>
      </c>
      <c r="Y1396" s="131">
        <f>_xll.qlCalendarAdvance(Calendar,X1396,NDays&amp;"D")</f>
        <v>49033</v>
      </c>
      <c r="Z1396" s="132">
        <v>1.9571933961606475E-2</v>
      </c>
      <c r="AA1396" s="129">
        <v>1.960663899636117E-2</v>
      </c>
    </row>
    <row r="1397" spans="19:27" x14ac:dyDescent="0.2">
      <c r="S1397" s="1"/>
      <c r="T1397" s="109"/>
      <c r="W1397" s="130" t="str">
        <f t="shared" si="31"/>
        <v>1w</v>
      </c>
      <c r="X1397" s="128">
        <f>_xll.qlCalendarAdvance(Calendar,X1396,W1397,"f",FALSE)</f>
        <v>49038</v>
      </c>
      <c r="Y1397" s="131">
        <f>_xll.qlCalendarAdvance(Calendar,X1397,NDays&amp;"D")</f>
        <v>49040</v>
      </c>
      <c r="Z1397" s="132">
        <v>1.955941877238054E-2</v>
      </c>
      <c r="AA1397" s="129">
        <v>1.9592517686863431E-2</v>
      </c>
    </row>
    <row r="1398" spans="19:27" x14ac:dyDescent="0.2">
      <c r="S1398" s="1"/>
      <c r="T1398" s="109"/>
      <c r="W1398" s="130" t="str">
        <f t="shared" si="31"/>
        <v>1w</v>
      </c>
      <c r="X1398" s="128">
        <f>_xll.qlCalendarAdvance(Calendar,X1397,W1398,"f",FALSE)</f>
        <v>49045</v>
      </c>
      <c r="Y1398" s="131">
        <f>_xll.qlCalendarAdvance(Calendar,X1398,NDays&amp;"D")</f>
        <v>49047</v>
      </c>
      <c r="Z1398" s="132">
        <v>1.954647558013245E-2</v>
      </c>
      <c r="AA1398" s="129">
        <v>1.9581333290190628E-2</v>
      </c>
    </row>
    <row r="1399" spans="19:27" x14ac:dyDescent="0.2">
      <c r="S1399" s="1"/>
      <c r="T1399" s="109"/>
      <c r="W1399" s="130" t="str">
        <f t="shared" si="31"/>
        <v>1w</v>
      </c>
      <c r="X1399" s="128">
        <f>_xll.qlCalendarAdvance(Calendar,X1398,W1399,"f",FALSE)</f>
        <v>49052</v>
      </c>
      <c r="Y1399" s="131">
        <f>_xll.qlCalendarAdvance(Calendar,X1399,NDays&amp;"D")</f>
        <v>49054</v>
      </c>
      <c r="Z1399" s="132">
        <v>1.9533499451697831E-2</v>
      </c>
      <c r="AA1399" s="129">
        <v>1.9568631210562515E-2</v>
      </c>
    </row>
    <row r="1400" spans="19:27" x14ac:dyDescent="0.2">
      <c r="S1400" s="1"/>
      <c r="T1400" s="109"/>
      <c r="W1400" s="130" t="str">
        <f t="shared" si="31"/>
        <v>1w</v>
      </c>
      <c r="X1400" s="128">
        <f>_xll.qlCalendarAdvance(Calendar,X1399,W1400,"f",FALSE)</f>
        <v>49059</v>
      </c>
      <c r="Y1400" s="131">
        <f>_xll.qlCalendarAdvance(Calendar,X1400,NDays&amp;"D")</f>
        <v>49061</v>
      </c>
      <c r="Z1400" s="132">
        <v>1.952049038740258E-2</v>
      </c>
      <c r="AA1400" s="129">
        <v>1.9555896313345755E-2</v>
      </c>
    </row>
    <row r="1401" spans="19:27" x14ac:dyDescent="0.2">
      <c r="S1401" s="1"/>
      <c r="T1401" s="109"/>
      <c r="W1401" s="130" t="str">
        <f t="shared" si="31"/>
        <v>1w</v>
      </c>
      <c r="X1401" s="128">
        <f>_xll.qlCalendarAdvance(Calendar,X1400,W1401,"f",FALSE)</f>
        <v>49066</v>
      </c>
      <c r="Y1401" s="131">
        <f>_xll.qlCalendarAdvance(Calendar,X1401,NDays&amp;"D")</f>
        <v>49068</v>
      </c>
      <c r="Z1401" s="132">
        <v>1.9507038044822615E-2</v>
      </c>
      <c r="AA1401" s="129">
        <v>1.9543128598620285E-2</v>
      </c>
    </row>
    <row r="1402" spans="19:27" x14ac:dyDescent="0.2">
      <c r="S1402" s="1"/>
      <c r="T1402" s="109"/>
      <c r="W1402" s="130" t="str">
        <f t="shared" si="31"/>
        <v>1w</v>
      </c>
      <c r="X1402" s="128">
        <f>_xll.qlCalendarAdvance(Calendar,X1401,W1402,"f",FALSE)</f>
        <v>49073</v>
      </c>
      <c r="Y1402" s="131">
        <f>_xll.qlCalendarAdvance(Calendar,X1402,NDays&amp;"D")</f>
        <v>49075</v>
      </c>
      <c r="Z1402" s="132">
        <v>1.9493960050658482E-2</v>
      </c>
      <c r="AA1402" s="129">
        <v>1.9530328066146296E-2</v>
      </c>
    </row>
    <row r="1403" spans="19:27" x14ac:dyDescent="0.2">
      <c r="S1403" s="1"/>
      <c r="T1403" s="109"/>
      <c r="W1403" s="130" t="str">
        <f t="shared" si="31"/>
        <v>1w</v>
      </c>
      <c r="X1403" s="128">
        <f>_xll.qlCalendarAdvance(Calendar,X1402,W1403,"f",FALSE)</f>
        <v>49080</v>
      </c>
      <c r="Y1403" s="131">
        <f>_xll.qlCalendarAdvance(Calendar,X1403,NDays&amp;"D")</f>
        <v>49082</v>
      </c>
      <c r="Z1403" s="132">
        <v>1.9480849120326642E-2</v>
      </c>
      <c r="AA1403" s="129">
        <v>1.9517494716083661E-2</v>
      </c>
    </row>
    <row r="1404" spans="19:27" x14ac:dyDescent="0.2">
      <c r="S1404" s="1"/>
      <c r="T1404" s="109"/>
      <c r="W1404" s="130" t="str">
        <f t="shared" si="31"/>
        <v>1w</v>
      </c>
      <c r="X1404" s="128">
        <f>_xll.qlCalendarAdvance(Calendar,X1403,W1404,"f",FALSE)</f>
        <v>49087</v>
      </c>
      <c r="Y1404" s="131">
        <f>_xll.qlCalendarAdvance(Calendar,X1404,NDays&amp;"D")</f>
        <v>49089</v>
      </c>
      <c r="Z1404" s="132">
        <v>1.946770525415379E-2</v>
      </c>
      <c r="AA1404" s="129">
        <v>1.9504628548432379E-2</v>
      </c>
    </row>
    <row r="1405" spans="19:27" x14ac:dyDescent="0.2">
      <c r="S1405" s="1"/>
      <c r="T1405" s="109"/>
      <c r="W1405" s="130" t="str">
        <f t="shared" si="31"/>
        <v>1w</v>
      </c>
      <c r="X1405" s="128">
        <f>_xll.qlCalendarAdvance(Calendar,X1404,W1405,"f",FALSE)</f>
        <v>49094</v>
      </c>
      <c r="Y1405" s="131">
        <f>_xll.qlCalendarAdvance(Calendar,X1405,NDays&amp;"D")</f>
        <v>49096</v>
      </c>
      <c r="Z1405" s="132">
        <v>1.9454528452470969E-2</v>
      </c>
      <c r="AA1405" s="129">
        <v>1.949172956319245E-2</v>
      </c>
    </row>
    <row r="1406" spans="19:27" x14ac:dyDescent="0.2">
      <c r="S1406" s="1"/>
      <c r="T1406" s="109"/>
      <c r="W1406" s="130" t="str">
        <f t="shared" si="31"/>
        <v>1w</v>
      </c>
      <c r="X1406" s="128">
        <f>_xll.qlCalendarAdvance(Calendar,X1405,W1406,"f",FALSE)</f>
        <v>49101</v>
      </c>
      <c r="Y1406" s="131">
        <f>_xll.qlCalendarAdvance(Calendar,X1406,NDays&amp;"D")</f>
        <v>49103</v>
      </c>
      <c r="Z1406" s="132">
        <v>1.9441318715610081E-2</v>
      </c>
      <c r="AA1406" s="129">
        <v>1.9478797760363875E-2</v>
      </c>
    </row>
    <row r="1407" spans="19:27" x14ac:dyDescent="0.2">
      <c r="S1407" s="1"/>
      <c r="T1407" s="109"/>
      <c r="W1407" s="130" t="str">
        <f t="shared" si="31"/>
        <v>1w</v>
      </c>
      <c r="X1407" s="128">
        <f>_xll.qlCalendarAdvance(Calendar,X1406,W1407,"f",FALSE)</f>
        <v>49108</v>
      </c>
      <c r="Y1407" s="131">
        <f>_xll.qlCalendarAdvance(Calendar,X1407,NDays&amp;"D")</f>
        <v>49110</v>
      </c>
      <c r="Z1407" s="132">
        <v>1.9428076043902173E-2</v>
      </c>
      <c r="AA1407" s="129">
        <v>1.9465833139866717E-2</v>
      </c>
    </row>
    <row r="1408" spans="19:27" x14ac:dyDescent="0.2">
      <c r="S1408" s="1"/>
      <c r="T1408" s="109"/>
      <c r="W1408" s="130" t="str">
        <f t="shared" si="31"/>
        <v>1w</v>
      </c>
      <c r="X1408" s="128">
        <f>_xll.qlCalendarAdvance(Calendar,X1407,W1408,"f",FALSE)</f>
        <v>49115</v>
      </c>
      <c r="Y1408" s="131">
        <f>_xll.qlCalendarAdvance(Calendar,X1408,NDays&amp;"D")</f>
        <v>49117</v>
      </c>
      <c r="Z1408" s="132">
        <v>1.9414800437682622E-2</v>
      </c>
      <c r="AA1408" s="129">
        <v>1.9452835701780913E-2</v>
      </c>
    </row>
    <row r="1409" spans="19:27" x14ac:dyDescent="0.2">
      <c r="S1409" s="1"/>
      <c r="T1409" s="109"/>
      <c r="W1409" s="130" t="str">
        <f t="shared" si="31"/>
        <v>1w</v>
      </c>
      <c r="X1409" s="128">
        <f>_xll.qlCalendarAdvance(Calendar,X1408,W1409,"f",FALSE)</f>
        <v>49122</v>
      </c>
      <c r="Y1409" s="131">
        <f>_xll.qlCalendarAdvance(Calendar,X1409,NDays&amp;"D")</f>
        <v>49124</v>
      </c>
      <c r="Z1409" s="132">
        <v>1.9401491897283345E-2</v>
      </c>
      <c r="AA1409" s="129">
        <v>1.9439805446186398E-2</v>
      </c>
    </row>
    <row r="1410" spans="19:27" x14ac:dyDescent="0.2">
      <c r="S1410" s="1"/>
      <c r="T1410" s="109"/>
      <c r="W1410" s="130" t="str">
        <f t="shared" si="31"/>
        <v>1w</v>
      </c>
      <c r="X1410" s="128">
        <f>_xll.qlCalendarAdvance(Calendar,X1409,W1410,"f",FALSE)</f>
        <v>49129</v>
      </c>
      <c r="Y1410" s="131">
        <f>_xll.qlCalendarAdvance(Calendar,X1410,NDays&amp;"D")</f>
        <v>49131</v>
      </c>
      <c r="Z1410" s="132">
        <v>1.9388150423040585E-2</v>
      </c>
      <c r="AA1410" s="129">
        <v>1.9426742373003236E-2</v>
      </c>
    </row>
    <row r="1411" spans="19:27" x14ac:dyDescent="0.2">
      <c r="S1411" s="1"/>
      <c r="T1411" s="109"/>
      <c r="W1411" s="130" t="str">
        <f t="shared" si="31"/>
        <v>1w</v>
      </c>
      <c r="X1411" s="128">
        <f>_xll.qlCalendarAdvance(Calendar,X1410,W1411,"f",FALSE)</f>
        <v>49136</v>
      </c>
      <c r="Y1411" s="131">
        <f>_xll.qlCalendarAdvance(Calendar,X1411,NDays&amp;"D")</f>
        <v>49138</v>
      </c>
      <c r="Z1411" s="132">
        <v>1.9374776015287126E-2</v>
      </c>
      <c r="AA1411" s="129">
        <v>1.9413646482071556E-2</v>
      </c>
    </row>
    <row r="1412" spans="19:27" x14ac:dyDescent="0.2">
      <c r="S1412" s="1"/>
      <c r="T1412" s="109"/>
      <c r="W1412" s="130" t="str">
        <f t="shared" si="31"/>
        <v>1w</v>
      </c>
      <c r="X1412" s="128">
        <f>_xll.qlCalendarAdvance(Calendar,X1411,W1412,"f",FALSE)</f>
        <v>49143</v>
      </c>
      <c r="Y1412" s="131">
        <f>_xll.qlCalendarAdvance(Calendar,X1412,NDays&amp;"D")</f>
        <v>49145</v>
      </c>
      <c r="Z1412" s="132">
        <v>1.9361368674361824E-2</v>
      </c>
      <c r="AA1412" s="129">
        <v>1.9400517773711101E-2</v>
      </c>
    </row>
    <row r="1413" spans="19:27" x14ac:dyDescent="0.2">
      <c r="S1413" s="1"/>
      <c r="T1413" s="109"/>
      <c r="W1413" s="130" t="str">
        <f t="shared" si="31"/>
        <v>1w</v>
      </c>
      <c r="X1413" s="128">
        <f>_xll.qlCalendarAdvance(Calendar,X1412,W1413,"f",FALSE)</f>
        <v>49150</v>
      </c>
      <c r="Y1413" s="131">
        <f>_xll.qlCalendarAdvance(Calendar,X1413,NDays&amp;"D")</f>
        <v>49152</v>
      </c>
      <c r="Z1413" s="132">
        <v>1.9347928400601802E-2</v>
      </c>
      <c r="AA1413" s="129">
        <v>1.9387356247762E-2</v>
      </c>
    </row>
    <row r="1414" spans="19:27" x14ac:dyDescent="0.2">
      <c r="S1414" s="1"/>
      <c r="T1414" s="109"/>
      <c r="W1414" s="130" t="str">
        <f t="shared" si="31"/>
        <v>1w</v>
      </c>
      <c r="X1414" s="128">
        <f>_xll.qlCalendarAdvance(Calendar,X1413,W1414,"f",FALSE)</f>
        <v>49157</v>
      </c>
      <c r="Y1414" s="131">
        <f>_xll.qlCalendarAdvance(Calendar,X1414,NDays&amp;"D")</f>
        <v>49159</v>
      </c>
      <c r="Z1414" s="132">
        <v>1.9334455194342445E-2</v>
      </c>
      <c r="AA1414" s="129">
        <v>1.9374161904224252E-2</v>
      </c>
    </row>
    <row r="1415" spans="19:27" x14ac:dyDescent="0.2">
      <c r="S1415" s="1"/>
      <c r="T1415" s="109"/>
      <c r="W1415" s="130" t="str">
        <f t="shared" si="31"/>
        <v>1w</v>
      </c>
      <c r="X1415" s="128">
        <f>_xll.qlCalendarAdvance(Calendar,X1414,W1415,"f",FALSE)</f>
        <v>49164</v>
      </c>
      <c r="Y1415" s="131">
        <f>_xll.qlCalendarAdvance(Calendar,X1415,NDays&amp;"D")</f>
        <v>49166</v>
      </c>
      <c r="Z1415" s="132">
        <v>1.9320949055926084E-2</v>
      </c>
      <c r="AA1415" s="129">
        <v>1.9360934743097857E-2</v>
      </c>
    </row>
    <row r="1416" spans="19:27" x14ac:dyDescent="0.2">
      <c r="S1416" s="1"/>
      <c r="T1416" s="109"/>
      <c r="W1416" s="130" t="str">
        <f t="shared" si="31"/>
        <v>1w</v>
      </c>
      <c r="X1416" s="128">
        <f>_xll.qlCalendarAdvance(Calendar,X1415,W1416,"f",FALSE)</f>
        <v>49171</v>
      </c>
      <c r="Y1416" s="131">
        <f>_xll.qlCalendarAdvance(Calendar,X1416,NDays&amp;"D")</f>
        <v>49173</v>
      </c>
      <c r="Z1416" s="132">
        <v>1.9307409985690714E-2</v>
      </c>
      <c r="AA1416" s="129">
        <v>1.9347674764462752E-2</v>
      </c>
    </row>
    <row r="1417" spans="19:27" x14ac:dyDescent="0.2">
      <c r="S1417" s="1"/>
      <c r="T1417" s="109"/>
      <c r="W1417" s="130" t="str">
        <f t="shared" si="31"/>
        <v>1w</v>
      </c>
      <c r="X1417" s="128">
        <f>_xll.qlCalendarAdvance(Calendar,X1416,W1417,"f",FALSE)</f>
        <v>49178</v>
      </c>
      <c r="Y1417" s="131">
        <f>_xll.qlCalendarAdvance(Calendar,X1417,NDays&amp;"D")</f>
        <v>49180</v>
      </c>
      <c r="Z1417" s="132">
        <v>1.9293837983975191E-2</v>
      </c>
      <c r="AA1417" s="129">
        <v>1.9334381968239001E-2</v>
      </c>
    </row>
    <row r="1418" spans="19:27" x14ac:dyDescent="0.2">
      <c r="S1418" s="1"/>
      <c r="T1418" s="109"/>
      <c r="W1418" s="130" t="str">
        <f t="shared" si="31"/>
        <v>1w</v>
      </c>
      <c r="X1418" s="128">
        <f>_xll.qlCalendarAdvance(Calendar,X1417,W1418,"f",FALSE)</f>
        <v>49185</v>
      </c>
      <c r="Y1418" s="131">
        <f>_xll.qlCalendarAdvance(Calendar,X1418,NDays&amp;"D")</f>
        <v>49187</v>
      </c>
      <c r="Z1418" s="132">
        <v>1.9280695570676739E-2</v>
      </c>
      <c r="AA1418" s="129">
        <v>1.9321056354426602E-2</v>
      </c>
    </row>
    <row r="1419" spans="19:27" x14ac:dyDescent="0.2">
      <c r="S1419" s="1"/>
      <c r="T1419" s="109"/>
      <c r="W1419" s="130" t="str">
        <f t="shared" si="31"/>
        <v>1w</v>
      </c>
      <c r="X1419" s="128">
        <f>_xll.qlCalendarAdvance(Calendar,X1418,W1419,"f",FALSE)</f>
        <v>49192</v>
      </c>
      <c r="Y1419" s="131">
        <f>_xll.qlCalendarAdvance(Calendar,X1419,NDays&amp;"D")</f>
        <v>49194</v>
      </c>
      <c r="Z1419" s="132">
        <v>1.9267060787434065E-2</v>
      </c>
      <c r="AA1419" s="129">
        <v>1.9307697923105493E-2</v>
      </c>
    </row>
    <row r="1420" spans="19:27" x14ac:dyDescent="0.2">
      <c r="S1420" s="1"/>
      <c r="T1420" s="109"/>
      <c r="W1420" s="130" t="str">
        <f t="shared" si="31"/>
        <v>1w</v>
      </c>
      <c r="X1420" s="128">
        <f>_xll.qlCalendarAdvance(Calendar,X1419,W1420,"f",FALSE)</f>
        <v>49199</v>
      </c>
      <c r="Y1420" s="131">
        <f>_xll.qlCalendarAdvance(Calendar,X1420,NDays&amp;"D")</f>
        <v>49201</v>
      </c>
      <c r="Z1420" s="132">
        <v>1.9253393074956666E-2</v>
      </c>
      <c r="AA1420" s="129">
        <v>1.9294306674115802E-2</v>
      </c>
    </row>
    <row r="1421" spans="19:27" x14ac:dyDescent="0.2">
      <c r="S1421" s="1"/>
      <c r="T1421" s="109"/>
      <c r="W1421" s="130" t="str">
        <f t="shared" si="31"/>
        <v>1w</v>
      </c>
      <c r="X1421" s="128">
        <f>_xll.qlCalendarAdvance(Calendar,X1420,W1421,"f",FALSE)</f>
        <v>49206</v>
      </c>
      <c r="Y1421" s="131">
        <f>_xll.qlCalendarAdvance(Calendar,X1421,NDays&amp;"D")</f>
        <v>49208</v>
      </c>
      <c r="Z1421" s="132">
        <v>1.9239692433587127E-2</v>
      </c>
      <c r="AA1421" s="129">
        <v>1.9280882607777272E-2</v>
      </c>
    </row>
    <row r="1422" spans="19:27" x14ac:dyDescent="0.2">
      <c r="S1422" s="1"/>
      <c r="T1422" s="109"/>
      <c r="W1422" s="130" t="str">
        <f t="shared" si="31"/>
        <v>1w</v>
      </c>
      <c r="X1422" s="128">
        <f>_xll.qlCalendarAdvance(Calendar,X1421,W1422,"f",FALSE)</f>
        <v>49213</v>
      </c>
      <c r="Y1422" s="131">
        <f>_xll.qlCalendarAdvance(Calendar,X1422,NDays&amp;"D")</f>
        <v>49215</v>
      </c>
      <c r="Z1422" s="132">
        <v>1.9225958863662761E-2</v>
      </c>
      <c r="AA1422" s="129">
        <v>1.9267425723690224E-2</v>
      </c>
    </row>
    <row r="1423" spans="19:27" x14ac:dyDescent="0.2">
      <c r="S1423" s="1"/>
      <c r="T1423" s="109"/>
      <c r="W1423" s="130" t="str">
        <f t="shared" si="31"/>
        <v>1w</v>
      </c>
      <c r="X1423" s="128">
        <f>_xll.qlCalendarAdvance(Calendar,X1422,W1423,"f",FALSE)</f>
        <v>49220</v>
      </c>
      <c r="Y1423" s="131">
        <f>_xll.qlCalendarAdvance(Calendar,X1423,NDays&amp;"D")</f>
        <v>49222</v>
      </c>
      <c r="Z1423" s="132">
        <v>1.9211714431808732E-2</v>
      </c>
      <c r="AA1423" s="129">
        <v>1.92539360221744E-2</v>
      </c>
    </row>
    <row r="1424" spans="19:27" x14ac:dyDescent="0.2">
      <c r="S1424" s="1"/>
      <c r="T1424" s="109"/>
      <c r="W1424" s="130" t="str">
        <f t="shared" si="31"/>
        <v>1w</v>
      </c>
      <c r="X1424" s="128">
        <f>_xll.qlCalendarAdvance(Calendar,X1423,W1424,"f",FALSE)</f>
        <v>49227</v>
      </c>
      <c r="Y1424" s="131">
        <f>_xll.qlCalendarAdvance(Calendar,X1424,NDays&amp;"D")</f>
        <v>49229</v>
      </c>
      <c r="Z1424" s="132">
        <v>1.9197911919346198E-2</v>
      </c>
      <c r="AA1424" s="129">
        <v>1.9240413503149867E-2</v>
      </c>
    </row>
    <row r="1425" spans="19:27" x14ac:dyDescent="0.2">
      <c r="S1425" s="1"/>
      <c r="T1425" s="109"/>
      <c r="W1425" s="130" t="str">
        <f t="shared" si="31"/>
        <v>1w</v>
      </c>
      <c r="X1425" s="128">
        <f>_xll.qlCalendarAdvance(Calendar,X1424,W1425,"f",FALSE)</f>
        <v>49234</v>
      </c>
      <c r="Y1425" s="131">
        <f>_xll.qlCalendarAdvance(Calendar,X1425,NDays&amp;"D")</f>
        <v>49236</v>
      </c>
      <c r="Z1425" s="132">
        <v>1.9184076478160436E-2</v>
      </c>
      <c r="AA1425" s="129">
        <v>1.9226858166616623E-2</v>
      </c>
    </row>
    <row r="1426" spans="19:27" x14ac:dyDescent="0.2">
      <c r="S1426" s="1"/>
      <c r="T1426" s="109"/>
      <c r="W1426" s="130" t="str">
        <f t="shared" si="31"/>
        <v>1w</v>
      </c>
      <c r="X1426" s="128">
        <f>_xll.qlCalendarAdvance(Calendar,X1425,W1426,"f",FALSE)</f>
        <v>49241</v>
      </c>
      <c r="Y1426" s="131">
        <f>_xll.qlCalendarAdvance(Calendar,X1426,NDays&amp;"D")</f>
        <v>49243</v>
      </c>
      <c r="Z1426" s="132">
        <v>1.9170208108595523E-2</v>
      </c>
      <c r="AA1426" s="129">
        <v>1.9213270012494732E-2</v>
      </c>
    </row>
    <row r="1427" spans="19:27" x14ac:dyDescent="0.2">
      <c r="S1427" s="1"/>
      <c r="T1427" s="109"/>
      <c r="W1427" s="130" t="str">
        <f t="shared" si="31"/>
        <v>1w</v>
      </c>
      <c r="X1427" s="128">
        <f>_xll.qlCalendarAdvance(Calendar,X1426,W1427,"f",FALSE)</f>
        <v>49248</v>
      </c>
      <c r="Y1427" s="131">
        <f>_xll.qlCalendarAdvance(Calendar,X1427,NDays&amp;"D")</f>
        <v>49250</v>
      </c>
      <c r="Z1427" s="132">
        <v>1.9156306811004217E-2</v>
      </c>
      <c r="AA1427" s="129">
        <v>1.9199649040784195E-2</v>
      </c>
    </row>
    <row r="1428" spans="19:27" x14ac:dyDescent="0.2">
      <c r="S1428" s="1"/>
      <c r="T1428" s="109"/>
      <c r="W1428" s="130" t="str">
        <f t="shared" si="31"/>
        <v>1w</v>
      </c>
      <c r="X1428" s="128">
        <f>_xll.qlCalendarAdvance(Calendar,X1427,W1428,"f",FALSE)</f>
        <v>49255</v>
      </c>
      <c r="Y1428" s="131">
        <f>_xll.qlCalendarAdvance(Calendar,X1428,NDays&amp;"D")</f>
        <v>49257</v>
      </c>
      <c r="Z1428" s="132">
        <v>1.9142372585732328E-2</v>
      </c>
      <c r="AA1428" s="129">
        <v>1.9185995251644883E-2</v>
      </c>
    </row>
    <row r="1429" spans="19:27" x14ac:dyDescent="0.2">
      <c r="S1429" s="1"/>
      <c r="T1429" s="109"/>
      <c r="W1429" s="130" t="str">
        <f t="shared" ref="W1429:W1492" si="32">W1428</f>
        <v>1w</v>
      </c>
      <c r="X1429" s="128">
        <f>_xll.qlCalendarAdvance(Calendar,X1428,W1429,"f",FALSE)</f>
        <v>49262</v>
      </c>
      <c r="Y1429" s="131">
        <f>_xll.qlCalendarAdvance(Calendar,X1429,NDays&amp;"D")</f>
        <v>49264</v>
      </c>
      <c r="Z1429" s="132">
        <v>1.9128405433132618E-2</v>
      </c>
      <c r="AA1429" s="129">
        <v>1.9172308644916924E-2</v>
      </c>
    </row>
    <row r="1430" spans="19:27" x14ac:dyDescent="0.2">
      <c r="S1430" s="1"/>
      <c r="T1430" s="109"/>
      <c r="W1430" s="130" t="str">
        <f t="shared" si="32"/>
        <v>1w</v>
      </c>
      <c r="X1430" s="128">
        <f>_xll.qlCalendarAdvance(Calendar,X1429,W1430,"f",FALSE)</f>
        <v>49269</v>
      </c>
      <c r="Y1430" s="131">
        <f>_xll.qlCalendarAdvance(Calendar,X1430,NDays&amp;"D")</f>
        <v>49271</v>
      </c>
      <c r="Z1430" s="132">
        <v>1.9114405353555242E-2</v>
      </c>
      <c r="AA1430" s="129">
        <v>1.9158589220680255E-2</v>
      </c>
    </row>
    <row r="1431" spans="19:27" x14ac:dyDescent="0.2">
      <c r="S1431" s="1"/>
      <c r="T1431" s="109"/>
      <c r="W1431" s="130" t="str">
        <f t="shared" si="32"/>
        <v>1w</v>
      </c>
      <c r="X1431" s="128">
        <f>_xll.qlCalendarAdvance(Calendar,X1430,W1431,"f",FALSE)</f>
        <v>49276</v>
      </c>
      <c r="Y1431" s="131">
        <f>_xll.qlCalendarAdvance(Calendar,X1431,NDays&amp;"D")</f>
        <v>49278</v>
      </c>
      <c r="Z1431" s="132">
        <v>1.9101377351884885E-2</v>
      </c>
      <c r="AA1431" s="129">
        <v>1.9144836979014812E-2</v>
      </c>
    </row>
    <row r="1432" spans="19:27" x14ac:dyDescent="0.2">
      <c r="S1432" s="1"/>
      <c r="T1432" s="109"/>
      <c r="W1432" s="130" t="str">
        <f t="shared" si="32"/>
        <v>1w</v>
      </c>
      <c r="X1432" s="128">
        <f>_xll.qlCalendarAdvance(Calendar,X1431,W1432,"f",FALSE)</f>
        <v>49283</v>
      </c>
      <c r="Y1432" s="131">
        <f>_xll.qlCalendarAdvance(Calendar,X1432,NDays&amp;"D")</f>
        <v>49285</v>
      </c>
      <c r="Z1432" s="132">
        <v>1.9087317611089283E-2</v>
      </c>
      <c r="AA1432" s="129">
        <v>1.9131051919760722E-2</v>
      </c>
    </row>
    <row r="1433" spans="19:27" x14ac:dyDescent="0.2">
      <c r="S1433" s="1"/>
      <c r="T1433" s="109"/>
      <c r="W1433" s="130" t="str">
        <f t="shared" si="32"/>
        <v>1w</v>
      </c>
      <c r="X1433" s="128">
        <f>_xll.qlCalendarAdvance(Calendar,X1432,W1433,"f",FALSE)</f>
        <v>49290</v>
      </c>
      <c r="Y1433" s="131">
        <f>_xll.qlCalendarAdvance(Calendar,X1433,NDays&amp;"D")</f>
        <v>49292</v>
      </c>
      <c r="Z1433" s="132">
        <v>1.9073224946711598E-2</v>
      </c>
      <c r="AA1433" s="129">
        <v>1.9117234043077858E-2</v>
      </c>
    </row>
    <row r="1434" spans="19:27" x14ac:dyDescent="0.2">
      <c r="S1434" s="1"/>
      <c r="T1434" s="109"/>
      <c r="W1434" s="130" t="str">
        <f t="shared" si="32"/>
        <v>1w</v>
      </c>
      <c r="X1434" s="128">
        <f>_xll.qlCalendarAdvance(Calendar,X1433,W1434,"f",FALSE)</f>
        <v>49297</v>
      </c>
      <c r="Y1434" s="131">
        <f>_xll.qlCalendarAdvance(Calendar,X1434,NDays&amp;"D")</f>
        <v>49299</v>
      </c>
      <c r="Z1434" s="132">
        <v>1.9059099359098219E-2</v>
      </c>
      <c r="AA1434" s="129">
        <v>1.9103383348806346E-2</v>
      </c>
    </row>
    <row r="1435" spans="19:27" x14ac:dyDescent="0.2">
      <c r="S1435" s="1"/>
      <c r="T1435" s="109"/>
      <c r="W1435" s="130" t="str">
        <f t="shared" si="32"/>
        <v>1w</v>
      </c>
      <c r="X1435" s="128">
        <f>_xll.qlCalendarAdvance(Calendar,X1434,W1435,"f",FALSE)</f>
        <v>49305</v>
      </c>
      <c r="Y1435" s="131">
        <f>_xll.qlCalendarAdvance(Calendar,X1435,NDays&amp;"D")</f>
        <v>49307</v>
      </c>
      <c r="Z1435" s="132">
        <v>1.9042400338111484E-2</v>
      </c>
      <c r="AA1435" s="129">
        <v>1.9086050702747936E-2</v>
      </c>
    </row>
    <row r="1436" spans="19:27" x14ac:dyDescent="0.2">
      <c r="S1436" s="1"/>
      <c r="T1436" s="109"/>
      <c r="W1436" s="130" t="str">
        <f t="shared" si="32"/>
        <v>1w</v>
      </c>
      <c r="X1436" s="128">
        <f>_xll.qlCalendarAdvance(Calendar,X1435,W1436,"f",FALSE)</f>
        <v>49312</v>
      </c>
      <c r="Y1436" s="131">
        <f>_xll.qlCalendarAdvance(Calendar,X1436,NDays&amp;"D")</f>
        <v>49314</v>
      </c>
      <c r="Z1436" s="132">
        <v>1.9028719380449033E-2</v>
      </c>
      <c r="AA1436" s="129">
        <v>1.9072611530672745E-2</v>
      </c>
    </row>
    <row r="1437" spans="19:27" x14ac:dyDescent="0.2">
      <c r="S1437" s="1"/>
      <c r="T1437" s="109"/>
      <c r="W1437" s="130" t="str">
        <f t="shared" si="32"/>
        <v>1w</v>
      </c>
      <c r="X1437" s="128">
        <f>_xll.qlCalendarAdvance(Calendar,X1436,W1437,"f",FALSE)</f>
        <v>49319</v>
      </c>
      <c r="Y1437" s="131">
        <f>_xll.qlCalendarAdvance(Calendar,X1437,NDays&amp;"D")</f>
        <v>49321</v>
      </c>
      <c r="Z1437" s="132">
        <v>1.9014490322078359E-2</v>
      </c>
      <c r="AA1437" s="129">
        <v>1.9058651529118009E-2</v>
      </c>
    </row>
    <row r="1438" spans="19:27" x14ac:dyDescent="0.2">
      <c r="S1438" s="1"/>
      <c r="T1438" s="109"/>
      <c r="W1438" s="130" t="str">
        <f t="shared" si="32"/>
        <v>1w</v>
      </c>
      <c r="X1438" s="128">
        <f>_xll.qlCalendarAdvance(Calendar,X1437,W1438,"f",FALSE)</f>
        <v>49326</v>
      </c>
      <c r="Y1438" s="131">
        <f>_xll.qlCalendarAdvance(Calendar,X1438,NDays&amp;"D")</f>
        <v>49328</v>
      </c>
      <c r="Z1438" s="132">
        <v>1.9000228341917058E-2</v>
      </c>
      <c r="AA1438" s="129">
        <v>1.9044658707656481E-2</v>
      </c>
    </row>
    <row r="1439" spans="19:27" x14ac:dyDescent="0.2">
      <c r="S1439" s="1"/>
      <c r="T1439" s="109"/>
      <c r="W1439" s="130" t="str">
        <f t="shared" si="32"/>
        <v>1w</v>
      </c>
      <c r="X1439" s="128">
        <f>_xll.qlCalendarAdvance(Calendar,X1438,W1439,"f",FALSE)</f>
        <v>49333</v>
      </c>
      <c r="Y1439" s="131">
        <f>_xll.qlCalendarAdvance(Calendar,X1439,NDays&amp;"D")</f>
        <v>49335</v>
      </c>
      <c r="Z1439" s="132">
        <v>1.8985933440316849E-2</v>
      </c>
      <c r="AA1439" s="129">
        <v>1.9030633066341451E-2</v>
      </c>
    </row>
    <row r="1440" spans="19:27" x14ac:dyDescent="0.2">
      <c r="S1440" s="1"/>
      <c r="T1440" s="109"/>
      <c r="W1440" s="130" t="str">
        <f t="shared" si="32"/>
        <v>1w</v>
      </c>
      <c r="X1440" s="128">
        <f>_xll.qlCalendarAdvance(Calendar,X1439,W1440,"f",FALSE)</f>
        <v>49340</v>
      </c>
      <c r="Y1440" s="131">
        <f>_xll.qlCalendarAdvance(Calendar,X1440,NDays&amp;"D")</f>
        <v>49342</v>
      </c>
      <c r="Z1440" s="132">
        <v>1.8972135995635572E-2</v>
      </c>
      <c r="AA1440" s="129">
        <v>1.9016574605199565E-2</v>
      </c>
    </row>
    <row r="1441" spans="19:27" x14ac:dyDescent="0.2">
      <c r="S1441" s="1"/>
      <c r="T1441" s="109"/>
      <c r="W1441" s="130" t="str">
        <f t="shared" si="32"/>
        <v>1w</v>
      </c>
      <c r="X1441" s="128">
        <f>_xll.qlCalendarAdvance(Calendar,X1440,W1441,"f",FALSE)</f>
        <v>49347</v>
      </c>
      <c r="Y1441" s="131">
        <f>_xll.qlCalendarAdvance(Calendar,X1441,NDays&amp;"D")</f>
        <v>49349</v>
      </c>
      <c r="Z1441" s="132">
        <v>1.895777835828329E-2</v>
      </c>
      <c r="AA1441" s="129">
        <v>1.9002483324230823E-2</v>
      </c>
    </row>
    <row r="1442" spans="19:27" x14ac:dyDescent="0.2">
      <c r="S1442" s="1"/>
      <c r="T1442" s="109"/>
      <c r="W1442" s="130" t="str">
        <f t="shared" si="32"/>
        <v>1w</v>
      </c>
      <c r="X1442" s="128">
        <f>_xll.qlCalendarAdvance(Calendar,X1441,W1442,"f",FALSE)</f>
        <v>49354</v>
      </c>
      <c r="Y1442" s="131">
        <f>_xll.qlCalendarAdvance(Calendar,X1442,NDays&amp;"D")</f>
        <v>49356</v>
      </c>
      <c r="Z1442" s="132">
        <v>1.8943387801680759E-2</v>
      </c>
      <c r="AA1442" s="129">
        <v>1.8988359223381934E-2</v>
      </c>
    </row>
    <row r="1443" spans="19:27" x14ac:dyDescent="0.2">
      <c r="S1443" s="1"/>
      <c r="T1443" s="109"/>
      <c r="W1443" s="130" t="str">
        <f t="shared" si="32"/>
        <v>1w</v>
      </c>
      <c r="X1443" s="128">
        <f>_xll.qlCalendarAdvance(Calendar,X1442,W1443,"f",FALSE)</f>
        <v>49361</v>
      </c>
      <c r="Y1443" s="131">
        <f>_xll.qlCalendarAdvance(Calendar,X1443,NDays&amp;"D")</f>
        <v>49363</v>
      </c>
      <c r="Z1443" s="132">
        <v>1.8928964326179163E-2</v>
      </c>
      <c r="AA1443" s="129">
        <v>1.8974202302786125E-2</v>
      </c>
    </row>
    <row r="1444" spans="19:27" x14ac:dyDescent="0.2">
      <c r="S1444" s="1"/>
      <c r="T1444" s="109"/>
      <c r="W1444" s="130" t="str">
        <f t="shared" si="32"/>
        <v>1w</v>
      </c>
      <c r="X1444" s="128">
        <f>_xll.qlCalendarAdvance(Calendar,X1443,W1444,"f",FALSE)</f>
        <v>49368</v>
      </c>
      <c r="Y1444" s="131">
        <f>_xll.qlCalendarAdvance(Calendar,X1444,NDays&amp;"D")</f>
        <v>49370</v>
      </c>
      <c r="Z1444" s="132">
        <v>1.8911790730351728E-2</v>
      </c>
      <c r="AA1444" s="129">
        <v>1.8960012562336814E-2</v>
      </c>
    </row>
    <row r="1445" spans="19:27" x14ac:dyDescent="0.2">
      <c r="S1445" s="1"/>
      <c r="T1445" s="109"/>
      <c r="W1445" s="130" t="str">
        <f t="shared" si="32"/>
        <v>1w</v>
      </c>
      <c r="X1445" s="128">
        <f>_xll.qlCalendarAdvance(Calendar,X1444,W1445,"f",FALSE)</f>
        <v>49375</v>
      </c>
      <c r="Y1445" s="131">
        <f>_xll.qlCalendarAdvance(Calendar,X1445,NDays&amp;"D")</f>
        <v>49377</v>
      </c>
      <c r="Z1445" s="132">
        <v>1.8897285863209452E-2</v>
      </c>
      <c r="AA1445" s="129">
        <v>1.8945790002140583E-2</v>
      </c>
    </row>
    <row r="1446" spans="19:27" x14ac:dyDescent="0.2">
      <c r="S1446" s="1"/>
      <c r="T1446" s="109"/>
      <c r="W1446" s="130" t="str">
        <f t="shared" si="32"/>
        <v>1w</v>
      </c>
      <c r="X1446" s="128">
        <f>_xll.qlCalendarAdvance(Calendar,X1445,W1446,"f",FALSE)</f>
        <v>49382</v>
      </c>
      <c r="Y1446" s="131">
        <f>_xll.qlCalendarAdvance(Calendar,X1446,NDays&amp;"D")</f>
        <v>49384</v>
      </c>
      <c r="Z1446" s="132">
        <v>1.8882748072643184E-2</v>
      </c>
      <c r="AA1446" s="129">
        <v>1.8931534622117496E-2</v>
      </c>
    </row>
    <row r="1447" spans="19:27" x14ac:dyDescent="0.2">
      <c r="S1447" s="1"/>
      <c r="T1447" s="109"/>
      <c r="W1447" s="130" t="str">
        <f t="shared" si="32"/>
        <v>1w</v>
      </c>
      <c r="X1447" s="128">
        <f>_xll.qlCalendarAdvance(Calendar,X1446,W1447,"f",FALSE)</f>
        <v>49389</v>
      </c>
      <c r="Y1447" s="131">
        <f>_xll.qlCalendarAdvance(Calendar,X1447,NDays&amp;"D")</f>
        <v>49395</v>
      </c>
      <c r="Z1447" s="132">
        <v>1.886094651668712E-2</v>
      </c>
      <c r="AA1447" s="129">
        <v>1.8910119754238508E-2</v>
      </c>
    </row>
    <row r="1448" spans="19:27" x14ac:dyDescent="0.2">
      <c r="S1448" s="1"/>
      <c r="T1448" s="109"/>
      <c r="W1448" s="130" t="str">
        <f t="shared" si="32"/>
        <v>1w</v>
      </c>
      <c r="X1448" s="128">
        <f>_xll.qlCalendarAdvance(Calendar,X1447,W1448,"f",FALSE)</f>
        <v>49396</v>
      </c>
      <c r="Y1448" s="131">
        <f>_xll.qlCalendarAdvance(Calendar,X1448,NDays&amp;"D")</f>
        <v>49398</v>
      </c>
      <c r="Z1448" s="132">
        <v>1.8855242344954472E-2</v>
      </c>
      <c r="AA1448" s="129">
        <v>1.8902925402830562E-2</v>
      </c>
    </row>
    <row r="1449" spans="19:27" x14ac:dyDescent="0.2">
      <c r="S1449" s="1"/>
      <c r="T1449" s="109"/>
      <c r="W1449" s="130" t="str">
        <f t="shared" si="32"/>
        <v>1w</v>
      </c>
      <c r="X1449" s="128">
        <f>_xll.qlCalendarAdvance(Calendar,X1448,W1449,"f",FALSE)</f>
        <v>49403</v>
      </c>
      <c r="Y1449" s="131">
        <f>_xll.qlCalendarAdvance(Calendar,X1449,NDays&amp;"D")</f>
        <v>49405</v>
      </c>
      <c r="Z1449" s="132">
        <v>1.8840615133212859E-2</v>
      </c>
      <c r="AA1449" s="129">
        <v>1.8888571563540069E-2</v>
      </c>
    </row>
    <row r="1450" spans="19:27" x14ac:dyDescent="0.2">
      <c r="S1450" s="1"/>
      <c r="T1450" s="109"/>
      <c r="W1450" s="130" t="str">
        <f t="shared" si="32"/>
        <v>1w</v>
      </c>
      <c r="X1450" s="128">
        <f>_xll.qlCalendarAdvance(Calendar,X1449,W1450,"f",FALSE)</f>
        <v>49410</v>
      </c>
      <c r="Y1450" s="131">
        <f>_xll.qlCalendarAdvance(Calendar,X1450,NDays&amp;"D")</f>
        <v>49412</v>
      </c>
      <c r="Z1450" s="132">
        <v>1.8825955002846933E-2</v>
      </c>
      <c r="AA1450" s="129">
        <v>1.8874184904555946E-2</v>
      </c>
    </row>
    <row r="1451" spans="19:27" x14ac:dyDescent="0.2">
      <c r="S1451" s="1"/>
      <c r="T1451" s="109"/>
      <c r="W1451" s="130" t="str">
        <f t="shared" si="32"/>
        <v>1w</v>
      </c>
      <c r="X1451" s="128">
        <f>_xll.qlCalendarAdvance(Calendar,X1450,W1451,"f",FALSE)</f>
        <v>49417</v>
      </c>
      <c r="Y1451" s="131">
        <f>_xll.qlCalendarAdvance(Calendar,X1451,NDays&amp;"D")</f>
        <v>49419</v>
      </c>
      <c r="Z1451" s="132">
        <v>1.8811261954217725E-2</v>
      </c>
      <c r="AA1451" s="129">
        <v>1.8859765425851549E-2</v>
      </c>
    </row>
    <row r="1452" spans="19:27" x14ac:dyDescent="0.2">
      <c r="S1452" s="1"/>
      <c r="T1452" s="109"/>
      <c r="W1452" s="130" t="str">
        <f t="shared" si="32"/>
        <v>1w</v>
      </c>
      <c r="X1452" s="128">
        <f>_xll.qlCalendarAdvance(Calendar,X1451,W1452,"f",FALSE)</f>
        <v>49424</v>
      </c>
      <c r="Y1452" s="131">
        <f>_xll.qlCalendarAdvance(Calendar,X1452,NDays&amp;"D")</f>
        <v>49426</v>
      </c>
      <c r="Z1452" s="132">
        <v>1.8796535987692421E-2</v>
      </c>
      <c r="AA1452" s="129">
        <v>1.8845313127426877E-2</v>
      </c>
    </row>
    <row r="1453" spans="19:27" x14ac:dyDescent="0.2">
      <c r="S1453" s="1"/>
      <c r="T1453" s="109"/>
      <c r="W1453" s="130" t="str">
        <f t="shared" si="32"/>
        <v>1w</v>
      </c>
      <c r="X1453" s="128">
        <f>_xll.qlCalendarAdvance(Calendar,X1452,W1453,"f",FALSE)</f>
        <v>49431</v>
      </c>
      <c r="Y1453" s="131">
        <f>_xll.qlCalendarAdvance(Calendar,X1453,NDays&amp;"D")</f>
        <v>49433</v>
      </c>
      <c r="Z1453" s="132">
        <v>1.8780061714320357E-2</v>
      </c>
      <c r="AA1453" s="129">
        <v>1.883082800928193E-2</v>
      </c>
    </row>
    <row r="1454" spans="19:27" x14ac:dyDescent="0.2">
      <c r="S1454" s="1"/>
      <c r="T1454" s="109"/>
      <c r="W1454" s="130" t="str">
        <f t="shared" si="32"/>
        <v>1w</v>
      </c>
      <c r="X1454" s="128">
        <f>_xll.qlCalendarAdvance(Calendar,X1453,W1454,"f",FALSE)</f>
        <v>49438</v>
      </c>
      <c r="Y1454" s="131">
        <f>_xll.qlCalendarAdvance(Calendar,X1454,NDays&amp;"D")</f>
        <v>49440</v>
      </c>
      <c r="Z1454" s="132">
        <v>1.8765260549888398E-2</v>
      </c>
      <c r="AA1454" s="129">
        <v>1.8816310071443354E-2</v>
      </c>
    </row>
    <row r="1455" spans="19:27" x14ac:dyDescent="0.2">
      <c r="S1455" s="1"/>
      <c r="T1455" s="109"/>
      <c r="W1455" s="130" t="str">
        <f t="shared" si="32"/>
        <v>1w</v>
      </c>
      <c r="X1455" s="128">
        <f>_xll.qlCalendarAdvance(Calendar,X1454,W1455,"f",FALSE)</f>
        <v>49445</v>
      </c>
      <c r="Y1455" s="131">
        <f>_xll.qlCalendarAdvance(Calendar,X1455,NDays&amp;"D")</f>
        <v>49447</v>
      </c>
      <c r="Z1455" s="132">
        <v>1.875042646542548E-2</v>
      </c>
      <c r="AA1455" s="129">
        <v>1.8801759313964439E-2</v>
      </c>
    </row>
    <row r="1456" spans="19:27" x14ac:dyDescent="0.2">
      <c r="S1456" s="1"/>
      <c r="T1456" s="109"/>
      <c r="W1456" s="130" t="str">
        <f t="shared" si="32"/>
        <v>1w</v>
      </c>
      <c r="X1456" s="128">
        <f>_xll.qlCalendarAdvance(Calendar,X1455,W1456,"f",FALSE)</f>
        <v>49452</v>
      </c>
      <c r="Y1456" s="131">
        <f>_xll.qlCalendarAdvance(Calendar,X1456,NDays&amp;"D")</f>
        <v>49454</v>
      </c>
      <c r="Z1456" s="132">
        <v>1.8735559461311727E-2</v>
      </c>
      <c r="AA1456" s="129">
        <v>1.8787175736791895E-2</v>
      </c>
    </row>
    <row r="1457" spans="19:27" x14ac:dyDescent="0.2">
      <c r="S1457" s="1"/>
      <c r="T1457" s="109"/>
      <c r="W1457" s="130" t="str">
        <f t="shared" si="32"/>
        <v>1w</v>
      </c>
      <c r="X1457" s="128">
        <f>_xll.qlCalendarAdvance(Calendar,X1456,W1457,"f",FALSE)</f>
        <v>49459</v>
      </c>
      <c r="Y1457" s="131">
        <f>_xll.qlCalendarAdvance(Calendar,X1457,NDays&amp;"D")</f>
        <v>49461</v>
      </c>
      <c r="Z1457" s="132">
        <v>1.8720659537932366E-2</v>
      </c>
      <c r="AA1457" s="129">
        <v>1.8772559340032302E-2</v>
      </c>
    </row>
    <row r="1458" spans="19:27" x14ac:dyDescent="0.2">
      <c r="S1458" s="1"/>
      <c r="T1458" s="109"/>
      <c r="W1458" s="130" t="str">
        <f t="shared" si="32"/>
        <v>1w</v>
      </c>
      <c r="X1458" s="128">
        <f>_xll.qlCalendarAdvance(Calendar,X1457,W1458,"f",FALSE)</f>
        <v>49466</v>
      </c>
      <c r="Y1458" s="131">
        <f>_xll.qlCalendarAdvance(Calendar,X1458,NDays&amp;"D")</f>
        <v>49468</v>
      </c>
      <c r="Z1458" s="132">
        <v>1.8705726695666662E-2</v>
      </c>
      <c r="AA1458" s="129">
        <v>1.875791012357908E-2</v>
      </c>
    </row>
    <row r="1459" spans="19:27" x14ac:dyDescent="0.2">
      <c r="S1459" s="1"/>
      <c r="T1459" s="109"/>
      <c r="W1459" s="130" t="str">
        <f t="shared" si="32"/>
        <v>1w</v>
      </c>
      <c r="X1459" s="128">
        <f>_xll.qlCalendarAdvance(Calendar,X1458,W1459,"f",FALSE)</f>
        <v>49473</v>
      </c>
      <c r="Y1459" s="131">
        <f>_xll.qlCalendarAdvance(Calendar,X1459,NDays&amp;"D")</f>
        <v>49475</v>
      </c>
      <c r="Z1459" s="132">
        <v>1.8690761578898738E-2</v>
      </c>
      <c r="AA1459" s="129">
        <v>1.874322808753881E-2</v>
      </c>
    </row>
    <row r="1460" spans="19:27" x14ac:dyDescent="0.2">
      <c r="S1460" s="1"/>
      <c r="T1460" s="109"/>
      <c r="W1460" s="130" t="str">
        <f t="shared" si="32"/>
        <v>1w</v>
      </c>
      <c r="X1460" s="128">
        <f>_xll.qlCalendarAdvance(Calendar,X1459,W1460,"f",FALSE)</f>
        <v>49480</v>
      </c>
      <c r="Y1460" s="131">
        <f>_xll.qlCalendarAdvance(Calendar,X1460,NDays&amp;"D")</f>
        <v>49482</v>
      </c>
      <c r="Z1460" s="132">
        <v>1.8675768806299998E-2</v>
      </c>
      <c r="AA1460" s="129">
        <v>1.8728513231858201E-2</v>
      </c>
    </row>
    <row r="1461" spans="19:27" x14ac:dyDescent="0.2">
      <c r="S1461" s="1"/>
      <c r="T1461" s="109"/>
      <c r="W1461" s="130" t="str">
        <f t="shared" si="32"/>
        <v>1w</v>
      </c>
      <c r="X1461" s="128">
        <f>_xll.qlCalendarAdvance(Calendar,X1460,W1461,"f",FALSE)</f>
        <v>49487</v>
      </c>
      <c r="Y1461" s="131">
        <f>_xll.qlCalendarAdvance(Calendar,X1461,NDays&amp;"D")</f>
        <v>49489</v>
      </c>
      <c r="Z1461" s="132">
        <v>1.8662536172767415E-2</v>
      </c>
      <c r="AA1461" s="129">
        <v>1.8713765556563899E-2</v>
      </c>
    </row>
    <row r="1462" spans="19:27" x14ac:dyDescent="0.2">
      <c r="S1462" s="1"/>
      <c r="T1462" s="109"/>
      <c r="W1462" s="130" t="str">
        <f t="shared" si="32"/>
        <v>1w</v>
      </c>
      <c r="X1462" s="128">
        <f>_xll.qlCalendarAdvance(Calendar,X1461,W1462,"f",FALSE)</f>
        <v>49494</v>
      </c>
      <c r="Y1462" s="131">
        <f>_xll.qlCalendarAdvance(Calendar,X1462,NDays&amp;"D")</f>
        <v>49496</v>
      </c>
      <c r="Z1462" s="132">
        <v>1.8645724829209152E-2</v>
      </c>
      <c r="AA1462" s="129">
        <v>1.869898506173584E-2</v>
      </c>
    </row>
    <row r="1463" spans="19:27" x14ac:dyDescent="0.2">
      <c r="S1463" s="1"/>
      <c r="T1463" s="109"/>
      <c r="W1463" s="130" t="str">
        <f t="shared" si="32"/>
        <v>1w</v>
      </c>
      <c r="X1463" s="128">
        <f>_xll.qlCalendarAdvance(Calendar,X1462,W1463,"f",FALSE)</f>
        <v>49501</v>
      </c>
      <c r="Y1463" s="131">
        <f>_xll.qlCalendarAdvance(Calendar,X1463,NDays&amp;"D")</f>
        <v>49503</v>
      </c>
      <c r="Z1463" s="132">
        <v>1.8630685896750647E-2</v>
      </c>
      <c r="AA1463" s="129">
        <v>1.8684171747267442E-2</v>
      </c>
    </row>
    <row r="1464" spans="19:27" x14ac:dyDescent="0.2">
      <c r="S1464" s="1"/>
      <c r="T1464" s="109"/>
      <c r="W1464" s="130" t="str">
        <f t="shared" si="32"/>
        <v>1w</v>
      </c>
      <c r="X1464" s="128">
        <f>_xll.qlCalendarAdvance(Calendar,X1463,W1464,"f",FALSE)</f>
        <v>49508</v>
      </c>
      <c r="Y1464" s="131">
        <f>_xll.qlCalendarAdvance(Calendar,X1464,NDays&amp;"D")</f>
        <v>49510</v>
      </c>
      <c r="Z1464" s="132">
        <v>1.8615643849547087E-2</v>
      </c>
      <c r="AA1464" s="129">
        <v>1.8669325613265286E-2</v>
      </c>
    </row>
    <row r="1465" spans="19:27" x14ac:dyDescent="0.2">
      <c r="S1465" s="1"/>
      <c r="T1465" s="109"/>
      <c r="W1465" s="130" t="str">
        <f t="shared" si="32"/>
        <v>1w</v>
      </c>
      <c r="X1465" s="128">
        <f>_xll.qlCalendarAdvance(Calendar,X1464,W1465,"f",FALSE)</f>
        <v>49515</v>
      </c>
      <c r="Y1465" s="131">
        <f>_xll.qlCalendarAdvance(Calendar,X1465,NDays&amp;"D")</f>
        <v>49517</v>
      </c>
      <c r="Z1465" s="132">
        <v>1.8600604823378011E-2</v>
      </c>
      <c r="AA1465" s="129">
        <v>1.8654446659702728E-2</v>
      </c>
    </row>
    <row r="1466" spans="19:27" x14ac:dyDescent="0.2">
      <c r="S1466" s="1"/>
      <c r="T1466" s="109"/>
      <c r="W1466" s="130" t="str">
        <f t="shared" si="32"/>
        <v>1w</v>
      </c>
      <c r="X1466" s="128">
        <f>_xll.qlCalendarAdvance(Calendar,X1465,W1466,"f",FALSE)</f>
        <v>49522</v>
      </c>
      <c r="Y1466" s="131">
        <f>_xll.qlCalendarAdvance(Calendar,X1466,NDays&amp;"D")</f>
        <v>49524</v>
      </c>
      <c r="Z1466" s="132">
        <v>1.8585574953920918E-2</v>
      </c>
      <c r="AA1466" s="129">
        <v>1.8639534886606413E-2</v>
      </c>
    </row>
    <row r="1467" spans="19:27" x14ac:dyDescent="0.2">
      <c r="S1467" s="1"/>
      <c r="T1467" s="109"/>
      <c r="W1467" s="130" t="str">
        <f t="shared" si="32"/>
        <v>1w</v>
      </c>
      <c r="X1467" s="128">
        <f>_xll.qlCalendarAdvance(Calendar,X1466,W1467,"f",FALSE)</f>
        <v>49529</v>
      </c>
      <c r="Y1467" s="131">
        <f>_xll.qlCalendarAdvance(Calendar,X1467,NDays&amp;"D")</f>
        <v>49531</v>
      </c>
      <c r="Z1467" s="132">
        <v>1.8570560376765723E-2</v>
      </c>
      <c r="AA1467" s="129">
        <v>1.862459029397634E-2</v>
      </c>
    </row>
    <row r="1468" spans="19:27" x14ac:dyDescent="0.2">
      <c r="S1468" s="1"/>
      <c r="T1468" s="109"/>
      <c r="W1468" s="130" t="str">
        <f t="shared" si="32"/>
        <v>1w</v>
      </c>
      <c r="X1468" s="128">
        <f>_xll.qlCalendarAdvance(Calendar,X1467,W1468,"f",FALSE)</f>
        <v>49536</v>
      </c>
      <c r="Y1468" s="131">
        <f>_xll.qlCalendarAdvance(Calendar,X1468,NDays&amp;"D")</f>
        <v>49538</v>
      </c>
      <c r="Z1468" s="132">
        <v>1.8555567227401128E-2</v>
      </c>
      <c r="AA1468" s="129">
        <v>1.8609612881839155E-2</v>
      </c>
    </row>
    <row r="1469" spans="19:27" x14ac:dyDescent="0.2">
      <c r="S1469" s="1"/>
      <c r="T1469" s="109"/>
      <c r="W1469" s="130" t="str">
        <f t="shared" si="32"/>
        <v>1w</v>
      </c>
      <c r="X1469" s="128">
        <f>_xll.qlCalendarAdvance(Calendar,X1468,W1469,"f",FALSE)</f>
        <v>49543</v>
      </c>
      <c r="Y1469" s="131">
        <f>_xll.qlCalendarAdvance(Calendar,X1469,NDays&amp;"D")</f>
        <v>49545</v>
      </c>
      <c r="Z1469" s="132">
        <v>1.8540601641222312E-2</v>
      </c>
      <c r="AA1469" s="129">
        <v>1.8594602650168213E-2</v>
      </c>
    </row>
    <row r="1470" spans="19:27" x14ac:dyDescent="0.2">
      <c r="S1470" s="1"/>
      <c r="T1470" s="109"/>
      <c r="W1470" s="130" t="str">
        <f t="shared" si="32"/>
        <v>1w</v>
      </c>
      <c r="X1470" s="128">
        <f>_xll.qlCalendarAdvance(Calendar,X1469,W1470,"f",FALSE)</f>
        <v>49550</v>
      </c>
      <c r="Y1470" s="131">
        <f>_xll.qlCalendarAdvance(Calendar,X1470,NDays&amp;"D")</f>
        <v>49552</v>
      </c>
      <c r="Z1470" s="132">
        <v>1.8527416584024129E-2</v>
      </c>
      <c r="AA1470" s="129">
        <v>1.8579559599016804E-2</v>
      </c>
    </row>
    <row r="1471" spans="19:27" x14ac:dyDescent="0.2">
      <c r="S1471" s="1"/>
      <c r="T1471" s="109"/>
      <c r="W1471" s="130" t="str">
        <f t="shared" si="32"/>
        <v>1w</v>
      </c>
      <c r="X1471" s="128">
        <f>_xll.qlCalendarAdvance(Calendar,X1470,W1471,"f",FALSE)</f>
        <v>49557</v>
      </c>
      <c r="Y1471" s="131">
        <f>_xll.qlCalendarAdvance(Calendar,X1471,NDays&amp;"D")</f>
        <v>49559</v>
      </c>
      <c r="Z1471" s="132">
        <v>1.8512516347220613E-2</v>
      </c>
      <c r="AA1471" s="129">
        <v>1.8564483728438219E-2</v>
      </c>
    </row>
    <row r="1472" spans="19:27" x14ac:dyDescent="0.2">
      <c r="S1472" s="1"/>
      <c r="T1472" s="109"/>
      <c r="W1472" s="130" t="str">
        <f t="shared" si="32"/>
        <v>1w</v>
      </c>
      <c r="X1472" s="128">
        <f>_xll.qlCalendarAdvance(Calendar,X1471,W1472,"f",FALSE)</f>
        <v>49564</v>
      </c>
      <c r="Y1472" s="131">
        <f>_xll.qlCalendarAdvance(Calendar,X1472,NDays&amp;"D")</f>
        <v>49566</v>
      </c>
      <c r="Z1472" s="132">
        <v>1.8497661871725687E-2</v>
      </c>
      <c r="AA1472" s="129">
        <v>1.8549392611602045E-2</v>
      </c>
    </row>
    <row r="1473" spans="19:27" x14ac:dyDescent="0.2">
      <c r="S1473" s="1"/>
      <c r="T1473" s="109"/>
      <c r="W1473" s="130" t="str">
        <f t="shared" si="32"/>
        <v>1w</v>
      </c>
      <c r="X1473" s="128">
        <f>_xll.qlCalendarAdvance(Calendar,X1472,W1473,"f",FALSE)</f>
        <v>49571</v>
      </c>
      <c r="Y1473" s="131">
        <f>_xll.qlCalendarAdvance(Calendar,X1473,NDays&amp;"D")</f>
        <v>49573</v>
      </c>
      <c r="Z1473" s="132">
        <v>1.8482856664156763E-2</v>
      </c>
      <c r="AA1473" s="129">
        <v>1.8534344826290905E-2</v>
      </c>
    </row>
    <row r="1474" spans="19:27" x14ac:dyDescent="0.2">
      <c r="S1474" s="1"/>
      <c r="T1474" s="109"/>
      <c r="W1474" s="130" t="str">
        <f t="shared" si="32"/>
        <v>1w</v>
      </c>
      <c r="X1474" s="128">
        <f>_xll.qlCalendarAdvance(Calendar,X1473,W1474,"f",FALSE)</f>
        <v>49578</v>
      </c>
      <c r="Y1474" s="131">
        <f>_xll.qlCalendarAdvance(Calendar,X1474,NDays&amp;"D")</f>
        <v>49580</v>
      </c>
      <c r="Z1474" s="132">
        <v>1.846638724316553E-2</v>
      </c>
      <c r="AA1474" s="129">
        <v>1.8519346230059242E-2</v>
      </c>
    </row>
    <row r="1475" spans="19:27" x14ac:dyDescent="0.2">
      <c r="S1475" s="1"/>
      <c r="T1475" s="109"/>
      <c r="W1475" s="130" t="str">
        <f t="shared" si="32"/>
        <v>1w</v>
      </c>
      <c r="X1475" s="128">
        <f>_xll.qlCalendarAdvance(Calendar,X1474,W1475,"f",FALSE)</f>
        <v>49585</v>
      </c>
      <c r="Y1475" s="131">
        <f>_xll.qlCalendarAdvance(Calendar,X1475,NDays&amp;"D")</f>
        <v>49587</v>
      </c>
      <c r="Z1475" s="132">
        <v>1.8451689307863495E-2</v>
      </c>
      <c r="AA1475" s="129">
        <v>1.8504396823066926E-2</v>
      </c>
    </row>
    <row r="1476" spans="19:27" x14ac:dyDescent="0.2">
      <c r="S1476" s="1"/>
      <c r="T1476" s="109"/>
      <c r="W1476" s="130" t="str">
        <f t="shared" si="32"/>
        <v>1w</v>
      </c>
      <c r="X1476" s="128">
        <f>_xll.qlCalendarAdvance(Calendar,X1475,W1476,"f",FALSE)</f>
        <v>49592</v>
      </c>
      <c r="Y1476" s="131">
        <f>_xll.qlCalendarAdvance(Calendar,X1476,NDays&amp;"D")</f>
        <v>49594</v>
      </c>
      <c r="Z1476" s="132">
        <v>1.8437040845156842E-2</v>
      </c>
      <c r="AA1476" s="129">
        <v>1.8489496605180733E-2</v>
      </c>
    </row>
    <row r="1477" spans="19:27" x14ac:dyDescent="0.2">
      <c r="S1477" s="1"/>
      <c r="T1477" s="109"/>
      <c r="W1477" s="130" t="str">
        <f t="shared" si="32"/>
        <v>1w</v>
      </c>
      <c r="X1477" s="128">
        <f>_xll.qlCalendarAdvance(Calendar,X1476,W1477,"f",FALSE)</f>
        <v>49599</v>
      </c>
      <c r="Y1477" s="131">
        <f>_xll.qlCalendarAdvance(Calendar,X1477,NDays&amp;"D")</f>
        <v>49601</v>
      </c>
      <c r="Z1477" s="132">
        <v>1.8422441854484318E-2</v>
      </c>
      <c r="AA1477" s="129">
        <v>1.8474645576427307E-2</v>
      </c>
    </row>
    <row r="1478" spans="19:27" x14ac:dyDescent="0.2">
      <c r="S1478" s="1"/>
      <c r="T1478" s="109"/>
      <c r="W1478" s="130" t="str">
        <f t="shared" si="32"/>
        <v>1w</v>
      </c>
      <c r="X1478" s="128">
        <f>_xll.qlCalendarAdvance(Calendar,X1477,W1478,"f",FALSE)</f>
        <v>49606</v>
      </c>
      <c r="Y1478" s="131">
        <f>_xll.qlCalendarAdvance(Calendar,X1478,NDays&amp;"D")</f>
        <v>49608</v>
      </c>
      <c r="Z1478" s="132">
        <v>1.840789233528127E-2</v>
      </c>
      <c r="AA1478" s="129">
        <v>1.8459843736780002E-2</v>
      </c>
    </row>
    <row r="1479" spans="19:27" x14ac:dyDescent="0.2">
      <c r="S1479" s="1"/>
      <c r="T1479" s="109"/>
      <c r="W1479" s="130" t="str">
        <f t="shared" si="32"/>
        <v>1w</v>
      </c>
      <c r="X1479" s="128">
        <f>_xll.qlCalendarAdvance(Calendar,X1478,W1479,"f",FALSE)</f>
        <v>49613</v>
      </c>
      <c r="Y1479" s="131">
        <f>_xll.qlCalendarAdvance(Calendar,X1479,NDays&amp;"D")</f>
        <v>49615</v>
      </c>
      <c r="Z1479" s="132">
        <v>1.839339228698899E-2</v>
      </c>
      <c r="AA1479" s="129">
        <v>1.8445091086212173E-2</v>
      </c>
    </row>
    <row r="1480" spans="19:27" x14ac:dyDescent="0.2">
      <c r="S1480" s="1"/>
      <c r="T1480" s="109"/>
      <c r="W1480" s="130" t="str">
        <f t="shared" si="32"/>
        <v>1w</v>
      </c>
      <c r="X1480" s="128">
        <f>_xll.qlCalendarAdvance(Calendar,X1479,W1480,"f",FALSE)</f>
        <v>49620</v>
      </c>
      <c r="Y1480" s="131">
        <f>_xll.qlCalendarAdvance(Calendar,X1480,NDays&amp;"D")</f>
        <v>49622</v>
      </c>
      <c r="Z1480" s="132">
        <v>1.8378941709045381E-2</v>
      </c>
      <c r="AA1480" s="129">
        <v>1.8430387624723821E-2</v>
      </c>
    </row>
    <row r="1481" spans="19:27" x14ac:dyDescent="0.2">
      <c r="S1481" s="1"/>
      <c r="T1481" s="109"/>
      <c r="W1481" s="130" t="str">
        <f t="shared" si="32"/>
        <v>1w</v>
      </c>
      <c r="X1481" s="128">
        <f>_xll.qlCalendarAdvance(Calendar,X1480,W1481,"f",FALSE)</f>
        <v>49627</v>
      </c>
      <c r="Y1481" s="131">
        <f>_xll.qlCalendarAdvance(Calendar,X1481,NDays&amp;"D")</f>
        <v>49629</v>
      </c>
      <c r="Z1481" s="132">
        <v>1.8364540600895991E-2</v>
      </c>
      <c r="AA1481" s="129">
        <v>1.8415733352314945E-2</v>
      </c>
    </row>
    <row r="1482" spans="19:27" x14ac:dyDescent="0.2">
      <c r="S1482" s="1"/>
      <c r="T1482" s="109"/>
      <c r="W1482" s="130" t="str">
        <f t="shared" si="32"/>
        <v>1w</v>
      </c>
      <c r="X1482" s="128">
        <f>_xll.qlCalendarAdvance(Calendar,X1481,W1482,"f",FALSE)</f>
        <v>49634</v>
      </c>
      <c r="Y1482" s="131">
        <f>_xll.qlCalendarAdvance(Calendar,X1482,NDays&amp;"D")</f>
        <v>49636</v>
      </c>
      <c r="Z1482" s="132">
        <v>1.8350188961985519E-2</v>
      </c>
      <c r="AA1482" s="129">
        <v>1.8401128268905609E-2</v>
      </c>
    </row>
    <row r="1483" spans="19:27" x14ac:dyDescent="0.2">
      <c r="S1483" s="1"/>
      <c r="T1483" s="109"/>
      <c r="W1483" s="130" t="str">
        <f t="shared" si="32"/>
        <v>1w</v>
      </c>
      <c r="X1483" s="128">
        <f>_xll.qlCalendarAdvance(Calendar,X1482,W1483,"f",FALSE)</f>
        <v>49641</v>
      </c>
      <c r="Y1483" s="131">
        <f>_xll.qlCalendarAdvance(Calendar,X1483,NDays&amp;"D")</f>
        <v>49643</v>
      </c>
      <c r="Z1483" s="132">
        <v>1.8337525042435115E-2</v>
      </c>
      <c r="AA1483" s="129">
        <v>1.8386572374549104E-2</v>
      </c>
    </row>
    <row r="1484" spans="19:27" x14ac:dyDescent="0.2">
      <c r="S1484" s="1"/>
      <c r="T1484" s="109"/>
      <c r="W1484" s="130" t="str">
        <f t="shared" si="32"/>
        <v>1w</v>
      </c>
      <c r="X1484" s="128">
        <f>_xll.qlCalendarAdvance(Calendar,X1483,W1484,"f",FALSE)</f>
        <v>49648</v>
      </c>
      <c r="Y1484" s="131">
        <f>_xll.qlCalendarAdvance(Calendar,X1484,NDays&amp;"D")</f>
        <v>49650</v>
      </c>
      <c r="Z1484" s="132">
        <v>1.8323263913731666E-2</v>
      </c>
      <c r="AA1484" s="129">
        <v>1.8372065669165494E-2</v>
      </c>
    </row>
    <row r="1485" spans="19:27" x14ac:dyDescent="0.2">
      <c r="S1485" s="1"/>
      <c r="T1485" s="109"/>
      <c r="W1485" s="130" t="str">
        <f t="shared" si="32"/>
        <v>1w</v>
      </c>
      <c r="X1485" s="128">
        <f>_xll.qlCalendarAdvance(Calendar,X1484,W1485,"f",FALSE)</f>
        <v>49655</v>
      </c>
      <c r="Y1485" s="131">
        <f>_xll.qlCalendarAdvance(Calendar,X1485,NDays&amp;"D")</f>
        <v>49657</v>
      </c>
      <c r="Z1485" s="132">
        <v>1.8309052243513878E-2</v>
      </c>
      <c r="AA1485" s="129">
        <v>1.8357608152728133E-2</v>
      </c>
    </row>
    <row r="1486" spans="19:27" x14ac:dyDescent="0.2">
      <c r="S1486" s="1"/>
      <c r="T1486" s="109"/>
      <c r="W1486" s="130" t="str">
        <f t="shared" si="32"/>
        <v>1w</v>
      </c>
      <c r="X1486" s="128">
        <f>_xll.qlCalendarAdvance(Calendar,X1485,W1486,"f",FALSE)</f>
        <v>49662</v>
      </c>
      <c r="Y1486" s="131">
        <f>_xll.qlCalendarAdvance(Calendar,X1486,NDays&amp;"D")</f>
        <v>49664</v>
      </c>
      <c r="Z1486" s="132">
        <v>1.8294890031251183E-2</v>
      </c>
      <c r="AA1486" s="129">
        <v>1.8343199825290313E-2</v>
      </c>
    </row>
    <row r="1487" spans="19:27" x14ac:dyDescent="0.2">
      <c r="S1487" s="1"/>
      <c r="T1487" s="109"/>
      <c r="W1487" s="130" t="str">
        <f t="shared" si="32"/>
        <v>1w</v>
      </c>
      <c r="X1487" s="128">
        <f>_xll.qlCalendarAdvance(Calendar,X1486,W1487,"f",FALSE)</f>
        <v>49670</v>
      </c>
      <c r="Y1487" s="131">
        <f>_xll.qlCalendarAdvance(Calendar,X1487,NDays&amp;"D")</f>
        <v>49674</v>
      </c>
      <c r="Z1487" s="132">
        <v>1.827474409281284E-2</v>
      </c>
      <c r="AA1487" s="129">
        <v>1.832325783461819E-2</v>
      </c>
    </row>
    <row r="1488" spans="19:27" x14ac:dyDescent="0.2">
      <c r="S1488" s="1"/>
      <c r="T1488" s="109"/>
      <c r="W1488" s="130" t="str">
        <f t="shared" si="32"/>
        <v>1w</v>
      </c>
      <c r="X1488" s="128">
        <f>_xll.qlCalendarAdvance(Calendar,X1487,W1488,"f",FALSE)</f>
        <v>49677</v>
      </c>
      <c r="Y1488" s="131">
        <f>_xll.qlCalendarAdvance(Calendar,X1488,NDays&amp;"D")</f>
        <v>49681</v>
      </c>
      <c r="Z1488" s="132">
        <v>1.8260701990532764E-2</v>
      </c>
      <c r="AA1488" s="129">
        <v>1.8309519646431127E-2</v>
      </c>
    </row>
    <row r="1489" spans="19:27" x14ac:dyDescent="0.2">
      <c r="S1489" s="1"/>
      <c r="T1489" s="109"/>
      <c r="W1489" s="130" t="str">
        <f t="shared" si="32"/>
        <v>1w</v>
      </c>
      <c r="X1489" s="128">
        <f>_xll.qlCalendarAdvance(Calendar,X1488,W1489,"f",FALSE)</f>
        <v>49684</v>
      </c>
      <c r="Y1489" s="131">
        <f>_xll.qlCalendarAdvance(Calendar,X1489,NDays&amp;"D")</f>
        <v>49688</v>
      </c>
      <c r="Z1489" s="132">
        <v>1.8246181118798825E-2</v>
      </c>
      <c r="AA1489" s="129">
        <v>1.8295274388178129E-2</v>
      </c>
    </row>
    <row r="1490" spans="19:27" x14ac:dyDescent="0.2">
      <c r="S1490" s="1"/>
      <c r="T1490" s="109"/>
      <c r="W1490" s="130" t="str">
        <f t="shared" si="32"/>
        <v>1w</v>
      </c>
      <c r="X1490" s="128">
        <f>_xll.qlCalendarAdvance(Calendar,X1489,W1490,"f",FALSE)</f>
        <v>49691</v>
      </c>
      <c r="Y1490" s="131">
        <f>_xll.qlCalendarAdvance(Calendar,X1490,NDays&amp;"D")</f>
        <v>49695</v>
      </c>
      <c r="Z1490" s="132">
        <v>1.823276615390506E-2</v>
      </c>
      <c r="AA1490" s="129">
        <v>1.8281078312822885E-2</v>
      </c>
    </row>
    <row r="1491" spans="19:27" x14ac:dyDescent="0.2">
      <c r="S1491" s="1"/>
      <c r="T1491" s="109"/>
      <c r="W1491" s="130" t="str">
        <f t="shared" si="32"/>
        <v>1w</v>
      </c>
      <c r="X1491" s="128">
        <f>_xll.qlCalendarAdvance(Calendar,X1490,W1491,"f",FALSE)</f>
        <v>49698</v>
      </c>
      <c r="Y1491" s="131">
        <f>_xll.qlCalendarAdvance(Calendar,X1491,NDays&amp;"D")</f>
        <v>49702</v>
      </c>
      <c r="Z1491" s="132">
        <v>1.8218872418516507E-2</v>
      </c>
      <c r="AA1491" s="129">
        <v>1.8266931420205523E-2</v>
      </c>
    </row>
    <row r="1492" spans="19:27" x14ac:dyDescent="0.2">
      <c r="S1492" s="1"/>
      <c r="T1492" s="109"/>
      <c r="W1492" s="130" t="str">
        <f t="shared" si="32"/>
        <v>1w</v>
      </c>
      <c r="X1492" s="128">
        <f>_xll.qlCalendarAdvance(Calendar,X1491,W1492,"f",FALSE)</f>
        <v>49705</v>
      </c>
      <c r="Y1492" s="131">
        <f>_xll.qlCalendarAdvance(Calendar,X1492,NDays&amp;"D")</f>
        <v>49709</v>
      </c>
      <c r="Z1492" s="132">
        <v>1.8205028137716947E-2</v>
      </c>
      <c r="AA1492" s="129">
        <v>1.8252833710166172E-2</v>
      </c>
    </row>
    <row r="1493" spans="19:27" x14ac:dyDescent="0.2">
      <c r="S1493" s="1"/>
      <c r="T1493" s="109"/>
      <c r="W1493" s="130" t="str">
        <f t="shared" ref="W1493:W1556" si="33">W1492</f>
        <v>1w</v>
      </c>
      <c r="X1493" s="128">
        <f>_xll.qlCalendarAdvance(Calendar,X1492,W1493,"f",FALSE)</f>
        <v>49712</v>
      </c>
      <c r="Y1493" s="131">
        <f>_xll.qlCalendarAdvance(Calendar,X1493,NDays&amp;"D")</f>
        <v>49716</v>
      </c>
      <c r="Z1493" s="132">
        <v>1.8191233310993385E-2</v>
      </c>
      <c r="AA1493" s="129">
        <v>1.8238785183024575E-2</v>
      </c>
    </row>
    <row r="1494" spans="19:27" x14ac:dyDescent="0.2">
      <c r="S1494" s="1"/>
      <c r="T1494" s="109"/>
      <c r="W1494" s="130" t="str">
        <f t="shared" si="33"/>
        <v>1w</v>
      </c>
      <c r="X1494" s="128">
        <f>_xll.qlCalendarAdvance(Calendar,X1493,W1494,"f",FALSE)</f>
        <v>49719</v>
      </c>
      <c r="Y1494" s="131">
        <f>_xll.qlCalendarAdvance(Calendar,X1494,NDays&amp;"D")</f>
        <v>49723</v>
      </c>
      <c r="Z1494" s="132">
        <v>1.8177487937831072E-2</v>
      </c>
      <c r="AA1494" s="129">
        <v>1.8224785838620861E-2</v>
      </c>
    </row>
    <row r="1495" spans="19:27" x14ac:dyDescent="0.2">
      <c r="S1495" s="1"/>
      <c r="T1495" s="109"/>
      <c r="W1495" s="130" t="str">
        <f t="shared" si="33"/>
        <v>1w</v>
      </c>
      <c r="X1495" s="128">
        <f>_xll.qlCalendarAdvance(Calendar,X1494,W1495,"f",FALSE)</f>
        <v>49726</v>
      </c>
      <c r="Y1495" s="131">
        <f>_xll.qlCalendarAdvance(Calendar,X1495,NDays&amp;"D")</f>
        <v>49730</v>
      </c>
      <c r="Z1495" s="132">
        <v>1.816379201771437E-2</v>
      </c>
      <c r="AA1495" s="129">
        <v>1.8210835676875092E-2</v>
      </c>
    </row>
    <row r="1496" spans="19:27" x14ac:dyDescent="0.2">
      <c r="S1496" s="1"/>
      <c r="T1496" s="109"/>
      <c r="W1496" s="130" t="str">
        <f t="shared" si="33"/>
        <v>1w</v>
      </c>
      <c r="X1496" s="128">
        <f>_xll.qlCalendarAdvance(Calendar,X1495,W1496,"f",FALSE)</f>
        <v>49733</v>
      </c>
      <c r="Y1496" s="131">
        <f>_xll.qlCalendarAdvance(Calendar,X1496,NDays&amp;"D")</f>
        <v>49737</v>
      </c>
      <c r="Z1496" s="132">
        <v>1.8149637182407381E-2</v>
      </c>
      <c r="AA1496" s="129">
        <v>1.8196934697947142E-2</v>
      </c>
    </row>
    <row r="1497" spans="19:27" x14ac:dyDescent="0.2">
      <c r="S1497" s="1"/>
      <c r="T1497" s="109"/>
      <c r="W1497" s="130" t="str">
        <f t="shared" si="33"/>
        <v>1w</v>
      </c>
      <c r="X1497" s="128">
        <f>_xll.qlCalendarAdvance(Calendar,X1496,W1497,"f",FALSE)</f>
        <v>49740</v>
      </c>
      <c r="Y1497" s="131">
        <f>_xll.qlCalendarAdvance(Calendar,X1497,NDays&amp;"D")</f>
        <v>49744</v>
      </c>
      <c r="Z1497" s="132">
        <v>1.8136043015596012E-2</v>
      </c>
      <c r="AA1497" s="129">
        <v>1.8183082901757075E-2</v>
      </c>
    </row>
    <row r="1498" spans="19:27" x14ac:dyDescent="0.2">
      <c r="S1498" s="1"/>
      <c r="T1498" s="109"/>
      <c r="W1498" s="130" t="str">
        <f t="shared" si="33"/>
        <v>1w</v>
      </c>
      <c r="X1498" s="128">
        <f>_xll.qlCalendarAdvance(Calendar,X1497,W1498,"f",FALSE)</f>
        <v>49747</v>
      </c>
      <c r="Y1498" s="131">
        <f>_xll.qlCalendarAdvance(Calendar,X1498,NDays&amp;"D")</f>
        <v>49751</v>
      </c>
      <c r="Z1498" s="132">
        <v>1.8122498303263419E-2</v>
      </c>
      <c r="AA1498" s="129">
        <v>1.816928028830489E-2</v>
      </c>
    </row>
    <row r="1499" spans="19:27" x14ac:dyDescent="0.2">
      <c r="S1499" s="1"/>
      <c r="T1499" s="109"/>
      <c r="W1499" s="130" t="str">
        <f t="shared" si="33"/>
        <v>1w</v>
      </c>
      <c r="X1499" s="128">
        <f>_xll.qlCalendarAdvance(Calendar,X1498,W1499,"f",FALSE)</f>
        <v>49754</v>
      </c>
      <c r="Y1499" s="131">
        <f>_xll.qlCalendarAdvance(Calendar,X1499,NDays&amp;"D")</f>
        <v>49758</v>
      </c>
      <c r="Z1499" s="132">
        <v>1.8109003044896963E-2</v>
      </c>
      <c r="AA1499" s="129">
        <v>1.8155526857430715E-2</v>
      </c>
    </row>
    <row r="1500" spans="19:27" x14ac:dyDescent="0.2">
      <c r="S1500" s="1"/>
      <c r="T1500" s="109"/>
      <c r="W1500" s="130" t="str">
        <f t="shared" si="33"/>
        <v>1w</v>
      </c>
      <c r="X1500" s="128">
        <f>_xll.qlCalendarAdvance(Calendar,X1499,W1500,"f",FALSE)</f>
        <v>49761</v>
      </c>
      <c r="Y1500" s="131">
        <f>_xll.qlCalendarAdvance(Calendar,X1500,NDays&amp;"D")</f>
        <v>49765</v>
      </c>
      <c r="Z1500" s="132">
        <v>1.8096054195026242E-2</v>
      </c>
      <c r="AA1500" s="129">
        <v>1.8141822609294422E-2</v>
      </c>
    </row>
    <row r="1501" spans="19:27" x14ac:dyDescent="0.2">
      <c r="S1501" s="1"/>
      <c r="T1501" s="109"/>
      <c r="W1501" s="130" t="str">
        <f t="shared" si="33"/>
        <v>1w</v>
      </c>
      <c r="X1501" s="128">
        <f>_xll.qlCalendarAdvance(Calendar,X1500,W1501,"f",FALSE)</f>
        <v>49768</v>
      </c>
      <c r="Y1501" s="131">
        <f>_xll.qlCalendarAdvance(Calendar,X1501,NDays&amp;"D")</f>
        <v>49772</v>
      </c>
      <c r="Z1501" s="132">
        <v>1.8082654982529773E-2</v>
      </c>
      <c r="AA1501" s="129">
        <v>1.8128167543896012E-2</v>
      </c>
    </row>
    <row r="1502" spans="19:27" x14ac:dyDescent="0.2">
      <c r="S1502" s="1"/>
      <c r="T1502" s="109"/>
      <c r="W1502" s="130" t="str">
        <f t="shared" si="33"/>
        <v>1w</v>
      </c>
      <c r="X1502" s="128">
        <f>_xll.qlCalendarAdvance(Calendar,X1501,W1502,"f",FALSE)</f>
        <v>49775</v>
      </c>
      <c r="Y1502" s="131">
        <f>_xll.qlCalendarAdvance(Calendar,X1502,NDays&amp;"D")</f>
        <v>49781</v>
      </c>
      <c r="Z1502" s="132">
        <v>1.8065500084038139E-2</v>
      </c>
      <c r="AA1502" s="129">
        <v>1.8110683299763508E-2</v>
      </c>
    </row>
    <row r="1503" spans="19:27" x14ac:dyDescent="0.2">
      <c r="S1503" s="1"/>
      <c r="T1503" s="109"/>
      <c r="W1503" s="130" t="str">
        <f t="shared" si="33"/>
        <v>1w</v>
      </c>
      <c r="X1503" s="128">
        <f>_xll.qlCalendarAdvance(Calendar,X1502,W1503,"f",FALSE)</f>
        <v>49782</v>
      </c>
      <c r="Y1503" s="131">
        <f>_xll.qlCalendarAdvance(Calendar,X1503,NDays&amp;"D")</f>
        <v>49786</v>
      </c>
      <c r="Z1503" s="132">
        <v>1.8056004905565203E-2</v>
      </c>
      <c r="AA1503" s="129">
        <v>1.8101004961232903E-2</v>
      </c>
    </row>
    <row r="1504" spans="19:27" x14ac:dyDescent="0.2">
      <c r="S1504" s="1"/>
      <c r="T1504" s="109"/>
      <c r="W1504" s="130" t="str">
        <f t="shared" si="33"/>
        <v>1w</v>
      </c>
      <c r="X1504" s="128">
        <f>_xll.qlCalendarAdvance(Calendar,X1503,W1504,"f",FALSE)</f>
        <v>49789</v>
      </c>
      <c r="Y1504" s="131">
        <f>_xll.qlCalendarAdvance(Calendar,X1504,NDays&amp;"D")</f>
        <v>49793</v>
      </c>
      <c r="Z1504" s="132">
        <v>1.8042754040103613E-2</v>
      </c>
      <c r="AA1504" s="129">
        <v>1.8087497443888267E-2</v>
      </c>
    </row>
    <row r="1505" spans="19:27" x14ac:dyDescent="0.2">
      <c r="S1505" s="1"/>
      <c r="T1505" s="109"/>
      <c r="W1505" s="130" t="str">
        <f t="shared" si="33"/>
        <v>1w</v>
      </c>
      <c r="X1505" s="128">
        <f>_xll.qlCalendarAdvance(Calendar,X1504,W1505,"f",FALSE)</f>
        <v>49797</v>
      </c>
      <c r="Y1505" s="131">
        <f>_xll.qlCalendarAdvance(Calendar,X1505,NDays&amp;"D")</f>
        <v>49801</v>
      </c>
      <c r="Z1505" s="132">
        <v>1.8027188529981943E-2</v>
      </c>
      <c r="AA1505" s="129">
        <v>1.8072120504966094E-2</v>
      </c>
    </row>
    <row r="1506" spans="19:27" x14ac:dyDescent="0.2">
      <c r="S1506" s="1"/>
      <c r="T1506" s="109"/>
      <c r="W1506" s="130" t="str">
        <f t="shared" si="33"/>
        <v>1w</v>
      </c>
      <c r="X1506" s="128">
        <f>_xll.qlCalendarAdvance(Calendar,X1505,W1506,"f",FALSE)</f>
        <v>49804</v>
      </c>
      <c r="Y1506" s="131">
        <f>_xll.qlCalendarAdvance(Calendar,X1506,NDays&amp;"D")</f>
        <v>49808</v>
      </c>
      <c r="Z1506" s="132">
        <v>1.8014046499551954E-2</v>
      </c>
      <c r="AA1506" s="129">
        <v>1.8058718379077021E-2</v>
      </c>
    </row>
    <row r="1507" spans="19:27" x14ac:dyDescent="0.2">
      <c r="S1507" s="1"/>
      <c r="T1507" s="109"/>
      <c r="W1507" s="130" t="str">
        <f t="shared" si="33"/>
        <v>1w</v>
      </c>
      <c r="X1507" s="128">
        <f>_xll.qlCalendarAdvance(Calendar,X1506,W1507,"f",FALSE)</f>
        <v>49811</v>
      </c>
      <c r="Y1507" s="131">
        <f>_xll.qlCalendarAdvance(Calendar,X1507,NDays&amp;"D")</f>
        <v>49815</v>
      </c>
      <c r="Z1507" s="132">
        <v>1.8000953919000071E-2</v>
      </c>
      <c r="AA1507" s="129">
        <v>1.8045365435765959E-2</v>
      </c>
    </row>
    <row r="1508" spans="19:27" x14ac:dyDescent="0.2">
      <c r="S1508" s="1"/>
      <c r="T1508" s="109"/>
      <c r="W1508" s="130" t="str">
        <f t="shared" si="33"/>
        <v>1w</v>
      </c>
      <c r="X1508" s="128">
        <f>_xll.qlCalendarAdvance(Calendar,X1507,W1508,"f",FALSE)</f>
        <v>49818</v>
      </c>
      <c r="Y1508" s="131">
        <f>_xll.qlCalendarAdvance(Calendar,X1508,NDays&amp;"D")</f>
        <v>49822</v>
      </c>
      <c r="Z1508" s="132">
        <v>1.7987910787831903E-2</v>
      </c>
      <c r="AA1508" s="129">
        <v>1.8032061675272715E-2</v>
      </c>
    </row>
    <row r="1509" spans="19:27" x14ac:dyDescent="0.2">
      <c r="S1509" s="1"/>
      <c r="T1509" s="109"/>
      <c r="W1509" s="130" t="str">
        <f t="shared" si="33"/>
        <v>1w</v>
      </c>
      <c r="X1509" s="128">
        <f>_xll.qlCalendarAdvance(Calendar,X1508,W1509,"f",FALSE)</f>
        <v>49825</v>
      </c>
      <c r="Y1509" s="131">
        <f>_xll.qlCalendarAdvance(Calendar,X1509,NDays&amp;"D")</f>
        <v>49829</v>
      </c>
      <c r="Z1509" s="132">
        <v>1.7974917105554808E-2</v>
      </c>
      <c r="AA1509" s="129">
        <v>1.8018807097437417E-2</v>
      </c>
    </row>
    <row r="1510" spans="19:27" x14ac:dyDescent="0.2">
      <c r="S1510" s="1"/>
      <c r="T1510" s="109"/>
      <c r="W1510" s="130" t="str">
        <f t="shared" si="33"/>
        <v>1w</v>
      </c>
      <c r="X1510" s="128">
        <f>_xll.qlCalendarAdvance(Calendar,X1509,W1510,"f",FALSE)</f>
        <v>49832</v>
      </c>
      <c r="Y1510" s="131">
        <f>_xll.qlCalendarAdvance(Calendar,X1510,NDays&amp;"D")</f>
        <v>49836</v>
      </c>
      <c r="Z1510" s="132">
        <v>1.7961972871679603E-2</v>
      </c>
      <c r="AA1510" s="129">
        <v>1.800560170218013E-2</v>
      </c>
    </row>
    <row r="1511" spans="19:27" x14ac:dyDescent="0.2">
      <c r="S1511" s="1"/>
      <c r="T1511" s="109"/>
      <c r="W1511" s="130" t="str">
        <f t="shared" si="33"/>
        <v>1w</v>
      </c>
      <c r="X1511" s="128">
        <f>_xll.qlCalendarAdvance(Calendar,X1510,W1511,"f",FALSE)</f>
        <v>49839</v>
      </c>
      <c r="Y1511" s="131">
        <f>_xll.qlCalendarAdvance(Calendar,X1511,NDays&amp;"D")</f>
        <v>49843</v>
      </c>
      <c r="Z1511" s="132">
        <v>1.7949078085717125E-2</v>
      </c>
      <c r="AA1511" s="129">
        <v>1.7992445489500852E-2</v>
      </c>
    </row>
    <row r="1512" spans="19:27" x14ac:dyDescent="0.2">
      <c r="S1512" s="1"/>
      <c r="T1512" s="109"/>
      <c r="W1512" s="130" t="str">
        <f t="shared" si="33"/>
        <v>1w</v>
      </c>
      <c r="X1512" s="128">
        <f>_xll.qlCalendarAdvance(Calendar,X1511,W1512,"f",FALSE)</f>
        <v>49846</v>
      </c>
      <c r="Y1512" s="131">
        <f>_xll.qlCalendarAdvance(Calendar,X1512,NDays&amp;"D")</f>
        <v>49850</v>
      </c>
      <c r="Z1512" s="132">
        <v>1.7936232747183402E-2</v>
      </c>
      <c r="AA1512" s="129">
        <v>1.7979338459639393E-2</v>
      </c>
    </row>
    <row r="1513" spans="19:27" x14ac:dyDescent="0.2">
      <c r="S1513" s="1"/>
      <c r="T1513" s="109"/>
      <c r="W1513" s="130" t="str">
        <f t="shared" si="33"/>
        <v>1w</v>
      </c>
      <c r="X1513" s="128">
        <f>_xll.qlCalendarAdvance(Calendar,X1512,W1513,"f",FALSE)</f>
        <v>49853</v>
      </c>
      <c r="Y1513" s="131">
        <f>_xll.qlCalendarAdvance(Calendar,X1513,NDays&amp;"D")</f>
        <v>49857</v>
      </c>
      <c r="Z1513" s="132">
        <v>1.7923436855591005E-2</v>
      </c>
      <c r="AA1513" s="129">
        <v>1.7966280612355945E-2</v>
      </c>
    </row>
    <row r="1514" spans="19:27" x14ac:dyDescent="0.2">
      <c r="S1514" s="1"/>
      <c r="T1514" s="109"/>
      <c r="W1514" s="130" t="str">
        <f t="shared" si="33"/>
        <v>1w</v>
      </c>
      <c r="X1514" s="128">
        <f>_xll.qlCalendarAdvance(Calendar,X1513,W1514,"f",FALSE)</f>
        <v>49860</v>
      </c>
      <c r="Y1514" s="131">
        <f>_xll.qlCalendarAdvance(Calendar,X1514,NDays&amp;"D")</f>
        <v>49864</v>
      </c>
      <c r="Z1514" s="132">
        <v>1.791069041045858E-2</v>
      </c>
      <c r="AA1514" s="129">
        <v>1.7953271947650506E-2</v>
      </c>
    </row>
    <row r="1515" spans="19:27" x14ac:dyDescent="0.2">
      <c r="S1515" s="1"/>
      <c r="T1515" s="109"/>
      <c r="W1515" s="130" t="str">
        <f t="shared" si="33"/>
        <v>1w</v>
      </c>
      <c r="X1515" s="128">
        <f>_xll.qlCalendarAdvance(Calendar,X1514,W1515,"f",FALSE)</f>
        <v>49867</v>
      </c>
      <c r="Y1515" s="131">
        <f>_xll.qlCalendarAdvance(Calendar,X1515,NDays&amp;"D")</f>
        <v>49871</v>
      </c>
      <c r="Z1515" s="132">
        <v>1.7897993411306507E-2</v>
      </c>
      <c r="AA1515" s="129">
        <v>1.7940312465603014E-2</v>
      </c>
    </row>
    <row r="1516" spans="19:27" x14ac:dyDescent="0.2">
      <c r="S1516" s="1"/>
      <c r="T1516" s="109"/>
      <c r="W1516" s="130" t="str">
        <f t="shared" si="33"/>
        <v>1w</v>
      </c>
      <c r="X1516" s="128">
        <f>_xll.qlCalendarAdvance(Calendar,X1515,W1516,"f",FALSE)</f>
        <v>49874</v>
      </c>
      <c r="Y1516" s="131">
        <f>_xll.qlCalendarAdvance(Calendar,X1516,NDays&amp;"D")</f>
        <v>49878</v>
      </c>
      <c r="Z1516" s="132">
        <v>1.788534585765517E-2</v>
      </c>
      <c r="AA1516" s="129">
        <v>1.7927402166213469E-2</v>
      </c>
    </row>
    <row r="1517" spans="19:27" x14ac:dyDescent="0.2">
      <c r="S1517" s="1"/>
      <c r="T1517" s="109"/>
      <c r="W1517" s="130" t="str">
        <f t="shared" si="33"/>
        <v>1w</v>
      </c>
      <c r="X1517" s="128">
        <f>_xll.qlCalendarAdvance(Calendar,X1516,W1517,"f",FALSE)</f>
        <v>49881</v>
      </c>
      <c r="Y1517" s="131">
        <f>_xll.qlCalendarAdvance(Calendar,X1517,NDays&amp;"D")</f>
        <v>49885</v>
      </c>
      <c r="Z1517" s="132">
        <v>1.7872747749025825E-2</v>
      </c>
      <c r="AA1517" s="129">
        <v>1.7914541049401933E-2</v>
      </c>
    </row>
    <row r="1518" spans="19:27" x14ac:dyDescent="0.2">
      <c r="S1518" s="1"/>
      <c r="T1518" s="109"/>
      <c r="W1518" s="130" t="str">
        <f t="shared" si="33"/>
        <v>1w</v>
      </c>
      <c r="X1518" s="128">
        <f>_xll.qlCalendarAdvance(Calendar,X1517,W1518,"f",FALSE)</f>
        <v>49888</v>
      </c>
      <c r="Y1518" s="131">
        <f>_xll.qlCalendarAdvance(Calendar,X1518,NDays&amp;"D")</f>
        <v>49892</v>
      </c>
      <c r="Z1518" s="132">
        <v>1.7860199084945801E-2</v>
      </c>
      <c r="AA1518" s="129">
        <v>1.7901729115088472E-2</v>
      </c>
    </row>
    <row r="1519" spans="19:27" x14ac:dyDescent="0.2">
      <c r="S1519" s="1"/>
      <c r="T1519" s="109"/>
      <c r="W1519" s="130" t="str">
        <f t="shared" si="33"/>
        <v>1w</v>
      </c>
      <c r="X1519" s="128">
        <f>_xll.qlCalendarAdvance(Calendar,X1518,W1519,"f",FALSE)</f>
        <v>49895</v>
      </c>
      <c r="Y1519" s="131">
        <f>_xll.qlCalendarAdvance(Calendar,X1519,NDays&amp;"D")</f>
        <v>49899</v>
      </c>
      <c r="Z1519" s="132">
        <v>1.7847699864939833E-2</v>
      </c>
      <c r="AA1519" s="129">
        <v>1.7888966363512893E-2</v>
      </c>
    </row>
    <row r="1520" spans="19:27" x14ac:dyDescent="0.2">
      <c r="S1520" s="1"/>
      <c r="T1520" s="109"/>
      <c r="W1520" s="130" t="str">
        <f t="shared" si="33"/>
        <v>1w</v>
      </c>
      <c r="X1520" s="128">
        <f>_xll.qlCalendarAdvance(Calendar,X1519,W1520,"f",FALSE)</f>
        <v>49902</v>
      </c>
      <c r="Y1520" s="131">
        <f>_xll.qlCalendarAdvance(Calendar,X1520,NDays&amp;"D")</f>
        <v>49906</v>
      </c>
      <c r="Z1520" s="132">
        <v>1.7835250088539596E-2</v>
      </c>
      <c r="AA1520" s="129">
        <v>1.7876252794515324E-2</v>
      </c>
    </row>
    <row r="1521" spans="19:27" x14ac:dyDescent="0.2">
      <c r="S1521" s="1"/>
      <c r="T1521" s="109"/>
      <c r="W1521" s="130" t="str">
        <f t="shared" si="33"/>
        <v>1w</v>
      </c>
      <c r="X1521" s="128">
        <f>_xll.qlCalendarAdvance(Calendar,X1520,W1521,"f",FALSE)</f>
        <v>49909</v>
      </c>
      <c r="Y1521" s="131">
        <f>_xll.qlCalendarAdvance(Calendar,X1521,NDays&amp;"D")</f>
        <v>49913</v>
      </c>
      <c r="Z1521" s="132">
        <v>1.7822849755270685E-2</v>
      </c>
      <c r="AA1521" s="129">
        <v>1.7863588408015829E-2</v>
      </c>
    </row>
    <row r="1522" spans="19:27" x14ac:dyDescent="0.2">
      <c r="S1522" s="1"/>
      <c r="T1522" s="109"/>
      <c r="W1522" s="130" t="str">
        <f t="shared" si="33"/>
        <v>1w</v>
      </c>
      <c r="X1522" s="128">
        <f>_xll.qlCalendarAdvance(Calendar,X1521,W1522,"f",FALSE)</f>
        <v>49916</v>
      </c>
      <c r="Y1522" s="131">
        <f>_xll.qlCalendarAdvance(Calendar,X1522,NDays&amp;"D")</f>
        <v>49920</v>
      </c>
      <c r="Z1522" s="132">
        <v>1.7810931799926603E-2</v>
      </c>
      <c r="AA1522" s="129">
        <v>1.7850973204254217E-2</v>
      </c>
    </row>
    <row r="1523" spans="19:27" x14ac:dyDescent="0.2">
      <c r="S1523" s="1"/>
      <c r="T1523" s="109"/>
      <c r="W1523" s="130" t="str">
        <f t="shared" si="33"/>
        <v>1w</v>
      </c>
      <c r="X1523" s="128">
        <f>_xll.qlCalendarAdvance(Calendar,X1522,W1523,"f",FALSE)</f>
        <v>49923</v>
      </c>
      <c r="Y1523" s="131">
        <f>_xll.qlCalendarAdvance(Calendar,X1523,NDays&amp;"D")</f>
        <v>49927</v>
      </c>
      <c r="Z1523" s="132">
        <v>1.7798627427176032E-2</v>
      </c>
      <c r="AA1523" s="129">
        <v>1.7838407182990679E-2</v>
      </c>
    </row>
    <row r="1524" spans="19:27" x14ac:dyDescent="0.2">
      <c r="S1524" s="1"/>
      <c r="T1524" s="109"/>
      <c r="W1524" s="130" t="str">
        <f t="shared" si="33"/>
        <v>1w</v>
      </c>
      <c r="X1524" s="128">
        <f>_xll.qlCalendarAdvance(Calendar,X1523,W1524,"f",FALSE)</f>
        <v>49930</v>
      </c>
      <c r="Y1524" s="131">
        <f>_xll.qlCalendarAdvance(Calendar,X1524,NDays&amp;"D")</f>
        <v>49934</v>
      </c>
      <c r="Z1524" s="132">
        <v>1.7786372493339083E-2</v>
      </c>
      <c r="AA1524" s="129">
        <v>1.7825890344305151E-2</v>
      </c>
    </row>
    <row r="1525" spans="19:27" x14ac:dyDescent="0.2">
      <c r="S1525" s="1"/>
      <c r="T1525" s="109"/>
      <c r="W1525" s="130" t="str">
        <f t="shared" si="33"/>
        <v>1w</v>
      </c>
      <c r="X1525" s="128">
        <f>_xll.qlCalendarAdvance(Calendar,X1524,W1525,"f",FALSE)</f>
        <v>49937</v>
      </c>
      <c r="Y1525" s="131">
        <f>_xll.qlCalendarAdvance(Calendar,X1525,NDays&amp;"D")</f>
        <v>49941</v>
      </c>
      <c r="Z1525" s="132">
        <v>1.7774166997958977E-2</v>
      </c>
      <c r="AA1525" s="129">
        <v>1.7813422688197633E-2</v>
      </c>
    </row>
    <row r="1526" spans="19:27" x14ac:dyDescent="0.2">
      <c r="S1526" s="1"/>
      <c r="T1526" s="109"/>
      <c r="W1526" s="130" t="str">
        <f t="shared" si="33"/>
        <v>1w</v>
      </c>
      <c r="X1526" s="128">
        <f>_xll.qlCalendarAdvance(Calendar,X1525,W1526,"f",FALSE)</f>
        <v>49944</v>
      </c>
      <c r="Y1526" s="131">
        <f>_xll.qlCalendarAdvance(Calendar,X1526,NDays&amp;"D")</f>
        <v>49948</v>
      </c>
      <c r="Z1526" s="132">
        <v>1.7761589719642108E-2</v>
      </c>
      <c r="AA1526" s="129">
        <v>1.7801004214748062E-2</v>
      </c>
    </row>
    <row r="1527" spans="19:27" x14ac:dyDescent="0.2">
      <c r="S1527" s="1"/>
      <c r="T1527" s="109"/>
      <c r="W1527" s="130" t="str">
        <f t="shared" si="33"/>
        <v>1w</v>
      </c>
      <c r="X1527" s="128">
        <f>_xll.qlCalendarAdvance(Calendar,X1526,W1527,"f",FALSE)</f>
        <v>49951</v>
      </c>
      <c r="Y1527" s="131">
        <f>_xll.qlCalendarAdvance(Calendar,X1527,NDays&amp;"D")</f>
        <v>49955</v>
      </c>
      <c r="Z1527" s="132">
        <v>1.774948603542461E-2</v>
      </c>
      <c r="AA1527" s="129">
        <v>1.7788634923716629E-2</v>
      </c>
    </row>
    <row r="1528" spans="19:27" x14ac:dyDescent="0.2">
      <c r="S1528" s="1"/>
      <c r="T1528" s="109"/>
      <c r="W1528" s="130" t="str">
        <f t="shared" si="33"/>
        <v>1w</v>
      </c>
      <c r="X1528" s="128">
        <f>_xll.qlCalendarAdvance(Calendar,X1527,W1528,"f",FALSE)</f>
        <v>49958</v>
      </c>
      <c r="Y1528" s="131">
        <f>_xll.qlCalendarAdvance(Calendar,X1528,NDays&amp;"D")</f>
        <v>49962</v>
      </c>
      <c r="Z1528" s="132">
        <v>1.7737431791104503E-2</v>
      </c>
      <c r="AA1528" s="129">
        <v>1.7776314815263206E-2</v>
      </c>
    </row>
    <row r="1529" spans="19:27" x14ac:dyDescent="0.2">
      <c r="S1529" s="1"/>
      <c r="T1529" s="109"/>
      <c r="W1529" s="130" t="str">
        <f t="shared" si="33"/>
        <v>1w</v>
      </c>
      <c r="X1529" s="128">
        <f>_xll.qlCalendarAdvance(Calendar,X1528,W1529,"f",FALSE)</f>
        <v>49965</v>
      </c>
      <c r="Y1529" s="131">
        <f>_xll.qlCalendarAdvance(Calendar,X1529,NDays&amp;"D")</f>
        <v>49969</v>
      </c>
      <c r="Z1529" s="132">
        <v>1.7725426986231717E-2</v>
      </c>
      <c r="AA1529" s="129">
        <v>1.7764043889467729E-2</v>
      </c>
    </row>
    <row r="1530" spans="19:27" x14ac:dyDescent="0.2">
      <c r="S1530" s="1"/>
      <c r="T1530" s="109"/>
      <c r="W1530" s="130" t="str">
        <f t="shared" si="33"/>
        <v>1w</v>
      </c>
      <c r="X1530" s="128">
        <f>_xll.qlCalendarAdvance(Calendar,X1529,W1530,"f",FALSE)</f>
        <v>49972</v>
      </c>
      <c r="Y1530" s="131">
        <f>_xll.qlCalendarAdvance(Calendar,X1530,NDays&amp;"D")</f>
        <v>49976</v>
      </c>
      <c r="Z1530" s="132">
        <v>1.7713471620349221E-2</v>
      </c>
      <c r="AA1530" s="129">
        <v>1.7751822146170326E-2</v>
      </c>
    </row>
    <row r="1531" spans="19:27" x14ac:dyDescent="0.2">
      <c r="S1531" s="1"/>
      <c r="T1531" s="109"/>
      <c r="W1531" s="130" t="str">
        <f t="shared" si="33"/>
        <v>1w</v>
      </c>
      <c r="X1531" s="128">
        <f>_xll.qlCalendarAdvance(Calendar,X1530,W1531,"f",FALSE)</f>
        <v>49979</v>
      </c>
      <c r="Y1531" s="131">
        <f>_xll.qlCalendarAdvance(Calendar,X1531,NDays&amp;"D")</f>
        <v>49983</v>
      </c>
      <c r="Z1531" s="132">
        <v>1.7701565693009555E-2</v>
      </c>
      <c r="AA1531" s="129">
        <v>1.7739649585370998E-2</v>
      </c>
    </row>
    <row r="1532" spans="19:27" x14ac:dyDescent="0.2">
      <c r="S1532" s="1"/>
      <c r="T1532" s="109"/>
      <c r="W1532" s="130" t="str">
        <f t="shared" si="33"/>
        <v>1w</v>
      </c>
      <c r="X1532" s="128">
        <f>_xll.qlCalendarAdvance(Calendar,X1531,W1532,"f",FALSE)</f>
        <v>49986</v>
      </c>
      <c r="Y1532" s="131">
        <f>_xll.qlCalendarAdvance(Calendar,X1532,NDays&amp;"D")</f>
        <v>49990</v>
      </c>
      <c r="Z1532" s="132">
        <v>1.7689709203761766E-2</v>
      </c>
      <c r="AA1532" s="129">
        <v>1.7727526207069744E-2</v>
      </c>
    </row>
    <row r="1533" spans="19:27" x14ac:dyDescent="0.2">
      <c r="S1533" s="1"/>
      <c r="T1533" s="109"/>
      <c r="W1533" s="130" t="str">
        <f t="shared" si="33"/>
        <v>1w</v>
      </c>
      <c r="X1533" s="128">
        <f>_xll.qlCalendarAdvance(Calendar,X1532,W1533,"f",FALSE)</f>
        <v>49993</v>
      </c>
      <c r="Y1533" s="131">
        <f>_xll.qlCalendarAdvance(Calendar,X1533,NDays&amp;"D")</f>
        <v>49997</v>
      </c>
      <c r="Z1533" s="132">
        <v>1.7677902152158389E-2</v>
      </c>
      <c r="AA1533" s="129">
        <v>1.7715452011426436E-2</v>
      </c>
    </row>
    <row r="1534" spans="19:27" x14ac:dyDescent="0.2">
      <c r="S1534" s="1"/>
      <c r="T1534" s="109"/>
      <c r="W1534" s="130" t="str">
        <f t="shared" si="33"/>
        <v>1w</v>
      </c>
      <c r="X1534" s="128">
        <f>_xll.qlCalendarAdvance(Calendar,X1533,W1534,"f",FALSE)</f>
        <v>50000</v>
      </c>
      <c r="Y1534" s="131">
        <f>_xll.qlCalendarAdvance(Calendar,X1534,NDays&amp;"D")</f>
        <v>50004</v>
      </c>
      <c r="Z1534" s="132">
        <v>1.7666144537756303E-2</v>
      </c>
      <c r="AA1534" s="129">
        <v>1.7703426998201266E-2</v>
      </c>
    </row>
    <row r="1535" spans="19:27" x14ac:dyDescent="0.2">
      <c r="S1535" s="1"/>
      <c r="T1535" s="109"/>
      <c r="W1535" s="130" t="str">
        <f t="shared" si="33"/>
        <v>1w</v>
      </c>
      <c r="X1535" s="128">
        <f>_xll.qlCalendarAdvance(Calendar,X1534,W1535,"f",FALSE)</f>
        <v>50007</v>
      </c>
      <c r="Y1535" s="131">
        <f>_xll.qlCalendarAdvance(Calendar,X1535,NDays&amp;"D")</f>
        <v>50011</v>
      </c>
      <c r="Z1535" s="132">
        <v>1.7655226029305915E-2</v>
      </c>
      <c r="AA1535" s="129">
        <v>1.7691451167554106E-2</v>
      </c>
    </row>
    <row r="1536" spans="19:27" x14ac:dyDescent="0.2">
      <c r="S1536" s="1"/>
      <c r="T1536" s="109"/>
      <c r="W1536" s="130" t="str">
        <f t="shared" si="33"/>
        <v>1w</v>
      </c>
      <c r="X1536" s="128">
        <f>_xll.qlCalendarAdvance(Calendar,X1535,W1536,"f",FALSE)</f>
        <v>50014</v>
      </c>
      <c r="Y1536" s="131">
        <f>_xll.qlCalendarAdvance(Calendar,X1536,NDays&amp;"D")</f>
        <v>50018</v>
      </c>
      <c r="Z1536" s="132">
        <v>1.7643561367002292E-2</v>
      </c>
      <c r="AA1536" s="129">
        <v>1.7679524519484957E-2</v>
      </c>
    </row>
    <row r="1537" spans="19:27" x14ac:dyDescent="0.2">
      <c r="S1537" s="1"/>
      <c r="T1537" s="109"/>
      <c r="W1537" s="130" t="str">
        <f t="shared" si="33"/>
        <v>1w</v>
      </c>
      <c r="X1537" s="128">
        <f>_xll.qlCalendarAdvance(Calendar,X1536,W1537,"f",FALSE)</f>
        <v>50021</v>
      </c>
      <c r="Y1537" s="131">
        <f>_xll.qlCalendarAdvance(Calendar,X1537,NDays&amp;"D")</f>
        <v>50025</v>
      </c>
      <c r="Z1537" s="132">
        <v>1.7631946135051813E-2</v>
      </c>
      <c r="AA1537" s="129">
        <v>1.7667647053833946E-2</v>
      </c>
    </row>
    <row r="1538" spans="19:27" x14ac:dyDescent="0.2">
      <c r="S1538" s="1"/>
      <c r="T1538" s="109"/>
      <c r="W1538" s="130" t="str">
        <f t="shared" si="33"/>
        <v>1w</v>
      </c>
      <c r="X1538" s="128">
        <f>_xll.qlCalendarAdvance(Calendar,X1537,W1538,"f",FALSE)</f>
        <v>50028</v>
      </c>
      <c r="Y1538" s="131">
        <f>_xll.qlCalendarAdvance(Calendar,X1538,NDays&amp;"D")</f>
        <v>50032</v>
      </c>
      <c r="Z1538" s="132">
        <v>1.7620380333025487E-2</v>
      </c>
      <c r="AA1538" s="129">
        <v>1.7655818770681009E-2</v>
      </c>
    </row>
    <row r="1539" spans="19:27" x14ac:dyDescent="0.2">
      <c r="S1539" s="1"/>
      <c r="T1539" s="109"/>
      <c r="W1539" s="130" t="str">
        <f t="shared" si="33"/>
        <v>1w</v>
      </c>
      <c r="X1539" s="128">
        <f>_xll.qlCalendarAdvance(Calendar,X1538,W1539,"f",FALSE)</f>
        <v>50038</v>
      </c>
      <c r="Y1539" s="131">
        <f>_xll.qlCalendarAdvance(Calendar,X1539,NDays&amp;"D")</f>
        <v>50040</v>
      </c>
      <c r="Z1539" s="132">
        <v>1.7607222799459699E-2</v>
      </c>
      <c r="AA1539" s="129">
        <v>1.7641954355904765E-2</v>
      </c>
    </row>
    <row r="1540" spans="19:27" x14ac:dyDescent="0.2">
      <c r="S1540" s="1"/>
      <c r="T1540" s="109"/>
      <c r="W1540" s="130" t="str">
        <f t="shared" si="33"/>
        <v>1w</v>
      </c>
      <c r="X1540" s="128">
        <f>_xll.qlCalendarAdvance(Calendar,X1539,W1540,"f",FALSE)</f>
        <v>50045</v>
      </c>
      <c r="Y1540" s="131">
        <f>_xll.qlCalendarAdvance(Calendar,X1540,NDays&amp;"D")</f>
        <v>50047</v>
      </c>
      <c r="Z1540" s="132">
        <v>1.7595762917267166E-2</v>
      </c>
      <c r="AA1540" s="129">
        <v>1.7630638064360937E-2</v>
      </c>
    </row>
    <row r="1541" spans="19:27" x14ac:dyDescent="0.2">
      <c r="S1541" s="1"/>
      <c r="T1541" s="109"/>
      <c r="W1541" s="130" t="str">
        <f t="shared" si="33"/>
        <v>1w</v>
      </c>
      <c r="X1541" s="128">
        <f>_xll.qlCalendarAdvance(Calendar,X1540,W1541,"f",FALSE)</f>
        <v>50052</v>
      </c>
      <c r="Y1541" s="131">
        <f>_xll.qlCalendarAdvance(Calendar,X1541,NDays&amp;"D")</f>
        <v>50054</v>
      </c>
      <c r="Z1541" s="132">
        <v>1.7584352463666519E-2</v>
      </c>
      <c r="AA1541" s="129">
        <v>1.7618964354841893E-2</v>
      </c>
    </row>
    <row r="1542" spans="19:27" x14ac:dyDescent="0.2">
      <c r="S1542" s="1"/>
      <c r="T1542" s="109"/>
      <c r="W1542" s="130" t="str">
        <f t="shared" si="33"/>
        <v>1w</v>
      </c>
      <c r="X1542" s="128">
        <f>_xll.qlCalendarAdvance(Calendar,X1541,W1542,"f",FALSE)</f>
        <v>50059</v>
      </c>
      <c r="Y1542" s="131">
        <f>_xll.qlCalendarAdvance(Calendar,X1542,NDays&amp;"D")</f>
        <v>50061</v>
      </c>
      <c r="Z1542" s="132">
        <v>1.7572991438232322E-2</v>
      </c>
      <c r="AA1542" s="129">
        <v>1.760733982766105E-2</v>
      </c>
    </row>
    <row r="1543" spans="19:27" x14ac:dyDescent="0.2">
      <c r="S1543" s="1"/>
      <c r="T1543" s="109"/>
      <c r="W1543" s="130" t="str">
        <f t="shared" si="33"/>
        <v>1w</v>
      </c>
      <c r="X1543" s="128">
        <f>_xll.qlCalendarAdvance(Calendar,X1542,W1543,"f",FALSE)</f>
        <v>50066</v>
      </c>
      <c r="Y1543" s="131">
        <f>_xll.qlCalendarAdvance(Calendar,X1543,NDays&amp;"D")</f>
        <v>50068</v>
      </c>
      <c r="Z1543" s="132">
        <v>1.7561679840549793E-2</v>
      </c>
      <c r="AA1543" s="129">
        <v>1.7595764483138154E-2</v>
      </c>
    </row>
    <row r="1544" spans="19:27" x14ac:dyDescent="0.2">
      <c r="S1544" s="1"/>
      <c r="T1544" s="109"/>
      <c r="W1544" s="130" t="str">
        <f t="shared" si="33"/>
        <v>1w</v>
      </c>
      <c r="X1544" s="128">
        <f>_xll.qlCalendarAdvance(Calendar,X1543,W1544,"f",FALSE)</f>
        <v>50073</v>
      </c>
      <c r="Y1544" s="131">
        <f>_xll.qlCalendarAdvance(Calendar,X1544,NDays&amp;"D")</f>
        <v>50075</v>
      </c>
      <c r="Z1544" s="132">
        <v>1.7550785744180068E-2</v>
      </c>
      <c r="AA1544" s="129">
        <v>1.7584238321033396E-2</v>
      </c>
    </row>
    <row r="1545" spans="19:27" x14ac:dyDescent="0.2">
      <c r="S1545" s="1"/>
      <c r="T1545" s="109"/>
      <c r="W1545" s="130" t="str">
        <f t="shared" si="33"/>
        <v>1w</v>
      </c>
      <c r="X1545" s="128">
        <f>_xll.qlCalendarAdvance(Calendar,X1544,W1545,"f",FALSE)</f>
        <v>50080</v>
      </c>
      <c r="Y1545" s="131">
        <f>_xll.qlCalendarAdvance(Calendar,X1545,NDays&amp;"D")</f>
        <v>50082</v>
      </c>
      <c r="Z1545" s="132">
        <v>1.7539570015736108E-2</v>
      </c>
      <c r="AA1545" s="129">
        <v>1.7572761341346776E-2</v>
      </c>
    </row>
    <row r="1546" spans="19:27" x14ac:dyDescent="0.2">
      <c r="S1546" s="1"/>
      <c r="T1546" s="109"/>
      <c r="W1546" s="130" t="str">
        <f t="shared" si="33"/>
        <v>1w</v>
      </c>
      <c r="X1546" s="128">
        <f>_xll.qlCalendarAdvance(Calendar,X1545,W1546,"f",FALSE)</f>
        <v>50087</v>
      </c>
      <c r="Y1546" s="131">
        <f>_xll.qlCalendarAdvance(Calendar,X1546,NDays&amp;"D")</f>
        <v>50089</v>
      </c>
      <c r="Z1546" s="132">
        <v>1.7528403711075866E-2</v>
      </c>
      <c r="AA1546" s="129">
        <v>1.7561333544318103E-2</v>
      </c>
    </row>
    <row r="1547" spans="19:27" x14ac:dyDescent="0.2">
      <c r="S1547" s="1"/>
      <c r="T1547" s="109"/>
      <c r="W1547" s="130" t="str">
        <f t="shared" si="33"/>
        <v>1w</v>
      </c>
      <c r="X1547" s="128">
        <f>_xll.qlCalendarAdvance(Calendar,X1546,W1547,"f",FALSE)</f>
        <v>50094</v>
      </c>
      <c r="Y1547" s="131">
        <f>_xll.qlCalendarAdvance(Calendar,X1547,NDays&amp;"D")</f>
        <v>50096</v>
      </c>
      <c r="Z1547" s="132">
        <v>1.7517286829790681E-2</v>
      </c>
      <c r="AA1547" s="129">
        <v>1.7549954929467759E-2</v>
      </c>
    </row>
    <row r="1548" spans="19:27" x14ac:dyDescent="0.2">
      <c r="S1548" s="1"/>
      <c r="T1548" s="109"/>
      <c r="W1548" s="130" t="str">
        <f t="shared" si="33"/>
        <v>1w</v>
      </c>
      <c r="X1548" s="128">
        <f>_xll.qlCalendarAdvance(Calendar,X1547,W1548,"f",FALSE)</f>
        <v>50101</v>
      </c>
      <c r="Y1548" s="131">
        <f>_xll.qlCalendarAdvance(Calendar,X1548,NDays&amp;"D")</f>
        <v>50103</v>
      </c>
      <c r="Z1548" s="132">
        <v>1.7505151841029392E-2</v>
      </c>
      <c r="AA1548" s="129">
        <v>1.7538625497275362E-2</v>
      </c>
    </row>
    <row r="1549" spans="19:27" x14ac:dyDescent="0.2">
      <c r="S1549" s="1"/>
      <c r="T1549" s="109"/>
      <c r="W1549" s="130" t="str">
        <f t="shared" si="33"/>
        <v>1w</v>
      </c>
      <c r="X1549" s="128">
        <f>_xll.qlCalendarAdvance(Calendar,X1548,W1549,"f",FALSE)</f>
        <v>50108</v>
      </c>
      <c r="Y1549" s="131">
        <f>_xll.qlCalendarAdvance(Calendar,X1549,NDays&amp;"D")</f>
        <v>50110</v>
      </c>
      <c r="Z1549" s="132">
        <v>1.7494142793961512E-2</v>
      </c>
      <c r="AA1549" s="129">
        <v>1.7527345247581039E-2</v>
      </c>
    </row>
    <row r="1550" spans="19:27" x14ac:dyDescent="0.2">
      <c r="S1550" s="1"/>
      <c r="T1550" s="109"/>
      <c r="W1550" s="130" t="str">
        <f t="shared" si="33"/>
        <v>1w</v>
      </c>
      <c r="X1550" s="128">
        <f>_xll.qlCalendarAdvance(Calendar,X1549,W1550,"f",FALSE)</f>
        <v>50115</v>
      </c>
      <c r="Y1550" s="131">
        <f>_xll.qlCalendarAdvance(Calendar,X1550,NDays&amp;"D")</f>
        <v>50117</v>
      </c>
      <c r="Z1550" s="132">
        <v>1.7483183177161337E-2</v>
      </c>
      <c r="AA1550" s="129">
        <v>1.7516114180065046E-2</v>
      </c>
    </row>
    <row r="1551" spans="19:27" x14ac:dyDescent="0.2">
      <c r="S1551" s="1"/>
      <c r="T1551" s="109"/>
      <c r="W1551" s="130" t="str">
        <f t="shared" si="33"/>
        <v>1w</v>
      </c>
      <c r="X1551" s="128">
        <f>_xll.qlCalendarAdvance(Calendar,X1550,W1551,"f",FALSE)</f>
        <v>50122</v>
      </c>
      <c r="Y1551" s="131">
        <f>_xll.qlCalendarAdvance(Calendar,X1551,NDays&amp;"D")</f>
        <v>50124</v>
      </c>
      <c r="Z1551" s="132">
        <v>1.7472272990219629E-2</v>
      </c>
      <c r="AA1551" s="129">
        <v>1.7504932295286935E-2</v>
      </c>
    </row>
    <row r="1552" spans="19:27" x14ac:dyDescent="0.2">
      <c r="S1552" s="1"/>
      <c r="T1552" s="109"/>
      <c r="W1552" s="130" t="str">
        <f t="shared" si="33"/>
        <v>1w</v>
      </c>
      <c r="X1552" s="128">
        <f>_xll.qlCalendarAdvance(Calendar,X1551,W1552,"f",FALSE)</f>
        <v>50129</v>
      </c>
      <c r="Y1552" s="131">
        <f>_xll.qlCalendarAdvance(Calendar,X1552,NDays&amp;"D")</f>
        <v>50131</v>
      </c>
      <c r="Z1552" s="132">
        <v>1.7461755799496402E-2</v>
      </c>
      <c r="AA1552" s="129">
        <v>1.7493799592847026E-2</v>
      </c>
    </row>
    <row r="1553" spans="19:27" x14ac:dyDescent="0.2">
      <c r="S1553" s="1"/>
      <c r="T1553" s="109"/>
      <c r="W1553" s="130" t="str">
        <f t="shared" si="33"/>
        <v>1w</v>
      </c>
      <c r="X1553" s="128">
        <f>_xll.qlCalendarAdvance(Calendar,X1552,W1553,"f",FALSE)</f>
        <v>50137</v>
      </c>
      <c r="Y1553" s="131">
        <f>_xll.qlCalendarAdvance(Calendar,X1553,NDays&amp;"D")</f>
        <v>50139</v>
      </c>
      <c r="Z1553" s="132">
        <v>1.7449400593329233E-2</v>
      </c>
      <c r="AA1553" s="129">
        <v>1.7481136727690583E-2</v>
      </c>
    </row>
    <row r="1554" spans="19:27" x14ac:dyDescent="0.2">
      <c r="S1554" s="1"/>
      <c r="T1554" s="109"/>
      <c r="W1554" s="130" t="str">
        <f t="shared" si="33"/>
        <v>1w</v>
      </c>
      <c r="X1554" s="128">
        <f>_xll.qlCalendarAdvance(Calendar,X1553,W1554,"f",FALSE)</f>
        <v>50144</v>
      </c>
      <c r="Y1554" s="131">
        <f>_xll.qlCalendarAdvance(Calendar,X1554,NDays&amp;"D")</f>
        <v>50146</v>
      </c>
      <c r="Z1554" s="132">
        <v>1.7438642744262281E-2</v>
      </c>
      <c r="AA1554" s="129">
        <v>1.7470109416146684E-2</v>
      </c>
    </row>
    <row r="1555" spans="19:27" x14ac:dyDescent="0.2">
      <c r="S1555" s="1"/>
      <c r="T1555" s="109"/>
      <c r="W1555" s="130" t="str">
        <f t="shared" si="33"/>
        <v>1w</v>
      </c>
      <c r="X1555" s="128">
        <f>_xll.qlCalendarAdvance(Calendar,X1554,W1555,"f",FALSE)</f>
        <v>50151</v>
      </c>
      <c r="Y1555" s="131">
        <f>_xll.qlCalendarAdvance(Calendar,X1555,NDays&amp;"D")</f>
        <v>50153</v>
      </c>
      <c r="Z1555" s="132">
        <v>1.7427934320680575E-2</v>
      </c>
      <c r="AA1555" s="129">
        <v>1.745913128710086E-2</v>
      </c>
    </row>
    <row r="1556" spans="19:27" x14ac:dyDescent="0.2">
      <c r="S1556" s="1"/>
      <c r="T1556" s="109"/>
      <c r="W1556" s="130" t="str">
        <f t="shared" si="33"/>
        <v>1w</v>
      </c>
      <c r="X1556" s="128">
        <f>_xll.qlCalendarAdvance(Calendar,X1555,W1556,"f",FALSE)</f>
        <v>50158</v>
      </c>
      <c r="Y1556" s="131">
        <f>_xll.qlCalendarAdvance(Calendar,X1556,NDays&amp;"D")</f>
        <v>50160</v>
      </c>
      <c r="Z1556" s="132">
        <v>1.7416944231948141E-2</v>
      </c>
      <c r="AA1556" s="129">
        <v>1.7447135649857337E-2</v>
      </c>
    </row>
    <row r="1557" spans="19:27" x14ac:dyDescent="0.2">
      <c r="S1557" s="1"/>
      <c r="T1557" s="109"/>
      <c r="W1557" s="130" t="str">
        <f t="shared" ref="W1557:W1620" si="34">W1556</f>
        <v>1w</v>
      </c>
      <c r="X1557" s="128">
        <f>_xll.qlCalendarAdvance(Calendar,X1556,W1557,"f",FALSE)</f>
        <v>50165</v>
      </c>
      <c r="Y1557" s="131">
        <f>_xll.qlCalendarAdvance(Calendar,X1557,NDays&amp;"D")</f>
        <v>50167</v>
      </c>
      <c r="Z1557" s="132">
        <v>1.7406337676596738E-2</v>
      </c>
      <c r="AA1557" s="129">
        <v>1.7437322576183689E-2</v>
      </c>
    </row>
    <row r="1558" spans="19:27" x14ac:dyDescent="0.2">
      <c r="S1558" s="1"/>
      <c r="T1558" s="109"/>
      <c r="W1558" s="130" t="str">
        <f t="shared" si="34"/>
        <v>1w</v>
      </c>
      <c r="X1558" s="128">
        <f>_xll.qlCalendarAdvance(Calendar,X1557,W1558,"f",FALSE)</f>
        <v>50172</v>
      </c>
      <c r="Y1558" s="131">
        <f>_xll.qlCalendarAdvance(Calendar,X1558,NDays&amp;"D")</f>
        <v>50174</v>
      </c>
      <c r="Z1558" s="132">
        <v>1.7395780548202646E-2</v>
      </c>
      <c r="AA1558" s="129">
        <v>1.7426491994312343E-2</v>
      </c>
    </row>
    <row r="1559" spans="19:27" x14ac:dyDescent="0.2">
      <c r="S1559" s="1"/>
      <c r="T1559" s="109"/>
      <c r="W1559" s="130" t="str">
        <f t="shared" si="34"/>
        <v>1w</v>
      </c>
      <c r="X1559" s="128">
        <f>_xll.qlCalendarAdvance(Calendar,X1558,W1559,"f",FALSE)</f>
        <v>50179</v>
      </c>
      <c r="Y1559" s="131">
        <f>_xll.qlCalendarAdvance(Calendar,X1559,NDays&amp;"D")</f>
        <v>50181</v>
      </c>
      <c r="Z1559" s="132">
        <v>1.7385272846370526E-2</v>
      </c>
      <c r="AA1559" s="129">
        <v>1.7415710594939071E-2</v>
      </c>
    </row>
    <row r="1560" spans="19:27" x14ac:dyDescent="0.2">
      <c r="S1560" s="1"/>
      <c r="T1560" s="109"/>
      <c r="W1560" s="130" t="str">
        <f t="shared" si="34"/>
        <v>1w</v>
      </c>
      <c r="X1560" s="128">
        <f>_xll.qlCalendarAdvance(Calendar,X1559,W1560,"f",FALSE)</f>
        <v>50186</v>
      </c>
      <c r="Y1560" s="131">
        <f>_xll.qlCalendarAdvance(Calendar,X1560,NDays&amp;"D")</f>
        <v>50188</v>
      </c>
      <c r="Z1560" s="132">
        <v>1.7374814570701568E-2</v>
      </c>
      <c r="AA1560" s="129">
        <v>1.7404978377904001E-2</v>
      </c>
    </row>
    <row r="1561" spans="19:27" x14ac:dyDescent="0.2">
      <c r="S1561" s="1"/>
      <c r="T1561" s="109"/>
      <c r="W1561" s="130" t="str">
        <f t="shared" si="34"/>
        <v>1w</v>
      </c>
      <c r="X1561" s="128">
        <f>_xll.qlCalendarAdvance(Calendar,X1560,W1561,"f",FALSE)</f>
        <v>50193</v>
      </c>
      <c r="Y1561" s="131">
        <f>_xll.qlCalendarAdvance(Calendar,X1561,NDays&amp;"D")</f>
        <v>50195</v>
      </c>
      <c r="Z1561" s="132">
        <v>1.7364405720802174E-2</v>
      </c>
      <c r="AA1561" s="129">
        <v>1.7394295343287069E-2</v>
      </c>
    </row>
    <row r="1562" spans="19:27" x14ac:dyDescent="0.2">
      <c r="S1562" s="1"/>
      <c r="T1562" s="109"/>
      <c r="W1562" s="130" t="str">
        <f t="shared" si="34"/>
        <v>1w</v>
      </c>
      <c r="X1562" s="128">
        <f>_xll.qlCalendarAdvance(Calendar,X1561,W1562,"f",FALSE)</f>
        <v>50200</v>
      </c>
      <c r="Y1562" s="131">
        <f>_xll.qlCalendarAdvance(Calendar,X1562,NDays&amp;"D")</f>
        <v>50202</v>
      </c>
      <c r="Z1562" s="132">
        <v>1.7354046296280488E-2</v>
      </c>
      <c r="AA1562" s="129">
        <v>1.7383661491088276E-2</v>
      </c>
    </row>
    <row r="1563" spans="19:27" x14ac:dyDescent="0.2">
      <c r="S1563" s="1"/>
      <c r="T1563" s="109"/>
      <c r="W1563" s="130" t="str">
        <f t="shared" si="34"/>
        <v>1w</v>
      </c>
      <c r="X1563" s="128">
        <f>_xll.qlCalendarAdvance(Calendar,X1562,W1563,"f",FALSE)</f>
        <v>50207</v>
      </c>
      <c r="Y1563" s="131">
        <f>_xll.qlCalendarAdvance(Calendar,X1563,NDays&amp;"D")</f>
        <v>50209</v>
      </c>
      <c r="Z1563" s="132">
        <v>1.7343736296744641E-2</v>
      </c>
      <c r="AA1563" s="129">
        <v>1.7373076821147748E-2</v>
      </c>
    </row>
    <row r="1564" spans="19:27" x14ac:dyDescent="0.2">
      <c r="S1564" s="1"/>
      <c r="T1564" s="109"/>
      <c r="W1564" s="130" t="str">
        <f t="shared" si="34"/>
        <v>1w</v>
      </c>
      <c r="X1564" s="128">
        <f>_xll.qlCalendarAdvance(Calendar,X1563,W1564,"f",FALSE)</f>
        <v>50214</v>
      </c>
      <c r="Y1564" s="131">
        <f>_xll.qlCalendarAdvance(Calendar,X1564,NDays&amp;"D")</f>
        <v>50216</v>
      </c>
      <c r="Z1564" s="132">
        <v>1.7333475721806255E-2</v>
      </c>
      <c r="AA1564" s="129">
        <v>1.7362541333705295E-2</v>
      </c>
    </row>
    <row r="1565" spans="19:27" x14ac:dyDescent="0.2">
      <c r="S1565" s="1"/>
      <c r="T1565" s="109"/>
      <c r="W1565" s="130" t="str">
        <f t="shared" si="34"/>
        <v>1w</v>
      </c>
      <c r="X1565" s="128">
        <f>_xll.qlCalendarAdvance(Calendar,X1564,W1565,"f",FALSE)</f>
        <v>50221</v>
      </c>
      <c r="Y1565" s="131">
        <f>_xll.qlCalendarAdvance(Calendar,X1565,NDays&amp;"D")</f>
        <v>50223</v>
      </c>
      <c r="Z1565" s="132">
        <v>1.7323264571080414E-2</v>
      </c>
      <c r="AA1565" s="129">
        <v>1.7352055028680979E-2</v>
      </c>
    </row>
    <row r="1566" spans="19:27" x14ac:dyDescent="0.2">
      <c r="S1566" s="1"/>
      <c r="T1566" s="109"/>
      <c r="W1566" s="130" t="str">
        <f t="shared" si="34"/>
        <v>1w</v>
      </c>
      <c r="X1566" s="128">
        <f>_xll.qlCalendarAdvance(Calendar,X1565,W1566,"f",FALSE)</f>
        <v>50228</v>
      </c>
      <c r="Y1566" s="131">
        <f>_xll.qlCalendarAdvance(Calendar,X1566,NDays&amp;"D")</f>
        <v>50230</v>
      </c>
      <c r="Z1566" s="132">
        <v>1.7313102844179609E-2</v>
      </c>
      <c r="AA1566" s="129">
        <v>1.7341617905994866E-2</v>
      </c>
    </row>
    <row r="1567" spans="19:27" x14ac:dyDescent="0.2">
      <c r="S1567" s="1"/>
      <c r="T1567" s="109"/>
      <c r="W1567" s="130" t="str">
        <f t="shared" si="34"/>
        <v>1w</v>
      </c>
      <c r="X1567" s="128">
        <f>_xll.qlCalendarAdvance(Calendar,X1566,W1567,"f",FALSE)</f>
        <v>50235</v>
      </c>
      <c r="Y1567" s="131">
        <f>_xll.qlCalendarAdvance(Calendar,X1567,NDays&amp;"D")</f>
        <v>50237</v>
      </c>
      <c r="Z1567" s="132">
        <v>1.730299054072066E-2</v>
      </c>
      <c r="AA1567" s="129">
        <v>1.7331229965646955E-2</v>
      </c>
    </row>
    <row r="1568" spans="19:27" x14ac:dyDescent="0.2">
      <c r="S1568" s="1"/>
      <c r="T1568" s="109"/>
      <c r="W1568" s="130" t="str">
        <f t="shared" si="34"/>
        <v>1w</v>
      </c>
      <c r="X1568" s="128">
        <f>_xll.qlCalendarAdvance(Calendar,X1567,W1568,"f",FALSE)</f>
        <v>50242</v>
      </c>
      <c r="Y1568" s="131">
        <f>_xll.qlCalendarAdvance(Calendar,X1568,NDays&amp;"D")</f>
        <v>50244</v>
      </c>
      <c r="Z1568" s="132">
        <v>1.7292927660323882E-2</v>
      </c>
      <c r="AA1568" s="129">
        <v>1.7320891207717182E-2</v>
      </c>
    </row>
    <row r="1569" spans="19:27" x14ac:dyDescent="0.2">
      <c r="S1569" s="1"/>
      <c r="T1569" s="109"/>
      <c r="W1569" s="130" t="str">
        <f t="shared" si="34"/>
        <v>1w</v>
      </c>
      <c r="X1569" s="128">
        <f>_xll.qlCalendarAdvance(Calendar,X1568,W1569,"f",FALSE)</f>
        <v>50249</v>
      </c>
      <c r="Y1569" s="131">
        <f>_xll.qlCalendarAdvance(Calendar,X1569,NDays&amp;"D")</f>
        <v>50251</v>
      </c>
      <c r="Z1569" s="132">
        <v>1.728291420260783E-2</v>
      </c>
      <c r="AA1569" s="129">
        <v>1.7310601632125611E-2</v>
      </c>
    </row>
    <row r="1570" spans="19:27" x14ac:dyDescent="0.2">
      <c r="S1570" s="1"/>
      <c r="T1570" s="109"/>
      <c r="W1570" s="130" t="str">
        <f t="shared" si="34"/>
        <v>1w</v>
      </c>
      <c r="X1570" s="128">
        <f>_xll.qlCalendarAdvance(Calendar,X1569,W1570,"f",FALSE)</f>
        <v>50256</v>
      </c>
      <c r="Y1570" s="131">
        <f>_xll.qlCalendarAdvance(Calendar,X1570,NDays&amp;"D")</f>
        <v>50258</v>
      </c>
      <c r="Z1570" s="132">
        <v>1.727295016719629E-2</v>
      </c>
      <c r="AA1570" s="129">
        <v>1.7300361238952178E-2</v>
      </c>
    </row>
    <row r="1571" spans="19:27" x14ac:dyDescent="0.2">
      <c r="S1571" s="1"/>
      <c r="T1571" s="109"/>
      <c r="W1571" s="130" t="str">
        <f t="shared" si="34"/>
        <v>1w</v>
      </c>
      <c r="X1571" s="128">
        <f>_xll.qlCalendarAdvance(Calendar,X1570,W1571,"f",FALSE)</f>
        <v>50263</v>
      </c>
      <c r="Y1571" s="131">
        <f>_xll.qlCalendarAdvance(Calendar,X1571,NDays&amp;"D")</f>
        <v>50265</v>
      </c>
      <c r="Z1571" s="132">
        <v>1.7263035553712169E-2</v>
      </c>
      <c r="AA1571" s="129">
        <v>1.7290170028037011E-2</v>
      </c>
    </row>
    <row r="1572" spans="19:27" x14ac:dyDescent="0.2">
      <c r="S1572" s="1"/>
      <c r="T1572" s="109"/>
      <c r="W1572" s="130" t="str">
        <f t="shared" si="34"/>
        <v>1w</v>
      </c>
      <c r="X1572" s="128">
        <f>_xll.qlCalendarAdvance(Calendar,X1571,W1572,"f",FALSE)</f>
        <v>50270</v>
      </c>
      <c r="Y1572" s="131">
        <f>_xll.qlCalendarAdvance(Calendar,X1572,NDays&amp;"D")</f>
        <v>50272</v>
      </c>
      <c r="Z1572" s="132">
        <v>1.7253170361783591E-2</v>
      </c>
      <c r="AA1572" s="129">
        <v>1.7280027999619918E-2</v>
      </c>
    </row>
    <row r="1573" spans="19:27" x14ac:dyDescent="0.2">
      <c r="S1573" s="1"/>
      <c r="T1573" s="109"/>
      <c r="W1573" s="130" t="str">
        <f t="shared" si="34"/>
        <v>1w</v>
      </c>
      <c r="X1573" s="128">
        <f>_xll.qlCalendarAdvance(Calendar,X1572,W1573,"f",FALSE)</f>
        <v>50277</v>
      </c>
      <c r="Y1573" s="131">
        <f>_xll.qlCalendarAdvance(Calendar,X1573,NDays&amp;"D")</f>
        <v>50279</v>
      </c>
      <c r="Z1573" s="132">
        <v>1.7243354591036944E-2</v>
      </c>
      <c r="AA1573" s="129">
        <v>1.7269935153381155E-2</v>
      </c>
    </row>
    <row r="1574" spans="19:27" x14ac:dyDescent="0.2">
      <c r="S1574" s="1"/>
      <c r="T1574" s="109"/>
      <c r="W1574" s="130" t="str">
        <f t="shared" si="34"/>
        <v>1w</v>
      </c>
      <c r="X1574" s="128">
        <f>_xll.qlCalendarAdvance(Calendar,X1573,W1574,"f",FALSE)</f>
        <v>50284</v>
      </c>
      <c r="Y1574" s="131">
        <f>_xll.qlCalendarAdvance(Calendar,X1574,NDays&amp;"D")</f>
        <v>50286</v>
      </c>
      <c r="Z1574" s="132">
        <v>1.7233864594598667E-2</v>
      </c>
      <c r="AA1574" s="129">
        <v>1.725989148956053E-2</v>
      </c>
    </row>
    <row r="1575" spans="19:27" x14ac:dyDescent="0.2">
      <c r="S1575" s="1"/>
      <c r="T1575" s="109"/>
      <c r="W1575" s="130" t="str">
        <f t="shared" si="34"/>
        <v>1w</v>
      </c>
      <c r="X1575" s="128">
        <f>_xll.qlCalendarAdvance(Calendar,X1574,W1575,"f",FALSE)</f>
        <v>50291</v>
      </c>
      <c r="Y1575" s="131">
        <f>_xll.qlCalendarAdvance(Calendar,X1575,NDays&amp;"D")</f>
        <v>50293</v>
      </c>
      <c r="Z1575" s="132">
        <v>1.7224144599291571E-2</v>
      </c>
      <c r="AA1575" s="129">
        <v>1.7249897008078108E-2</v>
      </c>
    </row>
    <row r="1576" spans="19:27" x14ac:dyDescent="0.2">
      <c r="S1576" s="1"/>
      <c r="T1576" s="109"/>
      <c r="W1576" s="130" t="str">
        <f t="shared" si="34"/>
        <v>1w</v>
      </c>
      <c r="X1576" s="128">
        <f>_xll.qlCalendarAdvance(Calendar,X1575,W1576,"f",FALSE)</f>
        <v>50298</v>
      </c>
      <c r="Y1576" s="131">
        <f>_xll.qlCalendarAdvance(Calendar,X1576,NDays&amp;"D")</f>
        <v>50300</v>
      </c>
      <c r="Z1576" s="132">
        <v>1.7214474021468206E-2</v>
      </c>
      <c r="AA1576" s="129">
        <v>1.7239951708933887E-2</v>
      </c>
    </row>
    <row r="1577" spans="19:27" x14ac:dyDescent="0.2">
      <c r="S1577" s="1"/>
      <c r="T1577" s="109"/>
      <c r="W1577" s="130" t="str">
        <f t="shared" si="34"/>
        <v>1w</v>
      </c>
      <c r="X1577" s="128">
        <f>_xll.qlCalendarAdvance(Calendar,X1576,W1577,"f",FALSE)</f>
        <v>50305</v>
      </c>
      <c r="Y1577" s="131">
        <f>_xll.qlCalendarAdvance(Calendar,X1577,NDays&amp;"D")</f>
        <v>50307</v>
      </c>
      <c r="Z1577" s="132">
        <v>1.720485286077018E-2</v>
      </c>
      <c r="AA1577" s="129">
        <v>1.7230055592127869E-2</v>
      </c>
    </row>
    <row r="1578" spans="19:27" x14ac:dyDescent="0.2">
      <c r="S1578" s="1"/>
      <c r="T1578" s="109"/>
      <c r="W1578" s="130" t="str">
        <f t="shared" si="34"/>
        <v>1w</v>
      </c>
      <c r="X1578" s="128">
        <f>_xll.qlCalendarAdvance(Calendar,X1577,W1578,"f",FALSE)</f>
        <v>50312</v>
      </c>
      <c r="Y1578" s="131">
        <f>_xll.qlCalendarAdvance(Calendar,X1578,NDays&amp;"D")</f>
        <v>50314</v>
      </c>
      <c r="Z1578" s="132">
        <v>1.7194226527875126E-2</v>
      </c>
      <c r="AA1578" s="129">
        <v>1.7220208657580116E-2</v>
      </c>
    </row>
    <row r="1579" spans="19:27" x14ac:dyDescent="0.2">
      <c r="S1579" s="1"/>
      <c r="T1579" s="109"/>
      <c r="W1579" s="130" t="str">
        <f t="shared" si="34"/>
        <v>1w</v>
      </c>
      <c r="X1579" s="128">
        <f>_xll.qlCalendarAdvance(Calendar,X1578,W1579,"f",FALSE)</f>
        <v>50319</v>
      </c>
      <c r="Y1579" s="131">
        <f>_xll.qlCalendarAdvance(Calendar,X1579,NDays&amp;"D")</f>
        <v>50321</v>
      </c>
      <c r="Z1579" s="132">
        <v>1.7185497790790566E-2</v>
      </c>
      <c r="AA1579" s="129">
        <v>1.7210410905450502E-2</v>
      </c>
    </row>
    <row r="1580" spans="19:27" x14ac:dyDescent="0.2">
      <c r="S1580" s="1"/>
      <c r="T1580" s="109"/>
      <c r="W1580" s="130" t="str">
        <f t="shared" si="34"/>
        <v>1w</v>
      </c>
      <c r="X1580" s="128">
        <f>_xll.qlCalendarAdvance(Calendar,X1579,W1580,"f",FALSE)</f>
        <v>50326</v>
      </c>
      <c r="Y1580" s="131">
        <f>_xll.qlCalendarAdvance(Calendar,X1580,NDays&amp;"D")</f>
        <v>50328</v>
      </c>
      <c r="Z1580" s="132">
        <v>1.7176027958060412E-2</v>
      </c>
      <c r="AA1580" s="129">
        <v>1.7200662335659089E-2</v>
      </c>
    </row>
    <row r="1581" spans="19:27" x14ac:dyDescent="0.2">
      <c r="S1581" s="1"/>
      <c r="T1581" s="109"/>
      <c r="W1581" s="130" t="str">
        <f t="shared" si="34"/>
        <v>1w</v>
      </c>
      <c r="X1581" s="128">
        <f>_xll.qlCalendarAdvance(Calendar,X1580,W1581,"f",FALSE)</f>
        <v>50333</v>
      </c>
      <c r="Y1581" s="131">
        <f>_xll.qlCalendarAdvance(Calendar,X1581,NDays&amp;"D")</f>
        <v>50335</v>
      </c>
      <c r="Z1581" s="132">
        <v>1.7166607543604079E-2</v>
      </c>
      <c r="AA1581" s="129">
        <v>1.7190962948205879E-2</v>
      </c>
    </row>
    <row r="1582" spans="19:27" x14ac:dyDescent="0.2">
      <c r="S1582" s="1"/>
      <c r="T1582" s="109"/>
      <c r="W1582" s="130" t="str">
        <f t="shared" si="34"/>
        <v>1w</v>
      </c>
      <c r="X1582" s="128">
        <f>_xll.qlCalendarAdvance(Calendar,X1581,W1582,"f",FALSE)</f>
        <v>50340</v>
      </c>
      <c r="Y1582" s="131">
        <f>_xll.qlCalendarAdvance(Calendar,X1582,NDays&amp;"D")</f>
        <v>50342</v>
      </c>
      <c r="Z1582" s="132">
        <v>1.715723654706533E-2</v>
      </c>
      <c r="AA1582" s="129">
        <v>1.7181312743010935E-2</v>
      </c>
    </row>
    <row r="1583" spans="19:27" x14ac:dyDescent="0.2">
      <c r="S1583" s="1"/>
      <c r="T1583" s="109"/>
      <c r="W1583" s="130" t="str">
        <f t="shared" si="34"/>
        <v>1w</v>
      </c>
      <c r="X1583" s="128">
        <f>_xll.qlCalendarAdvance(Calendar,X1582,W1583,"f",FALSE)</f>
        <v>50347</v>
      </c>
      <c r="Y1583" s="131">
        <f>_xll.qlCalendarAdvance(Calendar,X1583,NDays&amp;"D")</f>
        <v>50349</v>
      </c>
      <c r="Z1583" s="132">
        <v>1.7147914968092273E-2</v>
      </c>
      <c r="AA1583" s="129">
        <v>1.7171711720074256E-2</v>
      </c>
    </row>
    <row r="1584" spans="19:27" x14ac:dyDescent="0.2">
      <c r="S1584" s="1"/>
      <c r="T1584" s="109"/>
      <c r="W1584" s="130" t="str">
        <f t="shared" si="34"/>
        <v>1w</v>
      </c>
      <c r="X1584" s="128">
        <f>_xll.qlCalendarAdvance(Calendar,X1583,W1584,"f",FALSE)</f>
        <v>50354</v>
      </c>
      <c r="Y1584" s="131">
        <f>_xll.qlCalendarAdvance(Calendar,X1584,NDays&amp;"D")</f>
        <v>50356</v>
      </c>
      <c r="Z1584" s="132">
        <v>1.7138642806332146E-2</v>
      </c>
      <c r="AA1584" s="129">
        <v>1.716215987947578E-2</v>
      </c>
    </row>
    <row r="1585" spans="19:27" x14ac:dyDescent="0.2">
      <c r="S1585" s="1"/>
      <c r="T1585" s="109"/>
      <c r="W1585" s="130" t="str">
        <f t="shared" si="34"/>
        <v>1w</v>
      </c>
      <c r="X1585" s="128">
        <f>_xll.qlCalendarAdvance(Calendar,X1584,W1585,"f",FALSE)</f>
        <v>50361</v>
      </c>
      <c r="Y1585" s="131">
        <f>_xll.qlCalendarAdvance(Calendar,X1585,NDays&amp;"D")</f>
        <v>50363</v>
      </c>
      <c r="Z1585" s="132">
        <v>1.7129420061434794E-2</v>
      </c>
      <c r="AA1585" s="129">
        <v>1.7152657221215506E-2</v>
      </c>
    </row>
    <row r="1586" spans="19:27" x14ac:dyDescent="0.2">
      <c r="S1586" s="1"/>
      <c r="T1586" s="109"/>
      <c r="W1586" s="130" t="str">
        <f t="shared" si="34"/>
        <v>1w</v>
      </c>
      <c r="X1586" s="128">
        <f>_xll.qlCalendarAdvance(Calendar,X1585,W1586,"f",FALSE)</f>
        <v>50368</v>
      </c>
      <c r="Y1586" s="131">
        <f>_xll.qlCalendarAdvance(Calendar,X1586,NDays&amp;"D")</f>
        <v>50370</v>
      </c>
      <c r="Z1586" s="132">
        <v>1.7120246733054408E-2</v>
      </c>
      <c r="AA1586" s="129">
        <v>1.7143203745213498E-2</v>
      </c>
    </row>
    <row r="1587" spans="19:27" x14ac:dyDescent="0.2">
      <c r="S1587" s="1"/>
      <c r="T1587" s="109"/>
      <c r="W1587" s="130" t="str">
        <f t="shared" si="34"/>
        <v>1w</v>
      </c>
      <c r="X1587" s="128">
        <f>_xll.qlCalendarAdvance(Calendar,X1586,W1587,"f",FALSE)</f>
        <v>50375</v>
      </c>
      <c r="Y1587" s="131">
        <f>_xll.qlCalendarAdvance(Calendar,X1587,NDays&amp;"D")</f>
        <v>50377</v>
      </c>
      <c r="Z1587" s="132">
        <v>1.7111595702226978E-2</v>
      </c>
      <c r="AA1587" s="129">
        <v>1.7133799451469756E-2</v>
      </c>
    </row>
    <row r="1588" spans="19:27" x14ac:dyDescent="0.2">
      <c r="S1588" s="1"/>
      <c r="T1588" s="109"/>
      <c r="W1588" s="130" t="str">
        <f t="shared" si="34"/>
        <v>1w</v>
      </c>
      <c r="X1588" s="128">
        <f>_xll.qlCalendarAdvance(Calendar,X1587,W1588,"f",FALSE)</f>
        <v>50382</v>
      </c>
      <c r="Y1588" s="131">
        <f>_xll.qlCalendarAdvance(Calendar,X1588,NDays&amp;"D")</f>
        <v>50384</v>
      </c>
      <c r="Z1588" s="132">
        <v>1.7102515007716868E-2</v>
      </c>
      <c r="AA1588" s="129">
        <v>1.7124444339984279E-2</v>
      </c>
    </row>
    <row r="1589" spans="19:27" x14ac:dyDescent="0.2">
      <c r="S1589" s="1"/>
      <c r="T1589" s="109"/>
      <c r="W1589" s="130" t="str">
        <f t="shared" si="34"/>
        <v>1w</v>
      </c>
      <c r="X1589" s="128">
        <f>_xll.qlCalendarAdvance(Calendar,X1588,W1589,"f",FALSE)</f>
        <v>50389</v>
      </c>
      <c r="Y1589" s="131">
        <f>_xll.qlCalendarAdvance(Calendar,X1589,NDays&amp;"D")</f>
        <v>50391</v>
      </c>
      <c r="Z1589" s="132">
        <v>1.7093483723600755E-2</v>
      </c>
      <c r="AA1589" s="129">
        <v>1.7115138410996877E-2</v>
      </c>
    </row>
    <row r="1590" spans="19:27" x14ac:dyDescent="0.2">
      <c r="S1590" s="1"/>
      <c r="T1590" s="109"/>
      <c r="W1590" s="130" t="str">
        <f t="shared" si="34"/>
        <v>1w</v>
      </c>
      <c r="X1590" s="128">
        <f>_xll.qlCalendarAdvance(Calendar,X1589,W1590,"f",FALSE)</f>
        <v>50396</v>
      </c>
      <c r="Y1590" s="131">
        <f>_xll.qlCalendarAdvance(Calendar,X1590,NDays&amp;"D")</f>
        <v>50398</v>
      </c>
      <c r="Z1590" s="132">
        <v>1.708450184954291E-2</v>
      </c>
      <c r="AA1590" s="129">
        <v>1.7105124071639111E-2</v>
      </c>
    </row>
    <row r="1591" spans="19:27" x14ac:dyDescent="0.2">
      <c r="S1591" s="1"/>
      <c r="T1591" s="109"/>
      <c r="W1591" s="130" t="str">
        <f t="shared" si="34"/>
        <v>1w</v>
      </c>
      <c r="X1591" s="128">
        <f>_xll.qlCalendarAdvance(Calendar,X1590,W1591,"f",FALSE)</f>
        <v>50403</v>
      </c>
      <c r="Y1591" s="131">
        <f>_xll.qlCalendarAdvance(Calendar,X1591,NDays&amp;"D")</f>
        <v>50405</v>
      </c>
      <c r="Z1591" s="132">
        <v>1.7075569385216482E-2</v>
      </c>
      <c r="AA1591" s="129">
        <v>1.7095925735546302E-2</v>
      </c>
    </row>
    <row r="1592" spans="19:27" x14ac:dyDescent="0.2">
      <c r="S1592" s="1"/>
      <c r="T1592" s="109"/>
      <c r="W1592" s="130" t="str">
        <f t="shared" si="34"/>
        <v>1w</v>
      </c>
      <c r="X1592" s="128">
        <f>_xll.qlCalendarAdvance(Calendar,X1591,W1592,"f",FALSE)</f>
        <v>50410</v>
      </c>
      <c r="Y1592" s="131">
        <f>_xll.qlCalendarAdvance(Calendar,X1592,NDays&amp;"D")</f>
        <v>50412</v>
      </c>
      <c r="Z1592" s="132">
        <v>1.7066686330287517E-2</v>
      </c>
      <c r="AA1592" s="129">
        <v>1.7087515717184587E-2</v>
      </c>
    </row>
    <row r="1593" spans="19:27" x14ac:dyDescent="0.2">
      <c r="S1593" s="1"/>
      <c r="T1593" s="109"/>
      <c r="W1593" s="130" t="str">
        <f t="shared" si="34"/>
        <v>1w</v>
      </c>
      <c r="X1593" s="128">
        <f>_xll.qlCalendarAdvance(Calendar,X1592,W1593,"f",FALSE)</f>
        <v>50417</v>
      </c>
      <c r="Y1593" s="131">
        <f>_xll.qlCalendarAdvance(Calendar,X1593,NDays&amp;"D")</f>
        <v>50419</v>
      </c>
      <c r="Z1593" s="132">
        <v>1.7057852684431829E-2</v>
      </c>
      <c r="AA1593" s="129">
        <v>1.7078406517150313E-2</v>
      </c>
    </row>
    <row r="1594" spans="19:27" x14ac:dyDescent="0.2">
      <c r="S1594" s="1"/>
      <c r="T1594" s="109"/>
      <c r="W1594" s="130" t="str">
        <f t="shared" si="34"/>
        <v>1w</v>
      </c>
      <c r="X1594" s="128">
        <f>_xll.qlCalendarAdvance(Calendar,X1593,W1594,"f",FALSE)</f>
        <v>50424</v>
      </c>
      <c r="Y1594" s="131">
        <f>_xll.qlCalendarAdvance(Calendar,X1594,NDays&amp;"D")</f>
        <v>50426</v>
      </c>
      <c r="Z1594" s="132">
        <v>1.7049068447320792E-2</v>
      </c>
      <c r="AA1594" s="129">
        <v>1.7069346499374305E-2</v>
      </c>
    </row>
    <row r="1595" spans="19:27" x14ac:dyDescent="0.2">
      <c r="S1595" s="1"/>
      <c r="T1595" s="109"/>
      <c r="W1595" s="130" t="str">
        <f t="shared" si="34"/>
        <v>1w</v>
      </c>
      <c r="X1595" s="128">
        <f>_xll.qlCalendarAdvance(Calendar,X1594,W1595,"f",FALSE)</f>
        <v>50431</v>
      </c>
      <c r="Y1595" s="131">
        <f>_xll.qlCalendarAdvance(Calendar,X1595,NDays&amp;"D")</f>
        <v>50433</v>
      </c>
      <c r="Z1595" s="132">
        <v>1.7040333618632886E-2</v>
      </c>
      <c r="AA1595" s="129">
        <v>1.7060335663856563E-2</v>
      </c>
    </row>
    <row r="1596" spans="19:27" x14ac:dyDescent="0.2">
      <c r="S1596" s="1"/>
      <c r="T1596" s="109"/>
      <c r="W1596" s="130" t="str">
        <f t="shared" si="34"/>
        <v>1w</v>
      </c>
      <c r="X1596" s="128">
        <f>_xll.qlCalendarAdvance(Calendar,X1595,W1596,"f",FALSE)</f>
        <v>50438</v>
      </c>
      <c r="Y1596" s="131">
        <f>_xll.qlCalendarAdvance(Calendar,X1596,NDays&amp;"D")</f>
        <v>50440</v>
      </c>
      <c r="Z1596" s="132">
        <v>1.7031857092441774E-2</v>
      </c>
      <c r="AA1596" s="129">
        <v>1.7051374010677023E-2</v>
      </c>
    </row>
    <row r="1597" spans="19:27" x14ac:dyDescent="0.2">
      <c r="S1597" s="1"/>
      <c r="T1597" s="109"/>
      <c r="W1597" s="130" t="str">
        <f t="shared" si="34"/>
        <v>1w</v>
      </c>
      <c r="X1597" s="128">
        <f>_xll.qlCalendarAdvance(Calendar,X1596,W1597,"f",FALSE)</f>
        <v>50445</v>
      </c>
      <c r="Y1597" s="131">
        <f>_xll.qlCalendarAdvance(Calendar,X1597,NDays&amp;"D")</f>
        <v>50447</v>
      </c>
      <c r="Z1597" s="132">
        <v>1.7023217958303818E-2</v>
      </c>
      <c r="AA1597" s="129">
        <v>1.7042461539675813E-2</v>
      </c>
    </row>
    <row r="1598" spans="19:27" x14ac:dyDescent="0.2">
      <c r="S1598" s="1"/>
      <c r="T1598" s="109"/>
      <c r="W1598" s="130" t="str">
        <f t="shared" si="34"/>
        <v>1w</v>
      </c>
      <c r="X1598" s="128">
        <f>_xll.qlCalendarAdvance(Calendar,X1597,W1598,"f",FALSE)</f>
        <v>50452</v>
      </c>
      <c r="Y1598" s="131">
        <f>_xll.qlCalendarAdvance(Calendar,X1598,NDays&amp;"D")</f>
        <v>50454</v>
      </c>
      <c r="Z1598" s="132">
        <v>1.7014628229113413E-2</v>
      </c>
      <c r="AA1598" s="129">
        <v>1.7033598250932869E-2</v>
      </c>
    </row>
    <row r="1599" spans="19:27" x14ac:dyDescent="0.2">
      <c r="S1599" s="1"/>
      <c r="T1599" s="109"/>
      <c r="W1599" s="130" t="str">
        <f t="shared" si="34"/>
        <v>1w</v>
      </c>
      <c r="X1599" s="128">
        <f>_xll.qlCalendarAdvance(Calendar,X1598,W1599,"f",FALSE)</f>
        <v>50459</v>
      </c>
      <c r="Y1599" s="131">
        <f>_xll.qlCalendarAdvance(Calendar,X1599,NDays&amp;"D")</f>
        <v>50461</v>
      </c>
      <c r="Z1599" s="132">
        <v>1.7006087904554407E-2</v>
      </c>
      <c r="AA1599" s="129">
        <v>1.7024784144448191E-2</v>
      </c>
    </row>
    <row r="1600" spans="19:27" x14ac:dyDescent="0.2">
      <c r="S1600" s="1"/>
      <c r="T1600" s="109"/>
      <c r="W1600" s="130" t="str">
        <f t="shared" si="34"/>
        <v>1w</v>
      </c>
      <c r="X1600" s="128">
        <f>_xll.qlCalendarAdvance(Calendar,X1599,W1600,"f",FALSE)</f>
        <v>50466</v>
      </c>
      <c r="Y1600" s="131">
        <f>_xll.qlCalendarAdvance(Calendar,X1600,NDays&amp;"D")</f>
        <v>50468</v>
      </c>
      <c r="Z1600" s="132">
        <v>1.6997008679543603E-2</v>
      </c>
      <c r="AA1600" s="129">
        <v>1.7016019220221779E-2</v>
      </c>
    </row>
    <row r="1601" spans="19:27" x14ac:dyDescent="0.2">
      <c r="S1601" s="1"/>
      <c r="T1601" s="109"/>
      <c r="W1601" s="130" t="str">
        <f t="shared" si="34"/>
        <v>1w</v>
      </c>
      <c r="X1601" s="128">
        <f>_xll.qlCalendarAdvance(Calendar,X1600,W1601,"f",FALSE)</f>
        <v>50473</v>
      </c>
      <c r="Y1601" s="131">
        <f>_xll.qlCalendarAdvance(Calendar,X1601,NDays&amp;"D")</f>
        <v>50475</v>
      </c>
      <c r="Z1601" s="132">
        <v>1.6988576558430953E-2</v>
      </c>
      <c r="AA1601" s="129">
        <v>1.7007303478173696E-2</v>
      </c>
    </row>
    <row r="1602" spans="19:27" x14ac:dyDescent="0.2">
      <c r="S1602" s="1"/>
      <c r="T1602" s="109"/>
      <c r="W1602" s="130" t="str">
        <f t="shared" si="34"/>
        <v>1w</v>
      </c>
      <c r="X1602" s="128">
        <f>_xll.qlCalendarAdvance(Calendar,X1601,W1602,"f",FALSE)</f>
        <v>50480</v>
      </c>
      <c r="Y1602" s="131">
        <f>_xll.qlCalendarAdvance(Calendar,X1602,NDays&amp;"D")</f>
        <v>50482</v>
      </c>
      <c r="Z1602" s="132">
        <v>1.6980193848522999E-2</v>
      </c>
      <c r="AA1602" s="129">
        <v>1.699863691838388E-2</v>
      </c>
    </row>
    <row r="1603" spans="19:27" x14ac:dyDescent="0.2">
      <c r="S1603" s="1"/>
      <c r="T1603" s="109"/>
      <c r="W1603" s="130" t="str">
        <f t="shared" si="34"/>
        <v>1w</v>
      </c>
      <c r="X1603" s="128">
        <f>_xll.qlCalendarAdvance(Calendar,X1602,W1603,"f",FALSE)</f>
        <v>50487</v>
      </c>
      <c r="Y1603" s="131">
        <f>_xll.qlCalendarAdvance(Calendar,X1603,NDays&amp;"D")</f>
        <v>50489</v>
      </c>
      <c r="Z1603" s="132">
        <v>1.6971860549504336E-2</v>
      </c>
      <c r="AA1603" s="129">
        <v>1.6990019540932266E-2</v>
      </c>
    </row>
    <row r="1604" spans="19:27" x14ac:dyDescent="0.2">
      <c r="S1604" s="1"/>
      <c r="T1604" s="109"/>
      <c r="W1604" s="130" t="str">
        <f t="shared" si="34"/>
        <v>1w</v>
      </c>
      <c r="X1604" s="128">
        <f>_xll.qlCalendarAdvance(Calendar,X1603,W1604,"f",FALSE)</f>
        <v>50494</v>
      </c>
      <c r="Y1604" s="131">
        <f>_xll.qlCalendarAdvance(Calendar,X1604,NDays&amp;"D")</f>
        <v>50496</v>
      </c>
      <c r="Z1604" s="132">
        <v>1.6963759927053738E-2</v>
      </c>
      <c r="AA1604" s="129">
        <v>1.6981451345579046E-2</v>
      </c>
    </row>
    <row r="1605" spans="19:27" x14ac:dyDescent="0.2">
      <c r="S1605" s="1"/>
      <c r="T1605" s="109"/>
      <c r="W1605" s="130" t="str">
        <f t="shared" si="34"/>
        <v>1w</v>
      </c>
      <c r="X1605" s="128">
        <f>_xll.qlCalendarAdvance(Calendar,X1604,W1605,"f",FALSE)</f>
        <v>50501</v>
      </c>
      <c r="Y1605" s="131">
        <f>_xll.qlCalendarAdvance(Calendar,X1605,NDays&amp;"D")</f>
        <v>50503</v>
      </c>
      <c r="Z1605" s="132">
        <v>1.6955522306846674E-2</v>
      </c>
      <c r="AA1605" s="129">
        <v>1.6972932332484092E-2</v>
      </c>
    </row>
    <row r="1606" spans="19:27" x14ac:dyDescent="0.2">
      <c r="S1606" s="1"/>
      <c r="T1606" s="109"/>
      <c r="W1606" s="130" t="str">
        <f t="shared" si="34"/>
        <v>1w</v>
      </c>
      <c r="X1606" s="128">
        <f>_xll.qlCalendarAdvance(Calendar,X1605,W1606,"f",FALSE)</f>
        <v>50508</v>
      </c>
      <c r="Y1606" s="131">
        <f>_xll.qlCalendarAdvance(Calendar,X1606,NDays&amp;"D")</f>
        <v>50510</v>
      </c>
      <c r="Z1606" s="132">
        <v>1.6947334094105863E-2</v>
      </c>
      <c r="AA1606" s="129">
        <v>1.6964462501647404E-2</v>
      </c>
    </row>
    <row r="1607" spans="19:27" x14ac:dyDescent="0.2">
      <c r="S1607" s="1"/>
      <c r="T1607" s="109"/>
      <c r="W1607" s="130" t="str">
        <f t="shared" si="34"/>
        <v>1w</v>
      </c>
      <c r="X1607" s="128">
        <f>_xll.qlCalendarAdvance(Calendar,X1606,W1607,"f",FALSE)</f>
        <v>50515</v>
      </c>
      <c r="Y1607" s="131">
        <f>_xll.qlCalendarAdvance(Calendar,X1607,NDays&amp;"D")</f>
        <v>50517</v>
      </c>
      <c r="Z1607" s="132">
        <v>1.6939195288522977E-2</v>
      </c>
      <c r="AA1607" s="129">
        <v>1.6955242877559229E-2</v>
      </c>
    </row>
    <row r="1608" spans="19:27" x14ac:dyDescent="0.2">
      <c r="S1608" s="1"/>
      <c r="T1608" s="109"/>
      <c r="W1608" s="130" t="str">
        <f t="shared" si="34"/>
        <v>1w</v>
      </c>
      <c r="X1608" s="128">
        <f>_xll.qlCalendarAdvance(Calendar,X1607,W1608,"f",FALSE)</f>
        <v>50522</v>
      </c>
      <c r="Y1608" s="131">
        <f>_xll.qlCalendarAdvance(Calendar,X1608,NDays&amp;"D")</f>
        <v>50524</v>
      </c>
      <c r="Z1608" s="132">
        <v>1.6931105889797595E-2</v>
      </c>
      <c r="AA1608" s="129">
        <v>1.6947670386668889E-2</v>
      </c>
    </row>
    <row r="1609" spans="19:27" x14ac:dyDescent="0.2">
      <c r="S1609" s="1"/>
      <c r="T1609" s="109"/>
      <c r="W1609" s="130" t="str">
        <f t="shared" si="34"/>
        <v>1w</v>
      </c>
      <c r="X1609" s="128">
        <f>_xll.qlCalendarAdvance(Calendar,X1608,W1609,"f",FALSE)</f>
        <v>50529</v>
      </c>
      <c r="Y1609" s="131">
        <f>_xll.qlCalendarAdvance(Calendar,X1609,NDays&amp;"D")</f>
        <v>50531</v>
      </c>
      <c r="Z1609" s="132">
        <v>1.6922898366580633E-2</v>
      </c>
      <c r="AA1609" s="129">
        <v>1.6939348102447127E-2</v>
      </c>
    </row>
    <row r="1610" spans="19:27" x14ac:dyDescent="0.2">
      <c r="S1610" s="1"/>
      <c r="T1610" s="109"/>
      <c r="W1610" s="130" t="str">
        <f t="shared" si="34"/>
        <v>1w</v>
      </c>
      <c r="X1610" s="128">
        <f>_xll.qlCalendarAdvance(Calendar,X1609,W1610,"f",FALSE)</f>
        <v>50536</v>
      </c>
      <c r="Y1610" s="131">
        <f>_xll.qlCalendarAdvance(Calendar,X1610,NDays&amp;"D")</f>
        <v>50538</v>
      </c>
      <c r="Z1610" s="132">
        <v>1.6914910935087023E-2</v>
      </c>
      <c r="AA1610" s="129">
        <v>1.6931075000483631E-2</v>
      </c>
    </row>
    <row r="1611" spans="19:27" x14ac:dyDescent="0.2">
      <c r="S1611" s="1"/>
      <c r="T1611" s="109"/>
      <c r="W1611" s="130" t="str">
        <f t="shared" si="34"/>
        <v>1w</v>
      </c>
      <c r="X1611" s="128">
        <f>_xll.qlCalendarAdvance(Calendar,X1610,W1611,"f",FALSE)</f>
        <v>50543</v>
      </c>
      <c r="Y1611" s="131">
        <f>_xll.qlCalendarAdvance(Calendar,X1611,NDays&amp;"D")</f>
        <v>50545</v>
      </c>
      <c r="Z1611" s="132">
        <v>1.6906972912019463E-2</v>
      </c>
      <c r="AA1611" s="129">
        <v>1.6922851080618528E-2</v>
      </c>
    </row>
    <row r="1612" spans="19:27" x14ac:dyDescent="0.2">
      <c r="S1612" s="1"/>
      <c r="T1612" s="109"/>
      <c r="W1612" s="130" t="str">
        <f t="shared" si="34"/>
        <v>1w</v>
      </c>
      <c r="X1612" s="128">
        <f>_xll.qlCalendarAdvance(Calendar,X1611,W1612,"f",FALSE)</f>
        <v>50550</v>
      </c>
      <c r="Y1612" s="131">
        <f>_xll.qlCalendarAdvance(Calendar,X1612,NDays&amp;"D")</f>
        <v>50552</v>
      </c>
      <c r="Z1612" s="132">
        <v>1.6899084297079054E-2</v>
      </c>
      <c r="AA1612" s="129">
        <v>1.6914676343091628E-2</v>
      </c>
    </row>
    <row r="1613" spans="19:27" x14ac:dyDescent="0.2">
      <c r="S1613" s="1"/>
      <c r="T1613" s="109"/>
      <c r="W1613" s="130" t="str">
        <f t="shared" si="34"/>
        <v>1w</v>
      </c>
      <c r="X1613" s="128">
        <f>_xll.qlCalendarAdvance(Calendar,X1612,W1613,"f",FALSE)</f>
        <v>50557</v>
      </c>
      <c r="Y1613" s="131">
        <f>_xll.qlCalendarAdvance(Calendar,X1613,NDays&amp;"D")</f>
        <v>50559</v>
      </c>
      <c r="Z1613" s="132">
        <v>1.6891245089969517E-2</v>
      </c>
      <c r="AA1613" s="129">
        <v>1.6906550787663122E-2</v>
      </c>
    </row>
    <row r="1614" spans="19:27" x14ac:dyDescent="0.2">
      <c r="S1614" s="1"/>
      <c r="T1614" s="109"/>
      <c r="W1614" s="130" t="str">
        <f t="shared" si="34"/>
        <v>1w</v>
      </c>
      <c r="X1614" s="128">
        <f>_xll.qlCalendarAdvance(Calendar,X1613,W1614,"f",FALSE)</f>
        <v>50564</v>
      </c>
      <c r="Y1614" s="131">
        <f>_xll.qlCalendarAdvance(Calendar,X1614,NDays&amp;"D")</f>
        <v>50566</v>
      </c>
      <c r="Z1614" s="132">
        <v>1.6883455290393697E-2</v>
      </c>
      <c r="AA1614" s="129">
        <v>1.6898474414412945E-2</v>
      </c>
    </row>
    <row r="1615" spans="19:27" x14ac:dyDescent="0.2">
      <c r="S1615" s="1"/>
      <c r="T1615" s="109"/>
      <c r="W1615" s="130" t="str">
        <f t="shared" si="34"/>
        <v>1w</v>
      </c>
      <c r="X1615" s="128">
        <f>_xll.qlCalendarAdvance(Calendar,X1614,W1615,"f",FALSE)</f>
        <v>50571</v>
      </c>
      <c r="Y1615" s="131">
        <f>_xll.qlCalendarAdvance(Calendar,X1615,NDays&amp;"D")</f>
        <v>50573</v>
      </c>
      <c r="Z1615" s="132">
        <v>1.6875714898058784E-2</v>
      </c>
      <c r="AA1615" s="129">
        <v>1.6890447223421035E-2</v>
      </c>
    </row>
    <row r="1616" spans="19:27" x14ac:dyDescent="0.2">
      <c r="S1616" s="1"/>
      <c r="T1616" s="109"/>
      <c r="W1616" s="130" t="str">
        <f t="shared" si="34"/>
        <v>1w</v>
      </c>
      <c r="X1616" s="128">
        <f>_xll.qlCalendarAdvance(Calendar,X1615,W1616,"f",FALSE)</f>
        <v>50578</v>
      </c>
      <c r="Y1616" s="131">
        <f>_xll.qlCalendarAdvance(Calendar,X1616,NDays&amp;"D")</f>
        <v>50580</v>
      </c>
      <c r="Z1616" s="132">
        <v>1.6868023912671969E-2</v>
      </c>
      <c r="AA1616" s="129">
        <v>1.6882469214607454E-2</v>
      </c>
    </row>
    <row r="1617" spans="19:27" x14ac:dyDescent="0.2">
      <c r="S1617" s="1"/>
      <c r="T1617" s="109"/>
      <c r="W1617" s="130" t="str">
        <f t="shared" si="34"/>
        <v>1w</v>
      </c>
      <c r="X1617" s="128">
        <f>_xll.qlCalendarAdvance(Calendar,X1616,W1617,"f",FALSE)</f>
        <v>50585</v>
      </c>
      <c r="Y1617" s="131">
        <f>_xll.qlCalendarAdvance(Calendar,X1617,NDays&amp;"D")</f>
        <v>50587</v>
      </c>
      <c r="Z1617" s="132">
        <v>1.6860382333945656E-2</v>
      </c>
      <c r="AA1617" s="129">
        <v>1.6874540388052139E-2</v>
      </c>
    </row>
    <row r="1618" spans="19:27" x14ac:dyDescent="0.2">
      <c r="S1618" s="1"/>
      <c r="T1618" s="109"/>
      <c r="W1618" s="130" t="str">
        <f t="shared" si="34"/>
        <v>1w</v>
      </c>
      <c r="X1618" s="128">
        <f>_xll.qlCalendarAdvance(Calendar,X1617,W1618,"f",FALSE)</f>
        <v>50592</v>
      </c>
      <c r="Y1618" s="131">
        <f>_xll.qlCalendarAdvance(Calendar,X1618,NDays&amp;"D")</f>
        <v>50594</v>
      </c>
      <c r="Z1618" s="132">
        <v>1.6852790161588773E-2</v>
      </c>
      <c r="AA1618" s="129">
        <v>1.6866660743595219E-2</v>
      </c>
    </row>
    <row r="1619" spans="19:27" x14ac:dyDescent="0.2">
      <c r="S1619" s="1"/>
      <c r="T1619" s="109"/>
      <c r="W1619" s="130" t="str">
        <f t="shared" si="34"/>
        <v>1w</v>
      </c>
      <c r="X1619" s="128">
        <f>_xll.qlCalendarAdvance(Calendar,X1618,W1619,"f",FALSE)</f>
        <v>50599</v>
      </c>
      <c r="Y1619" s="131">
        <f>_xll.qlCalendarAdvance(Calendar,X1619,NDays&amp;"D")</f>
        <v>50601</v>
      </c>
      <c r="Z1619" s="132">
        <v>1.6845247395316329E-2</v>
      </c>
      <c r="AA1619" s="129">
        <v>1.6858830281236692E-2</v>
      </c>
    </row>
    <row r="1620" spans="19:27" x14ac:dyDescent="0.2">
      <c r="S1620" s="1"/>
      <c r="T1620" s="109"/>
      <c r="W1620" s="130" t="str">
        <f t="shared" si="34"/>
        <v>1w</v>
      </c>
      <c r="X1620" s="128">
        <f>_xll.qlCalendarAdvance(Calendar,X1619,W1620,"f",FALSE)</f>
        <v>50606</v>
      </c>
      <c r="Y1620" s="131">
        <f>_xll.qlCalendarAdvance(Calendar,X1620,NDays&amp;"D")</f>
        <v>50608</v>
      </c>
      <c r="Z1620" s="132">
        <v>1.6837754034844207E-2</v>
      </c>
      <c r="AA1620" s="129">
        <v>1.6851049001296303E-2</v>
      </c>
    </row>
    <row r="1621" spans="19:27" x14ac:dyDescent="0.2">
      <c r="S1621" s="1"/>
      <c r="T1621" s="109"/>
      <c r="W1621" s="130" t="str">
        <f t="shared" ref="W1621:W1684" si="35">W1620</f>
        <v>1w</v>
      </c>
      <c r="X1621" s="128">
        <f>_xll.qlCalendarAdvance(Calendar,X1620,W1621,"f",FALSE)</f>
        <v>50613</v>
      </c>
      <c r="Y1621" s="131">
        <f>_xll.qlCalendarAdvance(Calendar,X1621,NDays&amp;"D")</f>
        <v>50615</v>
      </c>
      <c r="Z1621" s="132">
        <v>1.6830310079888285E-2</v>
      </c>
      <c r="AA1621" s="129">
        <v>1.6843316903294436E-2</v>
      </c>
    </row>
    <row r="1622" spans="19:27" x14ac:dyDescent="0.2">
      <c r="S1622" s="1"/>
      <c r="T1622" s="109"/>
      <c r="W1622" s="130" t="str">
        <f t="shared" si="35"/>
        <v>1w</v>
      </c>
      <c r="X1622" s="128">
        <f>_xll.qlCalendarAdvance(Calendar,X1621,W1622,"f",FALSE)</f>
        <v>50620</v>
      </c>
      <c r="Y1622" s="131">
        <f>_xll.qlCalendarAdvance(Calendar,X1622,NDays&amp;"D")</f>
        <v>50622</v>
      </c>
      <c r="Z1622" s="132">
        <v>1.6822915530169655E-2</v>
      </c>
      <c r="AA1622" s="129">
        <v>1.6835633987550835E-2</v>
      </c>
    </row>
    <row r="1623" spans="19:27" x14ac:dyDescent="0.2">
      <c r="S1623" s="1"/>
      <c r="T1623" s="109"/>
      <c r="W1623" s="130" t="str">
        <f t="shared" si="35"/>
        <v>1w</v>
      </c>
      <c r="X1623" s="128">
        <f>_xll.qlCalendarAdvance(Calendar,X1622,W1623,"f",FALSE)</f>
        <v>50627</v>
      </c>
      <c r="Y1623" s="131">
        <f>_xll.qlCalendarAdvance(Calendar,X1623,NDays&amp;"D")</f>
        <v>50629</v>
      </c>
      <c r="Z1623" s="132">
        <v>1.6815570385408544E-2</v>
      </c>
      <c r="AA1623" s="129">
        <v>1.6828000253985564E-2</v>
      </c>
    </row>
    <row r="1624" spans="19:27" x14ac:dyDescent="0.2">
      <c r="S1624" s="1"/>
      <c r="T1624" s="109"/>
      <c r="W1624" s="130" t="str">
        <f t="shared" si="35"/>
        <v>1w</v>
      </c>
      <c r="X1624" s="128">
        <f>_xll.qlCalendarAdvance(Calendar,X1623,W1624,"f",FALSE)</f>
        <v>50634</v>
      </c>
      <c r="Y1624" s="131">
        <f>_xll.qlCalendarAdvance(Calendar,X1624,NDays&amp;"D")</f>
        <v>50636</v>
      </c>
      <c r="Z1624" s="132">
        <v>1.6808274645328646E-2</v>
      </c>
      <c r="AA1624" s="129">
        <v>1.6820415702598623E-2</v>
      </c>
    </row>
    <row r="1625" spans="19:27" x14ac:dyDescent="0.2">
      <c r="S1625" s="1"/>
      <c r="T1625" s="109"/>
      <c r="W1625" s="130" t="str">
        <f t="shared" si="35"/>
        <v>1w</v>
      </c>
      <c r="X1625" s="128">
        <f>_xll.qlCalendarAdvance(Calendar,X1624,W1625,"f",FALSE)</f>
        <v>50641</v>
      </c>
      <c r="Y1625" s="131">
        <f>_xll.qlCalendarAdvance(Calendar,X1625,NDays&amp;"D")</f>
        <v>50643</v>
      </c>
      <c r="Z1625" s="132">
        <v>1.6801028309653663E-2</v>
      </c>
      <c r="AA1625" s="129">
        <v>1.681288033323014E-2</v>
      </c>
    </row>
    <row r="1626" spans="19:27" x14ac:dyDescent="0.2">
      <c r="S1626" s="1"/>
      <c r="T1626" s="109"/>
      <c r="W1626" s="130" t="str">
        <f t="shared" si="35"/>
        <v>1w</v>
      </c>
      <c r="X1626" s="128">
        <f>_xll.qlCalendarAdvance(Calendar,X1625,W1626,"f",FALSE)</f>
        <v>50648</v>
      </c>
      <c r="Y1626" s="131">
        <f>_xll.qlCalendarAdvance(Calendar,X1626,NDays&amp;"D")</f>
        <v>50650</v>
      </c>
      <c r="Z1626" s="132">
        <v>1.6793944950015332E-2</v>
      </c>
      <c r="AA1626" s="129">
        <v>1.6805394146199859E-2</v>
      </c>
    </row>
    <row r="1627" spans="19:27" x14ac:dyDescent="0.2">
      <c r="S1627" s="1"/>
      <c r="T1627" s="109"/>
      <c r="W1627" s="130" t="str">
        <f t="shared" si="35"/>
        <v>1w</v>
      </c>
      <c r="X1627" s="128">
        <f>_xll.qlCalendarAdvance(Calendar,X1626,W1627,"f",FALSE)</f>
        <v>50655</v>
      </c>
      <c r="Y1627" s="131">
        <f>_xll.qlCalendarAdvance(Calendar,X1627,NDays&amp;"D")</f>
        <v>50657</v>
      </c>
      <c r="Z1627" s="132">
        <v>1.6786794226321282E-2</v>
      </c>
      <c r="AA1627" s="129">
        <v>1.6797957141267972E-2</v>
      </c>
    </row>
    <row r="1628" spans="19:27" x14ac:dyDescent="0.2">
      <c r="S1628" s="1"/>
      <c r="T1628" s="109"/>
      <c r="W1628" s="130" t="str">
        <f t="shared" si="35"/>
        <v>1w</v>
      </c>
      <c r="X1628" s="128">
        <f>_xll.qlCalendarAdvance(Calendar,X1627,W1628,"f",FALSE)</f>
        <v>50662</v>
      </c>
      <c r="Y1628" s="131">
        <f>_xll.qlCalendarAdvance(Calendar,X1628,NDays&amp;"D")</f>
        <v>50664</v>
      </c>
      <c r="Z1628" s="132">
        <v>1.6779692903797858E-2</v>
      </c>
      <c r="AA1628" s="129">
        <v>1.6790569318434478E-2</v>
      </c>
    </row>
    <row r="1629" spans="19:27" x14ac:dyDescent="0.2">
      <c r="S1629" s="1"/>
      <c r="T1629" s="109"/>
      <c r="W1629" s="130" t="str">
        <f t="shared" si="35"/>
        <v>1w</v>
      </c>
      <c r="X1629" s="128">
        <f>_xll.qlCalendarAdvance(Calendar,X1628,W1629,"f",FALSE)</f>
        <v>50669</v>
      </c>
      <c r="Y1629" s="131">
        <f>_xll.qlCalendarAdvance(Calendar,X1629,NDays&amp;"D")</f>
        <v>50671</v>
      </c>
      <c r="Z1629" s="132">
        <v>1.6772640982182414E-2</v>
      </c>
      <c r="AA1629" s="129">
        <v>1.6783230677779315E-2</v>
      </c>
    </row>
    <row r="1630" spans="19:27" x14ac:dyDescent="0.2">
      <c r="S1630" s="1"/>
      <c r="T1630" s="109"/>
      <c r="W1630" s="130" t="str">
        <f t="shared" si="35"/>
        <v>1w</v>
      </c>
      <c r="X1630" s="128">
        <f>_xll.qlCalendarAdvance(Calendar,X1629,W1630,"f",FALSE)</f>
        <v>50676</v>
      </c>
      <c r="Y1630" s="131">
        <f>_xll.qlCalendarAdvance(Calendar,X1630,NDays&amp;"D")</f>
        <v>50678</v>
      </c>
      <c r="Z1630" s="132">
        <v>1.6765537687868759E-2</v>
      </c>
      <c r="AA1630" s="129">
        <v>1.6775941219302481E-2</v>
      </c>
    </row>
    <row r="1631" spans="19:27" x14ac:dyDescent="0.2">
      <c r="S1631" s="1"/>
      <c r="T1631" s="109"/>
      <c r="W1631" s="130" t="str">
        <f t="shared" si="35"/>
        <v>1w</v>
      </c>
      <c r="X1631" s="128">
        <f>_xll.qlCalendarAdvance(Calendar,X1630,W1631,"f",FALSE)</f>
        <v>50683</v>
      </c>
      <c r="Y1631" s="131">
        <f>_xll.qlCalendarAdvance(Calendar,X1631,NDays&amp;"D")</f>
        <v>50685</v>
      </c>
      <c r="Z1631" s="132">
        <v>1.6758587772955625E-2</v>
      </c>
      <c r="AA1631" s="129">
        <v>1.6768700942924042E-2</v>
      </c>
    </row>
    <row r="1632" spans="19:27" x14ac:dyDescent="0.2">
      <c r="S1632" s="1"/>
      <c r="T1632" s="109"/>
      <c r="W1632" s="130" t="str">
        <f t="shared" si="35"/>
        <v>1w</v>
      </c>
      <c r="X1632" s="128">
        <f>_xll.qlCalendarAdvance(Calendar,X1631,W1632,"f",FALSE)</f>
        <v>50690</v>
      </c>
      <c r="Y1632" s="131">
        <f>_xll.qlCalendarAdvance(Calendar,X1632,NDays&amp;"D")</f>
        <v>50692</v>
      </c>
      <c r="Z1632" s="132">
        <v>1.6751687260574123E-2</v>
      </c>
      <c r="AA1632" s="129">
        <v>1.6761509848723932E-2</v>
      </c>
    </row>
    <row r="1633" spans="19:27" x14ac:dyDescent="0.2">
      <c r="S1633" s="1"/>
      <c r="T1633" s="109"/>
      <c r="W1633" s="130" t="str">
        <f t="shared" si="35"/>
        <v>1w</v>
      </c>
      <c r="X1633" s="128">
        <f>_xll.qlCalendarAdvance(Calendar,X1632,W1633,"f",FALSE)</f>
        <v>50697</v>
      </c>
      <c r="Y1633" s="131">
        <f>_xll.qlCalendarAdvance(Calendar,X1633,NDays&amp;"D")</f>
        <v>50699</v>
      </c>
      <c r="Z1633" s="132">
        <v>1.6744836150466198E-2</v>
      </c>
      <c r="AA1633" s="129">
        <v>1.6754367936702153E-2</v>
      </c>
    </row>
    <row r="1634" spans="19:27" x14ac:dyDescent="0.2">
      <c r="S1634" s="1"/>
      <c r="T1634" s="109"/>
      <c r="W1634" s="130" t="str">
        <f t="shared" si="35"/>
        <v>1w</v>
      </c>
      <c r="X1634" s="128">
        <f>_xll.qlCalendarAdvance(Calendar,X1633,W1634,"f",FALSE)</f>
        <v>50704</v>
      </c>
      <c r="Y1634" s="131">
        <f>_xll.qlCalendarAdvance(Calendar,X1634,NDays&amp;"D")</f>
        <v>50706</v>
      </c>
      <c r="Z1634" s="132">
        <v>1.6738034442370316E-2</v>
      </c>
      <c r="AA1634" s="129">
        <v>1.6747275206698831E-2</v>
      </c>
    </row>
    <row r="1635" spans="19:27" x14ac:dyDescent="0.2">
      <c r="S1635" s="1"/>
      <c r="T1635" s="109"/>
      <c r="W1635" s="130" t="str">
        <f t="shared" si="35"/>
        <v>1w</v>
      </c>
      <c r="X1635" s="128">
        <f>_xll.qlCalendarAdvance(Calendar,X1634,W1635,"f",FALSE)</f>
        <v>50711</v>
      </c>
      <c r="Y1635" s="131">
        <f>_xll.qlCalendarAdvance(Calendar,X1635,NDays&amp;"D")</f>
        <v>50713</v>
      </c>
      <c r="Z1635" s="132">
        <v>1.6731282136031905E-2</v>
      </c>
      <c r="AA1635" s="129">
        <v>1.6740231658953775E-2</v>
      </c>
    </row>
    <row r="1636" spans="19:27" x14ac:dyDescent="0.2">
      <c r="S1636" s="1"/>
      <c r="T1636" s="109"/>
      <c r="W1636" s="130" t="str">
        <f t="shared" si="35"/>
        <v>1w</v>
      </c>
      <c r="X1636" s="128">
        <f>_xll.qlCalendarAdvance(Calendar,X1635,W1636,"f",FALSE)</f>
        <v>50718</v>
      </c>
      <c r="Y1636" s="131">
        <f>_xll.qlCalendarAdvance(Calendar,X1636,NDays&amp;"D")</f>
        <v>50720</v>
      </c>
      <c r="Z1636" s="132">
        <v>1.672457923119551E-2</v>
      </c>
      <c r="AA1636" s="129">
        <v>1.6733237293227177E-2</v>
      </c>
    </row>
    <row r="1637" spans="19:27" x14ac:dyDescent="0.2">
      <c r="S1637" s="1"/>
      <c r="T1637" s="109"/>
      <c r="W1637" s="130" t="str">
        <f t="shared" si="35"/>
        <v>1w</v>
      </c>
      <c r="X1637" s="128">
        <f>_xll.qlCalendarAdvance(Calendar,X1636,W1637,"f",FALSE)</f>
        <v>50725</v>
      </c>
      <c r="Y1637" s="131">
        <f>_xll.qlCalendarAdvance(Calendar,X1637,NDays&amp;"D")</f>
        <v>50727</v>
      </c>
      <c r="Z1637" s="132">
        <v>1.6717925727610036E-2</v>
      </c>
      <c r="AA1637" s="129">
        <v>1.6726292109678909E-2</v>
      </c>
    </row>
    <row r="1638" spans="19:27" x14ac:dyDescent="0.2">
      <c r="S1638" s="1"/>
      <c r="T1638" s="109"/>
      <c r="W1638" s="130" t="str">
        <f t="shared" si="35"/>
        <v>1w</v>
      </c>
      <c r="X1638" s="128">
        <f>_xll.qlCalendarAdvance(Calendar,X1637,W1638,"f",FALSE)</f>
        <v>50732</v>
      </c>
      <c r="Y1638" s="131">
        <f>_xll.qlCalendarAdvance(Calendar,X1638,NDays&amp;"D")</f>
        <v>50734</v>
      </c>
      <c r="Z1638" s="132">
        <v>1.6711321625022632E-2</v>
      </c>
      <c r="AA1638" s="129">
        <v>1.6719396108229034E-2</v>
      </c>
    </row>
    <row r="1639" spans="19:27" x14ac:dyDescent="0.2">
      <c r="S1639" s="1"/>
      <c r="T1639" s="109"/>
      <c r="W1639" s="130" t="str">
        <f t="shared" si="35"/>
        <v>1w</v>
      </c>
      <c r="X1639" s="128">
        <f>_xll.qlCalendarAdvance(Calendar,X1638,W1639,"f",FALSE)</f>
        <v>50739</v>
      </c>
      <c r="Y1639" s="131">
        <f>_xll.qlCalendarAdvance(Calendar,X1639,NDays&amp;"D")</f>
        <v>50741</v>
      </c>
      <c r="Z1639" s="132">
        <v>1.6704910900140035E-2</v>
      </c>
      <c r="AA1639" s="129">
        <v>1.6712549288797618E-2</v>
      </c>
    </row>
    <row r="1640" spans="19:27" x14ac:dyDescent="0.2">
      <c r="S1640" s="1"/>
      <c r="T1640" s="109"/>
      <c r="W1640" s="130" t="str">
        <f t="shared" si="35"/>
        <v>1w</v>
      </c>
      <c r="X1640" s="128">
        <f>_xll.qlCalendarAdvance(Calendar,X1639,W1640,"f",FALSE)</f>
        <v>50746</v>
      </c>
      <c r="Y1640" s="131">
        <f>_xll.qlCalendarAdvance(Calendar,X1640,NDays&amp;"D")</f>
        <v>50748</v>
      </c>
      <c r="Z1640" s="132">
        <v>1.6698399144607912E-2</v>
      </c>
      <c r="AA1640" s="129">
        <v>1.6705751651704404E-2</v>
      </c>
    </row>
    <row r="1641" spans="19:27" x14ac:dyDescent="0.2">
      <c r="S1641" s="1"/>
      <c r="T1641" s="109"/>
      <c r="W1641" s="130" t="str">
        <f t="shared" si="35"/>
        <v>1w</v>
      </c>
      <c r="X1641" s="128">
        <f>_xll.qlCalendarAdvance(Calendar,X1640,W1641,"f",FALSE)</f>
        <v>50753</v>
      </c>
      <c r="Y1641" s="131">
        <f>_xll.qlCalendarAdvance(Calendar,X1641,NDays&amp;"D")</f>
        <v>50755</v>
      </c>
      <c r="Z1641" s="132">
        <v>1.6691936784560824E-2</v>
      </c>
      <c r="AA1641" s="129">
        <v>1.6699003196549711E-2</v>
      </c>
    </row>
    <row r="1642" spans="19:27" x14ac:dyDescent="0.2">
      <c r="S1642" s="1"/>
      <c r="T1642" s="109"/>
      <c r="W1642" s="130" t="str">
        <f t="shared" si="35"/>
        <v>1w</v>
      </c>
      <c r="X1642" s="128">
        <f>_xll.qlCalendarAdvance(Calendar,X1641,W1642,"f",FALSE)</f>
        <v>50760</v>
      </c>
      <c r="Y1642" s="131">
        <f>_xll.qlCalendarAdvance(Calendar,X1642,NDays&amp;"D")</f>
        <v>50762</v>
      </c>
      <c r="Z1642" s="132">
        <v>1.6685523819762516E-2</v>
      </c>
      <c r="AA1642" s="129">
        <v>1.6692303923573348E-2</v>
      </c>
    </row>
    <row r="1643" spans="19:27" x14ac:dyDescent="0.2">
      <c r="S1643" s="1"/>
      <c r="T1643" s="109"/>
      <c r="W1643" s="130" t="str">
        <f t="shared" si="35"/>
        <v>1w</v>
      </c>
      <c r="X1643" s="128">
        <f>_xll.qlCalendarAdvance(Calendar,X1642,W1643,"f",FALSE)</f>
        <v>50767</v>
      </c>
      <c r="Y1643" s="131">
        <f>_xll.qlCalendarAdvance(Calendar,X1643,NDays&amp;"D")</f>
        <v>50769</v>
      </c>
      <c r="Z1643" s="132">
        <v>1.6679160249974956E-2</v>
      </c>
      <c r="AA1643" s="129">
        <v>1.668565383269538E-2</v>
      </c>
    </row>
    <row r="1644" spans="19:27" x14ac:dyDescent="0.2">
      <c r="S1644" s="1"/>
      <c r="T1644" s="109"/>
      <c r="W1644" s="130" t="str">
        <f t="shared" si="35"/>
        <v>1w</v>
      </c>
      <c r="X1644" s="128">
        <f>_xll.qlCalendarAdvance(Calendar,X1643,W1644,"f",FALSE)</f>
        <v>50774</v>
      </c>
      <c r="Y1644" s="131">
        <f>_xll.qlCalendarAdvance(Calendar,X1644,NDays&amp;"D")</f>
        <v>50776</v>
      </c>
      <c r="Z1644" s="132">
        <v>1.6672846074962777E-2</v>
      </c>
      <c r="AA1644" s="129">
        <v>1.6679052923995741E-2</v>
      </c>
    </row>
    <row r="1645" spans="19:27" x14ac:dyDescent="0.2">
      <c r="S1645" s="1"/>
      <c r="T1645" s="109"/>
      <c r="W1645" s="130" t="str">
        <f t="shared" si="35"/>
        <v>1w</v>
      </c>
      <c r="X1645" s="128">
        <f>_xll.qlCalendarAdvance(Calendar,X1644,W1645,"f",FALSE)</f>
        <v>50781</v>
      </c>
      <c r="Y1645" s="131">
        <f>_xll.qlCalendarAdvance(Calendar,X1645,NDays&amp;"D")</f>
        <v>50783</v>
      </c>
      <c r="Z1645" s="132">
        <v>1.6666581294495941E-2</v>
      </c>
      <c r="AA1645" s="129">
        <v>1.6672501197234624E-2</v>
      </c>
    </row>
    <row r="1646" spans="19:27" x14ac:dyDescent="0.2">
      <c r="S1646" s="1"/>
      <c r="T1646" s="109"/>
      <c r="W1646" s="130" t="str">
        <f t="shared" si="35"/>
        <v>1w</v>
      </c>
      <c r="X1646" s="128">
        <f>_xll.qlCalendarAdvance(Calendar,X1645,W1646,"f",FALSE)</f>
        <v>50788</v>
      </c>
      <c r="Y1646" s="131">
        <f>_xll.qlCalendarAdvance(Calendar,X1646,NDays&amp;"D")</f>
        <v>50790</v>
      </c>
      <c r="Z1646" s="132">
        <v>1.6660365908341745E-2</v>
      </c>
      <c r="AA1646" s="129">
        <v>1.6665998652731773E-2</v>
      </c>
    </row>
    <row r="1647" spans="19:27" x14ac:dyDescent="0.2">
      <c r="S1647" s="1"/>
      <c r="T1647" s="109"/>
      <c r="W1647" s="130" t="str">
        <f t="shared" si="35"/>
        <v>1w</v>
      </c>
      <c r="X1647" s="128">
        <f>_xll.qlCalendarAdvance(Calendar,X1646,W1647,"f",FALSE)</f>
        <v>50795</v>
      </c>
      <c r="Y1647" s="131">
        <f>_xll.qlCalendarAdvance(Calendar,X1647,NDays&amp;"D")</f>
        <v>50797</v>
      </c>
      <c r="Z1647" s="132">
        <v>1.6654199916269263E-2</v>
      </c>
      <c r="AA1647" s="129">
        <v>1.6659545290167443E-2</v>
      </c>
    </row>
    <row r="1648" spans="19:27" x14ac:dyDescent="0.2">
      <c r="S1648" s="1"/>
      <c r="T1648" s="109"/>
      <c r="W1648" s="130" t="str">
        <f t="shared" si="35"/>
        <v>1w</v>
      </c>
      <c r="X1648" s="128">
        <f>_xll.qlCalendarAdvance(Calendar,X1647,W1648,"f",FALSE)</f>
        <v>50802</v>
      </c>
      <c r="Y1648" s="131">
        <f>_xll.qlCalendarAdvance(Calendar,X1648,NDays&amp;"D")</f>
        <v>50804</v>
      </c>
      <c r="Z1648" s="132">
        <v>1.6648126639532974E-2</v>
      </c>
      <c r="AA1648" s="129">
        <v>1.665314110986138E-2</v>
      </c>
    </row>
    <row r="1649" spans="19:27" x14ac:dyDescent="0.2">
      <c r="S1649" s="1"/>
      <c r="T1649" s="109"/>
      <c r="W1649" s="130" t="str">
        <f t="shared" si="35"/>
        <v>1w</v>
      </c>
      <c r="X1649" s="128">
        <f>_xll.qlCalendarAdvance(Calendar,X1648,W1649,"f",FALSE)</f>
        <v>50809</v>
      </c>
      <c r="Y1649" s="131">
        <f>_xll.qlCalendarAdvance(Calendar,X1649,NDays&amp;"D")</f>
        <v>50811</v>
      </c>
      <c r="Z1649" s="132">
        <v>1.6642056186955509E-2</v>
      </c>
      <c r="AA1649" s="129">
        <v>1.6646786111493839E-2</v>
      </c>
    </row>
    <row r="1650" spans="19:27" x14ac:dyDescent="0.2">
      <c r="S1650" s="1"/>
      <c r="T1650" s="109"/>
      <c r="W1650" s="130" t="str">
        <f t="shared" si="35"/>
        <v>1w</v>
      </c>
      <c r="X1650" s="128">
        <f>_xll.qlCalendarAdvance(Calendar,X1649,W1650,"f",FALSE)</f>
        <v>50816</v>
      </c>
      <c r="Y1650" s="131">
        <f>_xll.qlCalendarAdvance(Calendar,X1650,NDays&amp;"D")</f>
        <v>50818</v>
      </c>
      <c r="Z1650" s="132">
        <v>1.6636035125421209E-2</v>
      </c>
      <c r="AA1650" s="129">
        <v>1.6640480295384563E-2</v>
      </c>
    </row>
    <row r="1651" spans="19:27" x14ac:dyDescent="0.2">
      <c r="S1651" s="1"/>
      <c r="T1651" s="109"/>
      <c r="W1651" s="130" t="str">
        <f t="shared" si="35"/>
        <v>1w</v>
      </c>
      <c r="X1651" s="128">
        <f>_xll.qlCalendarAdvance(Calendar,X1650,W1651,"f",FALSE)</f>
        <v>50823</v>
      </c>
      <c r="Y1651" s="131">
        <f>_xll.qlCalendarAdvance(Calendar,X1651,NDays&amp;"D")</f>
        <v>50825</v>
      </c>
      <c r="Z1651" s="132">
        <v>1.6630063454710922E-2</v>
      </c>
      <c r="AA1651" s="129">
        <v>1.6634223661293746E-2</v>
      </c>
    </row>
    <row r="1652" spans="19:27" x14ac:dyDescent="0.2">
      <c r="S1652" s="1"/>
      <c r="T1652" s="109"/>
      <c r="W1652" s="130" t="str">
        <f t="shared" si="35"/>
        <v>1w</v>
      </c>
      <c r="X1652" s="128">
        <f>_xll.qlCalendarAdvance(Calendar,X1651,W1652,"f",FALSE)</f>
        <v>50830</v>
      </c>
      <c r="Y1652" s="131">
        <f>_xll.qlCalendarAdvance(Calendar,X1652,NDays&amp;"D")</f>
        <v>50832</v>
      </c>
      <c r="Z1652" s="132">
        <v>1.6624051157618686E-2</v>
      </c>
      <c r="AA1652" s="129">
        <v>1.6628016209221386E-2</v>
      </c>
    </row>
    <row r="1653" spans="19:27" x14ac:dyDescent="0.2">
      <c r="S1653" s="1"/>
      <c r="T1653" s="109"/>
      <c r="W1653" s="130" t="str">
        <f t="shared" si="35"/>
        <v>1w</v>
      </c>
      <c r="X1653" s="128">
        <f>_xll.qlCalendarAdvance(Calendar,X1652,W1653,"f",FALSE)</f>
        <v>50837</v>
      </c>
      <c r="Y1653" s="131">
        <f>_xll.qlCalendarAdvance(Calendar,X1653,NDays&amp;"D")</f>
        <v>50839</v>
      </c>
      <c r="Z1653" s="132">
        <v>1.6618188041175899E-2</v>
      </c>
      <c r="AA1653" s="129">
        <v>1.662185793924742E-2</v>
      </c>
    </row>
    <row r="1654" spans="19:27" x14ac:dyDescent="0.2">
      <c r="S1654" s="1"/>
      <c r="T1654" s="109"/>
      <c r="W1654" s="130" t="str">
        <f t="shared" si="35"/>
        <v>1w</v>
      </c>
      <c r="X1654" s="128">
        <f>_xll.qlCalendarAdvance(Calendar,X1653,W1654,"f",FALSE)</f>
        <v>50844</v>
      </c>
      <c r="Y1654" s="131">
        <f>_xll.qlCalendarAdvance(Calendar,X1654,NDays&amp;"D")</f>
        <v>50846</v>
      </c>
      <c r="Z1654" s="132">
        <v>1.6612374321969849E-2</v>
      </c>
      <c r="AA1654" s="129">
        <v>1.6615748851371848E-2</v>
      </c>
    </row>
    <row r="1655" spans="19:27" x14ac:dyDescent="0.2">
      <c r="S1655" s="1"/>
      <c r="T1655" s="109"/>
      <c r="W1655" s="130" t="str">
        <f t="shared" si="35"/>
        <v>1w</v>
      </c>
      <c r="X1655" s="128">
        <f>_xll.qlCalendarAdvance(Calendar,X1654,W1655,"f",FALSE)</f>
        <v>50851</v>
      </c>
      <c r="Y1655" s="131">
        <f>_xll.qlCalendarAdvance(Calendar,X1655,NDays&amp;"D")</f>
        <v>50853</v>
      </c>
      <c r="Z1655" s="132">
        <v>1.6606609999784187E-2</v>
      </c>
      <c r="AA1655" s="129">
        <v>1.6609688945674606E-2</v>
      </c>
    </row>
    <row r="1656" spans="19:27" x14ac:dyDescent="0.2">
      <c r="S1656" s="1"/>
      <c r="T1656" s="109"/>
      <c r="W1656" s="130" t="str">
        <f t="shared" si="35"/>
        <v>1w</v>
      </c>
      <c r="X1656" s="128">
        <f>_xll.qlCalendarAdvance(Calendar,X1655,W1656,"f",FALSE)</f>
        <v>50858</v>
      </c>
      <c r="Y1656" s="131">
        <f>_xll.qlCalendarAdvance(Calendar,X1656,NDays&amp;"D")</f>
        <v>50860</v>
      </c>
      <c r="Z1656" s="132">
        <v>1.6600911723919923E-2</v>
      </c>
      <c r="AA1656" s="129">
        <v>1.6603678221835949E-2</v>
      </c>
    </row>
    <row r="1657" spans="19:27" x14ac:dyDescent="0.2">
      <c r="S1657" s="1"/>
      <c r="T1657" s="109"/>
      <c r="W1657" s="130" t="str">
        <f t="shared" si="35"/>
        <v>1w</v>
      </c>
      <c r="X1657" s="128">
        <f>_xll.qlCalendarAdvance(Calendar,X1656,W1657,"f",FALSE)</f>
        <v>50865</v>
      </c>
      <c r="Y1657" s="131">
        <f>_xll.qlCalendarAdvance(Calendar,X1657,NDays&amp;"D")</f>
        <v>50867</v>
      </c>
      <c r="Z1657" s="132">
        <v>1.6595242927636547E-2</v>
      </c>
      <c r="AA1657" s="129">
        <v>1.6597553645869567E-2</v>
      </c>
    </row>
    <row r="1658" spans="19:27" x14ac:dyDescent="0.2">
      <c r="S1658" s="1"/>
      <c r="T1658" s="109"/>
      <c r="W1658" s="130" t="str">
        <f t="shared" si="35"/>
        <v>1w</v>
      </c>
      <c r="X1658" s="128">
        <f>_xll.qlCalendarAdvance(Calendar,X1657,W1658,"f",FALSE)</f>
        <v>50872</v>
      </c>
      <c r="Y1658" s="131">
        <f>_xll.qlCalendarAdvance(Calendar,X1658,NDays&amp;"D")</f>
        <v>50874</v>
      </c>
      <c r="Z1658" s="132">
        <v>1.658962352537699E-2</v>
      </c>
      <c r="AA1658" s="129">
        <v>1.6591804320693626E-2</v>
      </c>
    </row>
    <row r="1659" spans="19:27" x14ac:dyDescent="0.2">
      <c r="S1659" s="1"/>
      <c r="T1659" s="109"/>
      <c r="W1659" s="130" t="str">
        <f t="shared" si="35"/>
        <v>1w</v>
      </c>
      <c r="X1659" s="128">
        <f>_xll.qlCalendarAdvance(Calendar,X1658,W1659,"f",FALSE)</f>
        <v>50879</v>
      </c>
      <c r="Y1659" s="131">
        <f>_xll.qlCalendarAdvance(Calendar,X1659,NDays&amp;"D")</f>
        <v>50881</v>
      </c>
      <c r="Z1659" s="132">
        <v>1.6584053516936575E-2</v>
      </c>
      <c r="AA1659" s="129">
        <v>1.6585941143150151E-2</v>
      </c>
    </row>
    <row r="1660" spans="19:27" x14ac:dyDescent="0.2">
      <c r="S1660" s="1"/>
      <c r="T1660" s="109"/>
      <c r="W1660" s="130" t="str">
        <f t="shared" si="35"/>
        <v>1w</v>
      </c>
      <c r="X1660" s="128">
        <f>_xll.qlCalendarAdvance(Calendar,X1659,W1660,"f",FALSE)</f>
        <v>50886</v>
      </c>
      <c r="Y1660" s="131">
        <f>_xll.qlCalendarAdvance(Calendar,X1660,NDays&amp;"D")</f>
        <v>50888</v>
      </c>
      <c r="Z1660" s="132">
        <v>1.6578532902105363E-2</v>
      </c>
      <c r="AA1660" s="129">
        <v>1.658012714770507E-2</v>
      </c>
    </row>
    <row r="1661" spans="19:27" x14ac:dyDescent="0.2">
      <c r="S1661" s="1"/>
      <c r="T1661" s="109"/>
      <c r="W1661" s="130" t="str">
        <f t="shared" si="35"/>
        <v>1w</v>
      </c>
      <c r="X1661" s="128">
        <f>_xll.qlCalendarAdvance(Calendar,X1660,W1661,"f",FALSE)</f>
        <v>50893</v>
      </c>
      <c r="Y1661" s="131">
        <f>_xll.qlCalendarAdvance(Calendar,X1661,NDays&amp;"D")</f>
        <v>50895</v>
      </c>
      <c r="Z1661" s="132">
        <v>1.6573061392015837E-2</v>
      </c>
      <c r="AA1661" s="129">
        <v>1.657436233443832E-2</v>
      </c>
    </row>
    <row r="1662" spans="19:27" x14ac:dyDescent="0.2">
      <c r="S1662" s="1"/>
      <c r="T1662" s="109"/>
      <c r="W1662" s="130" t="str">
        <f t="shared" si="35"/>
        <v>1w</v>
      </c>
      <c r="X1662" s="128">
        <f>_xll.qlCalendarAdvance(Calendar,X1661,W1662,"f",FALSE)</f>
        <v>50900</v>
      </c>
      <c r="Y1662" s="131">
        <f>_xll.qlCalendarAdvance(Calendar,X1662,NDays&amp;"D")</f>
        <v>50902</v>
      </c>
      <c r="Z1662" s="132">
        <v>1.6567642842980287E-2</v>
      </c>
      <c r="AA1662" s="129">
        <v>1.6568646702950218E-2</v>
      </c>
    </row>
    <row r="1663" spans="19:27" x14ac:dyDescent="0.2">
      <c r="S1663" s="1"/>
      <c r="T1663" s="109"/>
      <c r="W1663" s="130" t="str">
        <f t="shared" si="35"/>
        <v>1w</v>
      </c>
      <c r="X1663" s="128">
        <f>_xll.qlCalendarAdvance(Calendar,X1662,W1663,"f",FALSE)</f>
        <v>50907</v>
      </c>
      <c r="Y1663" s="131">
        <f>_xll.qlCalendarAdvance(Calendar,X1663,NDays&amp;"D")</f>
        <v>50909</v>
      </c>
      <c r="Z1663" s="132">
        <v>1.6562273689276041E-2</v>
      </c>
      <c r="AA1663" s="129">
        <v>1.6562980253800319E-2</v>
      </c>
    </row>
    <row r="1664" spans="19:27" x14ac:dyDescent="0.2">
      <c r="S1664" s="1"/>
      <c r="T1664" s="109"/>
      <c r="W1664" s="130" t="str">
        <f t="shared" si="35"/>
        <v>1w</v>
      </c>
      <c r="X1664" s="128">
        <f>_xll.qlCalendarAdvance(Calendar,X1663,W1664,"f",FALSE)</f>
        <v>50914</v>
      </c>
      <c r="Y1664" s="131">
        <f>_xll.qlCalendarAdvance(Calendar,X1664,NDays&amp;"D")</f>
        <v>50916</v>
      </c>
      <c r="Z1664" s="132">
        <v>1.6556953930701519E-2</v>
      </c>
      <c r="AA1664" s="129">
        <v>1.6557362986588942E-2</v>
      </c>
    </row>
    <row r="1665" spans="19:27" x14ac:dyDescent="0.2">
      <c r="S1665" s="1"/>
      <c r="T1665" s="109"/>
      <c r="W1665" s="130" t="str">
        <f t="shared" si="35"/>
        <v>1w</v>
      </c>
      <c r="X1665" s="128">
        <f>_xll.qlCalendarAdvance(Calendar,X1664,W1665,"f",FALSE)</f>
        <v>50921</v>
      </c>
      <c r="Y1665" s="131">
        <f>_xll.qlCalendarAdvance(Calendar,X1665,NDays&amp;"D")</f>
        <v>50923</v>
      </c>
      <c r="Z1665" s="132">
        <v>1.6551683567056014E-2</v>
      </c>
      <c r="AA1665" s="129">
        <v>1.6551794901396022E-2</v>
      </c>
    </row>
    <row r="1666" spans="19:27" x14ac:dyDescent="0.2">
      <c r="S1666" s="1"/>
      <c r="T1666" s="109"/>
      <c r="W1666" s="130" t="str">
        <f t="shared" si="35"/>
        <v>1w</v>
      </c>
      <c r="X1666" s="128">
        <f>_xll.qlCalendarAdvance(Calendar,X1665,W1666,"f",FALSE)</f>
        <v>50928</v>
      </c>
      <c r="Y1666" s="131">
        <f>_xll.qlCalendarAdvance(Calendar,X1666,NDays&amp;"D")</f>
        <v>50930</v>
      </c>
      <c r="Z1666" s="132">
        <v>1.6546462598140556E-2</v>
      </c>
      <c r="AA1666" s="129">
        <v>1.6546275998301496E-2</v>
      </c>
    </row>
    <row r="1667" spans="19:27" x14ac:dyDescent="0.2">
      <c r="S1667" s="1"/>
      <c r="T1667" s="109"/>
      <c r="W1667" s="130" t="str">
        <f t="shared" si="35"/>
        <v>1w</v>
      </c>
      <c r="X1667" s="128">
        <f>_xll.qlCalendarAdvance(Calendar,X1666,W1667,"f",FALSE)</f>
        <v>50935</v>
      </c>
      <c r="Y1667" s="131">
        <f>_xll.qlCalendarAdvance(Calendar,X1667,NDays&amp;"D")</f>
        <v>50937</v>
      </c>
      <c r="Z1667" s="132">
        <v>1.6541291023759647E-2</v>
      </c>
      <c r="AA1667" s="129">
        <v>1.6540806277225428E-2</v>
      </c>
    </row>
    <row r="1668" spans="19:27" x14ac:dyDescent="0.2">
      <c r="S1668" s="1"/>
      <c r="T1668" s="109"/>
      <c r="W1668" s="130" t="str">
        <f t="shared" si="35"/>
        <v>1w</v>
      </c>
      <c r="X1668" s="128">
        <f>_xll.qlCalendarAdvance(Calendar,X1667,W1668,"f",FALSE)</f>
        <v>50942</v>
      </c>
      <c r="Y1668" s="131">
        <f>_xll.qlCalendarAdvance(Calendar,X1668,NDays&amp;"D")</f>
        <v>50944</v>
      </c>
      <c r="Z1668" s="132">
        <v>1.6536168843716052E-2</v>
      </c>
      <c r="AA1668" s="129">
        <v>1.6535385738247754E-2</v>
      </c>
    </row>
    <row r="1669" spans="19:27" x14ac:dyDescent="0.2">
      <c r="S1669" s="1"/>
      <c r="T1669" s="109"/>
      <c r="W1669" s="130" t="str">
        <f t="shared" si="35"/>
        <v>1w</v>
      </c>
      <c r="X1669" s="128">
        <f>_xll.qlCalendarAdvance(Calendar,X1668,W1669,"f",FALSE)</f>
        <v>50949</v>
      </c>
      <c r="Y1669" s="131">
        <f>_xll.qlCalendarAdvance(Calendar,X1669,NDays&amp;"D")</f>
        <v>50951</v>
      </c>
      <c r="Z1669" s="132">
        <v>1.6531096057819494E-2</v>
      </c>
      <c r="AA1669" s="129">
        <v>1.6530014381288538E-2</v>
      </c>
    </row>
    <row r="1670" spans="19:27" x14ac:dyDescent="0.2">
      <c r="S1670" s="1"/>
      <c r="T1670" s="109"/>
      <c r="W1670" s="130" t="str">
        <f t="shared" si="35"/>
        <v>1w</v>
      </c>
      <c r="X1670" s="128">
        <f>_xll.qlCalendarAdvance(Calendar,X1669,W1670,"f",FALSE)</f>
        <v>50956</v>
      </c>
      <c r="Y1670" s="131">
        <f>_xll.qlCalendarAdvance(Calendar,X1670,NDays&amp;"D")</f>
        <v>50958</v>
      </c>
      <c r="Z1670" s="132">
        <v>1.652607266587534E-2</v>
      </c>
      <c r="AA1670" s="129">
        <v>1.652469220634778E-2</v>
      </c>
    </row>
    <row r="1671" spans="19:27" x14ac:dyDescent="0.2">
      <c r="S1671" s="1"/>
      <c r="T1671" s="109"/>
      <c r="W1671" s="130" t="str">
        <f t="shared" si="35"/>
        <v>1w</v>
      </c>
      <c r="X1671" s="128">
        <f>_xll.qlCalendarAdvance(Calendar,X1670,W1671,"f",FALSE)</f>
        <v>50963</v>
      </c>
      <c r="Y1671" s="131">
        <f>_xll.qlCalendarAdvance(Calendar,X1671,NDays&amp;"D")</f>
        <v>50965</v>
      </c>
      <c r="Z1671" s="132">
        <v>1.6521098667696785E-2</v>
      </c>
      <c r="AA1671" s="129">
        <v>1.6519419213505415E-2</v>
      </c>
    </row>
    <row r="1672" spans="19:27" x14ac:dyDescent="0.2">
      <c r="S1672" s="1"/>
      <c r="T1672" s="109"/>
      <c r="W1672" s="130" t="str">
        <f t="shared" si="35"/>
        <v>1w</v>
      </c>
      <c r="X1672" s="128">
        <f>_xll.qlCalendarAdvance(Calendar,X1671,W1672,"f",FALSE)</f>
        <v>50970</v>
      </c>
      <c r="Y1672" s="131">
        <f>_xll.qlCalendarAdvance(Calendar,X1672,NDays&amp;"D")</f>
        <v>50972</v>
      </c>
      <c r="Z1672" s="132">
        <v>1.6516174063095284E-2</v>
      </c>
      <c r="AA1672" s="129">
        <v>1.6514195402521636E-2</v>
      </c>
    </row>
    <row r="1673" spans="19:27" x14ac:dyDescent="0.2">
      <c r="S1673" s="1"/>
      <c r="T1673" s="109"/>
      <c r="W1673" s="130" t="str">
        <f t="shared" si="35"/>
        <v>1w</v>
      </c>
      <c r="X1673" s="128">
        <f>_xll.qlCalendarAdvance(Calendar,X1672,W1673,"f",FALSE)</f>
        <v>50977</v>
      </c>
      <c r="Y1673" s="131">
        <f>_xll.qlCalendarAdvance(Calendar,X1673,NDays&amp;"D")</f>
        <v>50979</v>
      </c>
      <c r="Z1673" s="132">
        <v>1.6511298851885771E-2</v>
      </c>
      <c r="AA1673" s="129">
        <v>1.6509020773796124E-2</v>
      </c>
    </row>
    <row r="1674" spans="19:27" x14ac:dyDescent="0.2">
      <c r="S1674" s="1"/>
      <c r="T1674" s="109"/>
      <c r="W1674" s="130" t="str">
        <f t="shared" si="35"/>
        <v>1w</v>
      </c>
      <c r="X1674" s="128">
        <f>_xll.qlCalendarAdvance(Calendar,X1673,W1674,"f",FALSE)</f>
        <v>50984</v>
      </c>
      <c r="Y1674" s="131">
        <f>_xll.qlCalendarAdvance(Calendar,X1674,NDays&amp;"D")</f>
        <v>50986</v>
      </c>
      <c r="Z1674" s="132">
        <v>1.6506473033883171E-2</v>
      </c>
      <c r="AA1674" s="129">
        <v>1.6503895326929197E-2</v>
      </c>
    </row>
    <row r="1675" spans="19:27" x14ac:dyDescent="0.2">
      <c r="S1675" s="1"/>
      <c r="T1675" s="109"/>
      <c r="W1675" s="130" t="str">
        <f t="shared" si="35"/>
        <v>1w</v>
      </c>
      <c r="X1675" s="128">
        <f>_xll.qlCalendarAdvance(Calendar,X1674,W1675,"f",FALSE)</f>
        <v>50991</v>
      </c>
      <c r="Y1675" s="131">
        <f>_xll.qlCalendarAdvance(Calendar,X1675,NDays&amp;"D")</f>
        <v>50993</v>
      </c>
      <c r="Z1675" s="132">
        <v>1.6501696608905898E-2</v>
      </c>
      <c r="AA1675" s="129">
        <v>1.6498819062160663E-2</v>
      </c>
    </row>
    <row r="1676" spans="19:27" x14ac:dyDescent="0.2">
      <c r="S1676" s="1"/>
      <c r="T1676" s="109"/>
      <c r="W1676" s="130" t="str">
        <f t="shared" si="35"/>
        <v>1w</v>
      </c>
      <c r="X1676" s="128">
        <f>_xll.qlCalendarAdvance(Calendar,X1675,W1676,"f",FALSE)</f>
        <v>50998</v>
      </c>
      <c r="Y1676" s="131">
        <f>_xll.qlCalendarAdvance(Calendar,X1676,NDays&amp;"D")</f>
        <v>51000</v>
      </c>
      <c r="Z1676" s="132">
        <v>1.6496969576774954E-2</v>
      </c>
      <c r="AA1676" s="129">
        <v>1.6493791979490524E-2</v>
      </c>
    </row>
    <row r="1677" spans="19:27" x14ac:dyDescent="0.2">
      <c r="S1677" s="1"/>
      <c r="T1677" s="109"/>
      <c r="W1677" s="130" t="str">
        <f t="shared" si="35"/>
        <v>1w</v>
      </c>
      <c r="X1677" s="128">
        <f>_xll.qlCalendarAdvance(Calendar,X1676,W1677,"f",FALSE)</f>
        <v>51005</v>
      </c>
      <c r="Y1677" s="131">
        <f>_xll.qlCalendarAdvance(Calendar,X1677,NDays&amp;"D")</f>
        <v>51007</v>
      </c>
      <c r="Z1677" s="132">
        <v>1.649229193731136E-2</v>
      </c>
      <c r="AA1677" s="129">
        <v>1.6488814078758907E-2</v>
      </c>
    </row>
    <row r="1678" spans="19:27" x14ac:dyDescent="0.2">
      <c r="S1678" s="1"/>
      <c r="T1678" s="109"/>
      <c r="W1678" s="130" t="str">
        <f t="shared" si="35"/>
        <v>1w</v>
      </c>
      <c r="X1678" s="128">
        <f>_xll.qlCalendarAdvance(Calendar,X1677,W1678,"f",FALSE)</f>
        <v>51012</v>
      </c>
      <c r="Y1678" s="131">
        <f>_xll.qlCalendarAdvance(Calendar,X1678,NDays&amp;"D")</f>
        <v>51014</v>
      </c>
      <c r="Z1678" s="132">
        <v>1.6487607916619948E-2</v>
      </c>
      <c r="AA1678" s="129">
        <v>1.6483885360125683E-2</v>
      </c>
    </row>
    <row r="1679" spans="19:27" x14ac:dyDescent="0.2">
      <c r="S1679" s="1"/>
      <c r="T1679" s="109"/>
      <c r="W1679" s="130" t="str">
        <f t="shared" si="35"/>
        <v>1w</v>
      </c>
      <c r="X1679" s="128">
        <f>_xll.qlCalendarAdvance(Calendar,X1678,W1679,"f",FALSE)</f>
        <v>51019</v>
      </c>
      <c r="Y1679" s="131">
        <f>_xll.qlCalendarAdvance(Calendar,X1679,NDays&amp;"D")</f>
        <v>51021</v>
      </c>
      <c r="Z1679" s="132">
        <v>1.6483025743354952E-2</v>
      </c>
      <c r="AA1679" s="129">
        <v>1.6479005823351045E-2</v>
      </c>
    </row>
    <row r="1680" spans="19:27" x14ac:dyDescent="0.2">
      <c r="S1680" s="1"/>
      <c r="T1680" s="109"/>
      <c r="W1680" s="130" t="str">
        <f t="shared" si="35"/>
        <v>1w</v>
      </c>
      <c r="X1680" s="128">
        <f>_xll.qlCalendarAdvance(Calendar,X1679,W1680,"f",FALSE)</f>
        <v>51026</v>
      </c>
      <c r="Y1680" s="131">
        <f>_xll.qlCalendarAdvance(Calendar,X1680,NDays&amp;"D")</f>
        <v>51028</v>
      </c>
      <c r="Z1680" s="132">
        <v>1.6478492959931621E-2</v>
      </c>
      <c r="AA1680" s="129">
        <v>1.6474175468914609E-2</v>
      </c>
    </row>
    <row r="1681" spans="19:27" x14ac:dyDescent="0.2">
      <c r="S1681" s="1"/>
      <c r="T1681" s="109"/>
      <c r="W1681" s="130" t="str">
        <f t="shared" si="35"/>
        <v>1w</v>
      </c>
      <c r="X1681" s="128">
        <f>_xll.qlCalendarAdvance(Calendar,X1680,W1681,"f",FALSE)</f>
        <v>51033</v>
      </c>
      <c r="Y1681" s="131">
        <f>_xll.qlCalendarAdvance(Calendar,X1681,NDays&amp;"D")</f>
        <v>51035</v>
      </c>
      <c r="Z1681" s="132">
        <v>1.6474009566179542E-2</v>
      </c>
      <c r="AA1681" s="129">
        <v>1.6469394296256823E-2</v>
      </c>
    </row>
    <row r="1682" spans="19:27" x14ac:dyDescent="0.2">
      <c r="S1682" s="1"/>
      <c r="T1682" s="109"/>
      <c r="W1682" s="130" t="str">
        <f t="shared" si="35"/>
        <v>1w</v>
      </c>
      <c r="X1682" s="128">
        <f>_xll.qlCalendarAdvance(Calendar,X1681,W1682,"f",FALSE)</f>
        <v>51040</v>
      </c>
      <c r="Y1682" s="131">
        <f>_xll.qlCalendarAdvance(Calendar,X1682,NDays&amp;"D")</f>
        <v>51042</v>
      </c>
      <c r="Z1682" s="132">
        <v>1.6469575561934457E-2</v>
      </c>
      <c r="AA1682" s="129">
        <v>1.6464662305697431E-2</v>
      </c>
    </row>
    <row r="1683" spans="19:27" x14ac:dyDescent="0.2">
      <c r="S1683" s="1"/>
      <c r="T1683" s="109"/>
      <c r="W1683" s="130" t="str">
        <f t="shared" si="35"/>
        <v>1w</v>
      </c>
      <c r="X1683" s="128">
        <f>_xll.qlCalendarAdvance(Calendar,X1682,W1683,"f",FALSE)</f>
        <v>51047</v>
      </c>
      <c r="Y1683" s="131">
        <f>_xll.qlCalendarAdvance(Calendar,X1683,NDays&amp;"D")</f>
        <v>51049</v>
      </c>
      <c r="Z1683" s="132">
        <v>1.6465263336797105E-2</v>
      </c>
      <c r="AA1683" s="129">
        <v>1.6459979496996624E-2</v>
      </c>
    </row>
    <row r="1684" spans="19:27" x14ac:dyDescent="0.2">
      <c r="S1684" s="1"/>
      <c r="T1684" s="109"/>
      <c r="W1684" s="130" t="str">
        <f t="shared" si="35"/>
        <v>1w</v>
      </c>
      <c r="X1684" s="128">
        <f>_xll.qlCalendarAdvance(Calendar,X1683,W1684,"f",FALSE)</f>
        <v>51054</v>
      </c>
      <c r="Y1684" s="131">
        <f>_xll.qlCalendarAdvance(Calendar,X1684,NDays&amp;"D")</f>
        <v>51056</v>
      </c>
      <c r="Z1684" s="132">
        <v>1.646093144117055E-2</v>
      </c>
      <c r="AA1684" s="129">
        <v>1.6455345870394211E-2</v>
      </c>
    </row>
    <row r="1685" spans="19:27" x14ac:dyDescent="0.2">
      <c r="S1685" s="1"/>
      <c r="T1685" s="109"/>
      <c r="W1685" s="130" t="str">
        <f t="shared" ref="W1685:W1748" si="36">W1684</f>
        <v>1w</v>
      </c>
      <c r="X1685" s="128">
        <f>_xll.qlCalendarAdvance(Calendar,X1684,W1685,"f",FALSE)</f>
        <v>51061</v>
      </c>
      <c r="Y1685" s="131">
        <f>_xll.qlCalendarAdvance(Calendar,X1685,NDays&amp;"D")</f>
        <v>51063</v>
      </c>
      <c r="Z1685" s="132">
        <v>1.6456648936853297E-2</v>
      </c>
      <c r="AA1685" s="129">
        <v>1.6450761425890192E-2</v>
      </c>
    </row>
    <row r="1686" spans="19:27" x14ac:dyDescent="0.2">
      <c r="S1686" s="1"/>
      <c r="T1686" s="109"/>
      <c r="W1686" s="130" t="str">
        <f t="shared" si="36"/>
        <v>1w</v>
      </c>
      <c r="X1686" s="128">
        <f>_xll.qlCalendarAdvance(Calendar,X1685,W1686,"f",FALSE)</f>
        <v>51068</v>
      </c>
      <c r="Y1686" s="131">
        <f>_xll.qlCalendarAdvance(Calendar,X1686,NDays&amp;"D")</f>
        <v>51070</v>
      </c>
      <c r="Z1686" s="132">
        <v>1.6452415823681999E-2</v>
      </c>
      <c r="AA1686" s="129">
        <v>1.6446226163244759E-2</v>
      </c>
    </row>
    <row r="1687" spans="19:27" x14ac:dyDescent="0.2">
      <c r="S1687" s="1"/>
      <c r="T1687" s="109"/>
      <c r="W1687" s="130" t="str">
        <f t="shared" si="36"/>
        <v>1w</v>
      </c>
      <c r="X1687" s="128">
        <f>_xll.qlCalendarAdvance(Calendar,X1686,W1687,"f",FALSE)</f>
        <v>51075</v>
      </c>
      <c r="Y1687" s="131">
        <f>_xll.qlCalendarAdvance(Calendar,X1687,NDays&amp;"D")</f>
        <v>51077</v>
      </c>
      <c r="Z1687" s="132">
        <v>1.6448232101498522E-2</v>
      </c>
      <c r="AA1687" s="129">
        <v>1.6441740082777656E-2</v>
      </c>
    </row>
    <row r="1688" spans="19:27" x14ac:dyDescent="0.2">
      <c r="S1688" s="1"/>
      <c r="T1688" s="109"/>
      <c r="W1688" s="130" t="str">
        <f t="shared" si="36"/>
        <v>1w</v>
      </c>
      <c r="X1688" s="128">
        <f>_xll.qlCalendarAdvance(Calendar,X1687,W1688,"f",FALSE)</f>
        <v>51082</v>
      </c>
      <c r="Y1688" s="131">
        <f>_xll.qlCalendarAdvance(Calendar,X1688,NDays&amp;"D")</f>
        <v>51084</v>
      </c>
      <c r="Z1688" s="132">
        <v>1.6444097770144734E-2</v>
      </c>
      <c r="AA1688" s="129">
        <v>1.6437303184249075E-2</v>
      </c>
    </row>
    <row r="1689" spans="19:27" x14ac:dyDescent="0.2">
      <c r="S1689" s="1"/>
      <c r="T1689" s="109"/>
      <c r="W1689" s="130" t="str">
        <f t="shared" si="36"/>
        <v>1w</v>
      </c>
      <c r="X1689" s="128">
        <f>_xll.qlCalendarAdvance(Calendar,X1688,W1689,"f",FALSE)</f>
        <v>51089</v>
      </c>
      <c r="Y1689" s="131">
        <f>_xll.qlCalendarAdvance(Calendar,X1689,NDays&amp;"D")</f>
        <v>51091</v>
      </c>
      <c r="Z1689" s="132">
        <v>1.6440012829465105E-2</v>
      </c>
      <c r="AA1689" s="129">
        <v>1.6432915467659015E-2</v>
      </c>
    </row>
    <row r="1690" spans="19:27" x14ac:dyDescent="0.2">
      <c r="S1690" s="1"/>
      <c r="T1690" s="109"/>
      <c r="W1690" s="130" t="str">
        <f t="shared" si="36"/>
        <v>1w</v>
      </c>
      <c r="X1690" s="128">
        <f>_xll.qlCalendarAdvance(Calendar,X1689,W1690,"f",FALSE)</f>
        <v>51096</v>
      </c>
      <c r="Y1690" s="131">
        <f>_xll.qlCalendarAdvance(Calendar,X1690,NDays&amp;"D")</f>
        <v>51098</v>
      </c>
      <c r="Z1690" s="132">
        <v>1.6435977279305847E-2</v>
      </c>
      <c r="AA1690" s="129">
        <v>1.6428576933247285E-2</v>
      </c>
    </row>
    <row r="1691" spans="19:27" x14ac:dyDescent="0.2">
      <c r="S1691" s="1"/>
      <c r="T1691" s="109"/>
      <c r="W1691" s="130" t="str">
        <f t="shared" si="36"/>
        <v>1w</v>
      </c>
      <c r="X1691" s="128">
        <f>_xll.qlCalendarAdvance(Calendar,X1690,W1691,"f",FALSE)</f>
        <v>51103</v>
      </c>
      <c r="Y1691" s="131">
        <f>_xll.qlCalendarAdvance(Calendar,X1691,NDays&amp;"D")</f>
        <v>51105</v>
      </c>
      <c r="Z1691" s="132">
        <v>1.6431892024793615E-2</v>
      </c>
      <c r="AA1691" s="129">
        <v>1.6424287580774077E-2</v>
      </c>
    </row>
    <row r="1692" spans="19:27" x14ac:dyDescent="0.2">
      <c r="S1692" s="1"/>
      <c r="T1692" s="109"/>
      <c r="W1692" s="130" t="str">
        <f t="shared" si="36"/>
        <v>1w</v>
      </c>
      <c r="X1692" s="128">
        <f>_xll.qlCalendarAdvance(Calendar,X1691,W1692,"f",FALSE)</f>
        <v>51110</v>
      </c>
      <c r="Y1692" s="131">
        <f>_xll.qlCalendarAdvance(Calendar,X1692,NDays&amp;"D")</f>
        <v>51112</v>
      </c>
      <c r="Z1692" s="132">
        <v>1.6427951906811403E-2</v>
      </c>
      <c r="AA1692" s="129">
        <v>1.6420047410159455E-2</v>
      </c>
    </row>
    <row r="1693" spans="19:27" x14ac:dyDescent="0.2">
      <c r="S1693" s="1"/>
      <c r="T1693" s="109"/>
      <c r="W1693" s="130" t="str">
        <f t="shared" si="36"/>
        <v>1w</v>
      </c>
      <c r="X1693" s="128">
        <f>_xll.qlCalendarAdvance(Calendar,X1692,W1693,"f",FALSE)</f>
        <v>51117</v>
      </c>
      <c r="Y1693" s="131">
        <f>_xll.qlCalendarAdvance(Calendar,X1693,NDays&amp;"D")</f>
        <v>51119</v>
      </c>
      <c r="Z1693" s="132">
        <v>1.6424061176617995E-2</v>
      </c>
      <c r="AA1693" s="129">
        <v>1.6415856421563291E-2</v>
      </c>
    </row>
    <row r="1694" spans="19:27" x14ac:dyDescent="0.2">
      <c r="S1694" s="1"/>
      <c r="T1694" s="109"/>
      <c r="W1694" s="130" t="str">
        <f t="shared" si="36"/>
        <v>1w</v>
      </c>
      <c r="X1694" s="128">
        <f>_xll.qlCalendarAdvance(Calendar,X1693,W1694,"f",FALSE)</f>
        <v>51124</v>
      </c>
      <c r="Y1694" s="131">
        <f>_xll.qlCalendarAdvance(Calendar,X1694,NDays&amp;"D")</f>
        <v>51126</v>
      </c>
      <c r="Z1694" s="132">
        <v>1.6420219834067575E-2</v>
      </c>
      <c r="AA1694" s="129">
        <v>1.641171461506552E-2</v>
      </c>
    </row>
    <row r="1695" spans="19:27" x14ac:dyDescent="0.2">
      <c r="S1695" s="1"/>
      <c r="T1695" s="109"/>
      <c r="W1695" s="130" t="str">
        <f t="shared" si="36"/>
        <v>1w</v>
      </c>
      <c r="X1695" s="128">
        <f>_xll.qlCalendarAdvance(Calendar,X1694,W1695,"f",FALSE)</f>
        <v>51131</v>
      </c>
      <c r="Y1695" s="131">
        <f>_xll.qlCalendarAdvance(Calendar,X1695,NDays&amp;"D")</f>
        <v>51133</v>
      </c>
      <c r="Z1695" s="132">
        <v>1.6416427879013443E-2</v>
      </c>
      <c r="AA1695" s="129">
        <v>1.6407621990426335E-2</v>
      </c>
    </row>
    <row r="1696" spans="19:27" x14ac:dyDescent="0.2">
      <c r="S1696" s="1"/>
      <c r="T1696" s="109"/>
      <c r="W1696" s="130" t="str">
        <f t="shared" si="36"/>
        <v>1w</v>
      </c>
      <c r="X1696" s="128">
        <f>_xll.qlCalendarAdvance(Calendar,X1695,W1696,"f",FALSE)</f>
        <v>51138</v>
      </c>
      <c r="Y1696" s="131">
        <f>_xll.qlCalendarAdvance(Calendar,X1696,NDays&amp;"D")</f>
        <v>51140</v>
      </c>
      <c r="Z1696" s="132">
        <v>1.6412685311321205E-2</v>
      </c>
      <c r="AA1696" s="129">
        <v>1.6403578547965481E-2</v>
      </c>
    </row>
    <row r="1697" spans="19:27" x14ac:dyDescent="0.2">
      <c r="S1697" s="1"/>
      <c r="T1697" s="109"/>
      <c r="W1697" s="130" t="str">
        <f t="shared" si="36"/>
        <v>1w</v>
      </c>
      <c r="X1697" s="128">
        <f>_xll.qlCalendarAdvance(Calendar,X1696,W1697,"f",FALSE)</f>
        <v>51145</v>
      </c>
      <c r="Y1697" s="131">
        <f>_xll.qlCalendarAdvance(Calendar,X1697,NDays&amp;"D")</f>
        <v>51147</v>
      </c>
      <c r="Z1697" s="132">
        <v>1.6408992130845918E-2</v>
      </c>
      <c r="AA1697" s="129">
        <v>1.6399584287363211E-2</v>
      </c>
    </row>
    <row r="1698" spans="19:27" x14ac:dyDescent="0.2">
      <c r="S1698" s="1"/>
      <c r="T1698" s="109"/>
      <c r="W1698" s="130" t="str">
        <f t="shared" si="36"/>
        <v>1w</v>
      </c>
      <c r="X1698" s="128">
        <f>_xll.qlCalendarAdvance(Calendar,X1697,W1698,"f",FALSE)</f>
        <v>51152</v>
      </c>
      <c r="Y1698" s="131">
        <f>_xll.qlCalendarAdvance(Calendar,X1698,NDays&amp;"D")</f>
        <v>51154</v>
      </c>
      <c r="Z1698" s="132">
        <v>1.6405348337450554E-2</v>
      </c>
      <c r="AA1698" s="129">
        <v>1.63956392087794E-2</v>
      </c>
    </row>
    <row r="1699" spans="19:27" x14ac:dyDescent="0.2">
      <c r="S1699" s="1"/>
      <c r="T1699" s="109"/>
      <c r="W1699" s="130" t="str">
        <f t="shared" si="36"/>
        <v>1w</v>
      </c>
      <c r="X1699" s="128">
        <f>_xll.qlCalendarAdvance(Calendar,X1698,W1699,"f",FALSE)</f>
        <v>51159</v>
      </c>
      <c r="Y1699" s="131">
        <f>_xll.qlCalendarAdvance(Calendar,X1699,NDays&amp;"D")</f>
        <v>51161</v>
      </c>
      <c r="Z1699" s="132">
        <v>1.6401753931000709E-2</v>
      </c>
      <c r="AA1699" s="129">
        <v>1.6391743312134111E-2</v>
      </c>
    </row>
    <row r="1700" spans="19:27" x14ac:dyDescent="0.2">
      <c r="S1700" s="1"/>
      <c r="T1700" s="109"/>
      <c r="W1700" s="130" t="str">
        <f t="shared" si="36"/>
        <v>1w</v>
      </c>
      <c r="X1700" s="128">
        <f>_xll.qlCalendarAdvance(Calendar,X1699,W1700,"f",FALSE)</f>
        <v>51166</v>
      </c>
      <c r="Y1700" s="131">
        <f>_xll.qlCalendarAdvance(Calendar,X1700,NDays&amp;"D")</f>
        <v>51168</v>
      </c>
      <c r="Z1700" s="132">
        <v>1.6398079924083042E-2</v>
      </c>
      <c r="AA1700" s="129">
        <v>1.6387896597587215E-2</v>
      </c>
    </row>
    <row r="1701" spans="19:27" x14ac:dyDescent="0.2">
      <c r="S1701" s="1"/>
      <c r="T1701" s="109"/>
      <c r="W1701" s="130" t="str">
        <f t="shared" si="36"/>
        <v>1w</v>
      </c>
      <c r="X1701" s="128">
        <f>_xll.qlCalendarAdvance(Calendar,X1700,W1701,"f",FALSE)</f>
        <v>51173</v>
      </c>
      <c r="Y1701" s="131">
        <f>_xll.qlCalendarAdvance(Calendar,X1701,NDays&amp;"D")</f>
        <v>51175</v>
      </c>
      <c r="Z1701" s="132">
        <v>1.6394580922555413E-2</v>
      </c>
      <c r="AA1701" s="129">
        <v>1.6384099064978841E-2</v>
      </c>
    </row>
    <row r="1702" spans="19:27" x14ac:dyDescent="0.2">
      <c r="S1702" s="1"/>
      <c r="T1702" s="109"/>
      <c r="W1702" s="130" t="str">
        <f t="shared" si="36"/>
        <v>1w</v>
      </c>
      <c r="X1702" s="128">
        <f>_xll.qlCalendarAdvance(Calendar,X1701,W1702,"f",FALSE)</f>
        <v>51180</v>
      </c>
      <c r="Y1702" s="131">
        <f>_xll.qlCalendarAdvance(Calendar,X1702,NDays&amp;"D")</f>
        <v>51182</v>
      </c>
      <c r="Z1702" s="132">
        <v>1.6391131305306672E-2</v>
      </c>
      <c r="AA1702" s="129">
        <v>1.6380350714308989E-2</v>
      </c>
    </row>
    <row r="1703" spans="19:27" x14ac:dyDescent="0.2">
      <c r="S1703" s="1"/>
      <c r="T1703" s="109"/>
      <c r="W1703" s="130" t="str">
        <f t="shared" si="36"/>
        <v>1w</v>
      </c>
      <c r="X1703" s="128">
        <f>_xll.qlCalendarAdvance(Calendar,X1702,W1703,"f",FALSE)</f>
        <v>51187</v>
      </c>
      <c r="Y1703" s="131">
        <f>_xll.qlCalendarAdvance(Calendar,X1703,NDays&amp;"D")</f>
        <v>51189</v>
      </c>
      <c r="Z1703" s="132">
        <v>1.638773107220981E-2</v>
      </c>
      <c r="AA1703" s="129">
        <v>1.6376651545737531E-2</v>
      </c>
    </row>
    <row r="1704" spans="19:27" x14ac:dyDescent="0.2">
      <c r="S1704" s="1"/>
      <c r="T1704" s="109"/>
      <c r="W1704" s="130" t="str">
        <f t="shared" si="36"/>
        <v>1w</v>
      </c>
      <c r="X1704" s="128">
        <f>_xll.qlCalendarAdvance(Calendar,X1703,W1704,"f",FALSE)</f>
        <v>51194</v>
      </c>
      <c r="Y1704" s="131">
        <f>_xll.qlCalendarAdvance(Calendar,X1704,NDays&amp;"D")</f>
        <v>51196</v>
      </c>
      <c r="Z1704" s="132">
        <v>1.6384665499819612E-2</v>
      </c>
      <c r="AA1704" s="129">
        <v>1.6373001558944722E-2</v>
      </c>
    </row>
    <row r="1705" spans="19:27" x14ac:dyDescent="0.2">
      <c r="S1705" s="1"/>
      <c r="T1705" s="109"/>
      <c r="W1705" s="130" t="str">
        <f t="shared" si="36"/>
        <v>1w</v>
      </c>
      <c r="X1705" s="128">
        <f>_xll.qlCalendarAdvance(Calendar,X1704,W1705,"f",FALSE)</f>
        <v>51201</v>
      </c>
      <c r="Y1705" s="131">
        <f>_xll.qlCalendarAdvance(Calendar,X1705,NDays&amp;"D")</f>
        <v>51203</v>
      </c>
      <c r="Z1705" s="132">
        <v>1.6381370790238801E-2</v>
      </c>
      <c r="AA1705" s="129">
        <v>1.6369400754250307E-2</v>
      </c>
    </row>
    <row r="1706" spans="19:27" x14ac:dyDescent="0.2">
      <c r="S1706" s="1"/>
      <c r="T1706" s="109"/>
      <c r="W1706" s="130" t="str">
        <f t="shared" si="36"/>
        <v>1w</v>
      </c>
      <c r="X1706" s="128">
        <f>_xll.qlCalendarAdvance(Calendar,X1705,W1706,"f",FALSE)</f>
        <v>51208</v>
      </c>
      <c r="Y1706" s="131">
        <f>_xll.qlCalendarAdvance(Calendar,X1706,NDays&amp;"D")</f>
        <v>51210</v>
      </c>
      <c r="Z1706" s="132">
        <v>1.6378125468966217E-2</v>
      </c>
      <c r="AA1706" s="129">
        <v>1.6365849131414478E-2</v>
      </c>
    </row>
    <row r="1707" spans="19:27" x14ac:dyDescent="0.2">
      <c r="S1707" s="1"/>
      <c r="T1707" s="109"/>
      <c r="W1707" s="130" t="str">
        <f t="shared" si="36"/>
        <v>1w</v>
      </c>
      <c r="X1707" s="128">
        <f>_xll.qlCalendarAdvance(Calendar,X1706,W1707,"f",FALSE)</f>
        <v>51215</v>
      </c>
      <c r="Y1707" s="131">
        <f>_xll.qlCalendarAdvance(Calendar,X1707,NDays&amp;"D")</f>
        <v>51217</v>
      </c>
      <c r="Z1707" s="132">
        <v>1.6374929535881953E-2</v>
      </c>
      <c r="AA1707" s="129">
        <v>1.6362346690677043E-2</v>
      </c>
    </row>
    <row r="1708" spans="19:27" x14ac:dyDescent="0.2">
      <c r="S1708" s="1"/>
      <c r="T1708" s="109"/>
      <c r="W1708" s="130" t="str">
        <f t="shared" si="36"/>
        <v>1w</v>
      </c>
      <c r="X1708" s="128">
        <f>_xll.qlCalendarAdvance(Calendar,X1707,W1708,"f",FALSE)</f>
        <v>51222</v>
      </c>
      <c r="Y1708" s="131">
        <f>_xll.qlCalendarAdvance(Calendar,X1708,NDays&amp;"D")</f>
        <v>51224</v>
      </c>
      <c r="Z1708" s="132">
        <v>1.6371782990862633E-2</v>
      </c>
      <c r="AA1708" s="129">
        <v>1.6359403454830002E-2</v>
      </c>
    </row>
    <row r="1709" spans="19:27" x14ac:dyDescent="0.2">
      <c r="S1709" s="1"/>
      <c r="T1709" s="109"/>
      <c r="W1709" s="130" t="str">
        <f t="shared" si="36"/>
        <v>1w</v>
      </c>
      <c r="X1709" s="128">
        <f>_xll.qlCalendarAdvance(Calendar,X1708,W1709,"f",FALSE)</f>
        <v>51229</v>
      </c>
      <c r="Y1709" s="131">
        <f>_xll.qlCalendarAdvance(Calendar,X1709,NDays&amp;"D")</f>
        <v>51231</v>
      </c>
      <c r="Z1709" s="132">
        <v>1.6368526119883618E-2</v>
      </c>
      <c r="AA1709" s="129">
        <v>1.6355489355017738E-2</v>
      </c>
    </row>
    <row r="1710" spans="19:27" x14ac:dyDescent="0.2">
      <c r="S1710" s="1"/>
      <c r="T1710" s="109"/>
      <c r="W1710" s="130" t="str">
        <f t="shared" si="36"/>
        <v>1w</v>
      </c>
      <c r="X1710" s="128">
        <f>_xll.qlCalendarAdvance(Calendar,X1709,W1710,"f",FALSE)</f>
        <v>51236</v>
      </c>
      <c r="Y1710" s="131">
        <f>_xll.qlCalendarAdvance(Calendar,X1710,NDays&amp;"D")</f>
        <v>51238</v>
      </c>
      <c r="Z1710" s="132">
        <v>1.6365474961384133E-2</v>
      </c>
      <c r="AA1710" s="129">
        <v>1.6352134460175805E-2</v>
      </c>
    </row>
    <row r="1711" spans="19:27" x14ac:dyDescent="0.2">
      <c r="S1711" s="1"/>
      <c r="T1711" s="109"/>
      <c r="W1711" s="130" t="str">
        <f t="shared" si="36"/>
        <v>1w</v>
      </c>
      <c r="X1711" s="128">
        <f>_xll.qlCalendarAdvance(Calendar,X1710,W1711,"f",FALSE)</f>
        <v>51243</v>
      </c>
      <c r="Y1711" s="131">
        <f>_xll.qlCalendarAdvance(Calendar,X1711,NDays&amp;"D")</f>
        <v>51245</v>
      </c>
      <c r="Z1711" s="132">
        <v>1.6362473188342132E-2</v>
      </c>
      <c r="AA1711" s="129">
        <v>1.6348828747352329E-2</v>
      </c>
    </row>
    <row r="1712" spans="19:27" x14ac:dyDescent="0.2">
      <c r="S1712" s="1"/>
      <c r="T1712" s="109"/>
      <c r="W1712" s="130" t="str">
        <f t="shared" si="36"/>
        <v>1w</v>
      </c>
      <c r="X1712" s="128">
        <f>_xll.qlCalendarAdvance(Calendar,X1711,W1712,"f",FALSE)</f>
        <v>51250</v>
      </c>
      <c r="Y1712" s="131">
        <f>_xll.qlCalendarAdvance(Calendar,X1712,NDays&amp;"D")</f>
        <v>51252</v>
      </c>
      <c r="Z1712" s="132">
        <v>1.6359520800646055E-2</v>
      </c>
      <c r="AA1712" s="129">
        <v>1.6345572216467374E-2</v>
      </c>
    </row>
    <row r="1713" spans="19:27" x14ac:dyDescent="0.2">
      <c r="S1713" s="1"/>
      <c r="T1713" s="109"/>
      <c r="W1713" s="130" t="str">
        <f t="shared" si="36"/>
        <v>1w</v>
      </c>
      <c r="X1713" s="128">
        <f>_xll.qlCalendarAdvance(Calendar,X1712,W1713,"f",FALSE)</f>
        <v>51258</v>
      </c>
      <c r="Y1713" s="131">
        <f>_xll.qlCalendarAdvance(Calendar,X1713,NDays&amp;"D")</f>
        <v>51260</v>
      </c>
      <c r="Z1713" s="132">
        <v>1.6356729412394522E-2</v>
      </c>
      <c r="AA1713" s="129">
        <v>1.6342199648109457E-2</v>
      </c>
    </row>
    <row r="1714" spans="19:27" x14ac:dyDescent="0.2">
      <c r="S1714" s="1"/>
      <c r="T1714" s="109"/>
      <c r="W1714" s="130" t="str">
        <f t="shared" si="36"/>
        <v>1w</v>
      </c>
      <c r="X1714" s="128">
        <f>_xll.qlCalendarAdvance(Calendar,X1713,W1714,"f",FALSE)</f>
        <v>51265</v>
      </c>
      <c r="Y1714" s="131">
        <f>_xll.qlCalendarAdvance(Calendar,X1714,NDays&amp;"D")</f>
        <v>51267</v>
      </c>
      <c r="Z1714" s="132">
        <v>1.6353893046833375E-2</v>
      </c>
      <c r="AA1714" s="129">
        <v>1.6339055247742706E-2</v>
      </c>
    </row>
    <row r="1715" spans="19:27" x14ac:dyDescent="0.2">
      <c r="S1715" s="1"/>
      <c r="T1715" s="109"/>
      <c r="W1715" s="130" t="str">
        <f t="shared" si="36"/>
        <v>1w</v>
      </c>
      <c r="X1715" s="128">
        <f>_xll.qlCalendarAdvance(Calendar,X1714,W1715,"f",FALSE)</f>
        <v>51272</v>
      </c>
      <c r="Y1715" s="131">
        <f>_xll.qlCalendarAdvance(Calendar,X1715,NDays&amp;"D")</f>
        <v>51274</v>
      </c>
      <c r="Z1715" s="132">
        <v>1.6351106073036952E-2</v>
      </c>
      <c r="AA1715" s="129">
        <v>1.6335960033764252E-2</v>
      </c>
    </row>
    <row r="1716" spans="19:27" x14ac:dyDescent="0.2">
      <c r="S1716" s="1"/>
      <c r="T1716" s="109"/>
      <c r="W1716" s="130" t="str">
        <f t="shared" si="36"/>
        <v>1w</v>
      </c>
      <c r="X1716" s="128">
        <f>_xll.qlCalendarAdvance(Calendar,X1715,W1716,"f",FALSE)</f>
        <v>51279</v>
      </c>
      <c r="Y1716" s="131">
        <f>_xll.qlCalendarAdvance(Calendar,X1716,NDays&amp;"D")</f>
        <v>51281</v>
      </c>
      <c r="Z1716" s="132">
        <v>1.6348368490898952E-2</v>
      </c>
      <c r="AA1716" s="129">
        <v>1.6332914006280674E-2</v>
      </c>
    </row>
    <row r="1717" spans="19:27" x14ac:dyDescent="0.2">
      <c r="S1717" s="1"/>
      <c r="T1717" s="109"/>
      <c r="W1717" s="130" t="str">
        <f t="shared" si="36"/>
        <v>1w</v>
      </c>
      <c r="X1717" s="128">
        <f>_xll.qlCalendarAdvance(Calendar,X1716,W1717,"f",FALSE)</f>
        <v>51286</v>
      </c>
      <c r="Y1717" s="131">
        <f>_xll.qlCalendarAdvance(Calendar,X1717,NDays&amp;"D")</f>
        <v>51288</v>
      </c>
      <c r="Z1717" s="132">
        <v>1.6345680300315628E-2</v>
      </c>
      <c r="AA1717" s="129">
        <v>1.6329917165318619E-2</v>
      </c>
    </row>
    <row r="1718" spans="19:27" x14ac:dyDescent="0.2">
      <c r="S1718" s="1"/>
      <c r="T1718" s="109"/>
      <c r="W1718" s="130" t="str">
        <f t="shared" si="36"/>
        <v>1w</v>
      </c>
      <c r="X1718" s="128">
        <f>_xll.qlCalendarAdvance(Calendar,X1717,W1718,"f",FALSE)</f>
        <v>51293</v>
      </c>
      <c r="Y1718" s="131">
        <f>_xll.qlCalendarAdvance(Calendar,X1718,NDays&amp;"D")</f>
        <v>51295</v>
      </c>
      <c r="Z1718" s="132">
        <v>1.6343041501180683E-2</v>
      </c>
      <c r="AA1718" s="129">
        <v>1.6326969510798151E-2</v>
      </c>
    </row>
    <row r="1719" spans="19:27" x14ac:dyDescent="0.2">
      <c r="S1719" s="1"/>
      <c r="T1719" s="109"/>
      <c r="W1719" s="130" t="str">
        <f t="shared" si="36"/>
        <v>1w</v>
      </c>
      <c r="X1719" s="128">
        <f>_xll.qlCalendarAdvance(Calendar,X1718,W1719,"f",FALSE)</f>
        <v>51300</v>
      </c>
      <c r="Y1719" s="131">
        <f>_xll.qlCalendarAdvance(Calendar,X1719,NDays&amp;"D")</f>
        <v>51302</v>
      </c>
      <c r="Z1719" s="132">
        <v>1.6340451894630209E-2</v>
      </c>
      <c r="AA1719" s="129">
        <v>1.6324071042772559E-2</v>
      </c>
    </row>
    <row r="1720" spans="19:27" x14ac:dyDescent="0.2">
      <c r="S1720" s="1"/>
      <c r="T1720" s="109"/>
      <c r="W1720" s="130" t="str">
        <f t="shared" si="36"/>
        <v>1w</v>
      </c>
      <c r="X1720" s="128">
        <f>_xll.qlCalendarAdvance(Calendar,X1719,W1720,"f",FALSE)</f>
        <v>51307</v>
      </c>
      <c r="Y1720" s="131">
        <f>_xll.qlCalendarAdvance(Calendar,X1720,NDays&amp;"D")</f>
        <v>51309</v>
      </c>
      <c r="Z1720" s="132">
        <v>1.6337910055172995E-2</v>
      </c>
      <c r="AA1720" s="129">
        <v>1.6321221761188554E-2</v>
      </c>
    </row>
    <row r="1721" spans="19:27" x14ac:dyDescent="0.2">
      <c r="S1721" s="1"/>
      <c r="T1721" s="109"/>
      <c r="W1721" s="130" t="str">
        <f t="shared" si="36"/>
        <v>1w</v>
      </c>
      <c r="X1721" s="128">
        <f>_xll.qlCalendarAdvance(Calendar,X1720,W1721,"f",FALSE)</f>
        <v>51314</v>
      </c>
      <c r="Y1721" s="131">
        <f>_xll.qlCalendarAdvance(Calendar,X1721,NDays&amp;"D")</f>
        <v>51316</v>
      </c>
      <c r="Z1721" s="132">
        <v>1.6334812721499427E-2</v>
      </c>
      <c r="AA1721" s="129">
        <v>1.631842166607278E-2</v>
      </c>
    </row>
    <row r="1722" spans="19:27" x14ac:dyDescent="0.2">
      <c r="S1722" s="1"/>
      <c r="T1722" s="109"/>
      <c r="W1722" s="130" t="str">
        <f t="shared" si="36"/>
        <v>1w</v>
      </c>
      <c r="X1722" s="128">
        <f>_xll.qlCalendarAdvance(Calendar,X1721,W1722,"f",FALSE)</f>
        <v>51321</v>
      </c>
      <c r="Y1722" s="131">
        <f>_xll.qlCalendarAdvance(Calendar,X1722,NDays&amp;"D")</f>
        <v>51323</v>
      </c>
      <c r="Z1722" s="132">
        <v>1.6332962104841836E-2</v>
      </c>
      <c r="AA1722" s="129">
        <v>1.6315670757398593E-2</v>
      </c>
    </row>
    <row r="1723" spans="19:27" x14ac:dyDescent="0.2">
      <c r="S1723" s="1"/>
      <c r="T1723" s="109"/>
      <c r="W1723" s="130" t="str">
        <f t="shared" si="36"/>
        <v>1w</v>
      </c>
      <c r="X1723" s="128">
        <f>_xll.qlCalendarAdvance(Calendar,X1722,W1723,"f",FALSE)</f>
        <v>51328</v>
      </c>
      <c r="Y1723" s="131">
        <f>_xll.qlCalendarAdvance(Calendar,X1723,NDays&amp;"D")</f>
        <v>51330</v>
      </c>
      <c r="Z1723" s="132">
        <v>1.6330552206253915E-2</v>
      </c>
      <c r="AA1723" s="129">
        <v>1.6312969035165992E-2</v>
      </c>
    </row>
    <row r="1724" spans="19:27" x14ac:dyDescent="0.2">
      <c r="S1724" s="1"/>
      <c r="T1724" s="109"/>
      <c r="W1724" s="130" t="str">
        <f t="shared" si="36"/>
        <v>1w</v>
      </c>
      <c r="X1724" s="128">
        <f>_xll.qlCalendarAdvance(Calendar,X1723,W1724,"f",FALSE)</f>
        <v>51335</v>
      </c>
      <c r="Y1724" s="131">
        <f>_xll.qlCalendarAdvance(Calendar,X1724,NDays&amp;"D")</f>
        <v>51337</v>
      </c>
      <c r="Z1724" s="132">
        <v>1.6328182500252277E-2</v>
      </c>
      <c r="AA1724" s="129">
        <v>1.6310316499401623E-2</v>
      </c>
    </row>
    <row r="1725" spans="19:27" x14ac:dyDescent="0.2">
      <c r="S1725" s="1"/>
      <c r="T1725" s="109"/>
      <c r="W1725" s="130" t="str">
        <f t="shared" si="36"/>
        <v>1w</v>
      </c>
      <c r="X1725" s="128">
        <f>_xll.qlCalendarAdvance(Calendar,X1724,W1725,"f",FALSE)</f>
        <v>51342</v>
      </c>
      <c r="Y1725" s="131">
        <f>_xll.qlCalendarAdvance(Calendar,X1725,NDays&amp;"D")</f>
        <v>51344</v>
      </c>
      <c r="Z1725" s="132">
        <v>1.6325851092996942E-2</v>
      </c>
      <c r="AA1725" s="129">
        <v>1.630771315013213E-2</v>
      </c>
    </row>
    <row r="1726" spans="19:27" x14ac:dyDescent="0.2">
      <c r="S1726" s="1"/>
      <c r="T1726" s="109"/>
      <c r="W1726" s="130" t="str">
        <f t="shared" si="36"/>
        <v>1w</v>
      </c>
      <c r="X1726" s="128">
        <f>_xll.qlCalendarAdvance(Calendar,X1725,W1726,"f",FALSE)</f>
        <v>51349</v>
      </c>
      <c r="Y1726" s="131">
        <f>_xll.qlCalendarAdvance(Calendar,X1726,NDays&amp;"D")</f>
        <v>51351</v>
      </c>
      <c r="Z1726" s="132">
        <v>1.632355609064963E-2</v>
      </c>
      <c r="AA1726" s="129">
        <v>1.6305158987224289E-2</v>
      </c>
    </row>
    <row r="1727" spans="19:27" x14ac:dyDescent="0.2">
      <c r="S1727" s="1"/>
      <c r="T1727" s="109"/>
      <c r="W1727" s="130" t="str">
        <f t="shared" si="36"/>
        <v>1w</v>
      </c>
      <c r="X1727" s="128">
        <f>_xll.qlCalendarAdvance(Calendar,X1726,W1727,"f",FALSE)</f>
        <v>51356</v>
      </c>
      <c r="Y1727" s="131">
        <f>_xll.qlCalendarAdvance(Calendar,X1727,NDays&amp;"D")</f>
        <v>51358</v>
      </c>
      <c r="Z1727" s="132">
        <v>1.6321295599382269E-2</v>
      </c>
      <c r="AA1727" s="129">
        <v>1.6302654010784678E-2</v>
      </c>
    </row>
    <row r="1728" spans="19:27" x14ac:dyDescent="0.2">
      <c r="S1728" s="1"/>
      <c r="T1728" s="109"/>
      <c r="W1728" s="130" t="str">
        <f t="shared" si="36"/>
        <v>1w</v>
      </c>
      <c r="X1728" s="128">
        <f>_xll.qlCalendarAdvance(Calendar,X1727,W1728,"f",FALSE)</f>
        <v>51363</v>
      </c>
      <c r="Y1728" s="131">
        <f>_xll.qlCalendarAdvance(Calendar,X1728,NDays&amp;"D")</f>
        <v>51365</v>
      </c>
      <c r="Z1728" s="132">
        <v>1.6319067725370187E-2</v>
      </c>
      <c r="AA1728" s="129">
        <v>1.6300198220760009E-2</v>
      </c>
    </row>
    <row r="1729" spans="19:27" x14ac:dyDescent="0.2">
      <c r="S1729" s="1"/>
      <c r="T1729" s="109"/>
      <c r="W1729" s="130" t="str">
        <f t="shared" si="36"/>
        <v>1w</v>
      </c>
      <c r="X1729" s="128">
        <f>_xll.qlCalendarAdvance(Calendar,X1728,W1729,"f",FALSE)</f>
        <v>51370</v>
      </c>
      <c r="Y1729" s="131">
        <f>_xll.qlCalendarAdvance(Calendar,X1729,NDays&amp;"D")</f>
        <v>51372</v>
      </c>
      <c r="Z1729" s="132">
        <v>1.6316870574793814E-2</v>
      </c>
      <c r="AA1729" s="129">
        <v>1.6297791617176927E-2</v>
      </c>
    </row>
    <row r="1730" spans="19:27" x14ac:dyDescent="0.2">
      <c r="S1730" s="1"/>
      <c r="T1730" s="109"/>
      <c r="W1730" s="130" t="str">
        <f t="shared" si="36"/>
        <v>1w</v>
      </c>
      <c r="X1730" s="128">
        <f>_xll.qlCalendarAdvance(Calendar,X1729,W1730,"f",FALSE)</f>
        <v>51377</v>
      </c>
      <c r="Y1730" s="131">
        <f>_xll.qlCalendarAdvance(Calendar,X1730,NDays&amp;"D")</f>
        <v>51379</v>
      </c>
      <c r="Z1730" s="132">
        <v>1.6314045243656521E-2</v>
      </c>
      <c r="AA1730" s="129">
        <v>1.6295434200062076E-2</v>
      </c>
    </row>
    <row r="1731" spans="19:27" x14ac:dyDescent="0.2">
      <c r="S1731" s="1"/>
      <c r="T1731" s="109"/>
      <c r="W1731" s="130" t="str">
        <f t="shared" si="36"/>
        <v>1w</v>
      </c>
      <c r="X1731" s="128">
        <f>_xll.qlCalendarAdvance(Calendar,X1730,W1731,"f",FALSE)</f>
        <v>51384</v>
      </c>
      <c r="Y1731" s="131">
        <f>_xll.qlCalendarAdvance(Calendar,X1731,NDays&amp;"D")</f>
        <v>51386</v>
      </c>
      <c r="Z1731" s="132">
        <v>1.631189897700816E-2</v>
      </c>
      <c r="AA1731" s="129">
        <v>1.629312596933552E-2</v>
      </c>
    </row>
    <row r="1732" spans="19:27" x14ac:dyDescent="0.2">
      <c r="S1732" s="1"/>
      <c r="T1732" s="109"/>
      <c r="W1732" s="130" t="str">
        <f t="shared" si="36"/>
        <v>1w</v>
      </c>
      <c r="X1732" s="128">
        <f>_xll.qlCalendarAdvance(Calendar,X1731,W1732,"f",FALSE)</f>
        <v>51391</v>
      </c>
      <c r="Y1732" s="131">
        <f>_xll.qlCalendarAdvance(Calendar,X1732,NDays&amp;"D")</f>
        <v>51393</v>
      </c>
      <c r="Z1732" s="132">
        <v>1.6309777810273155E-2</v>
      </c>
      <c r="AA1732" s="129">
        <v>1.6290861498058362E-2</v>
      </c>
    </row>
    <row r="1733" spans="19:27" x14ac:dyDescent="0.2">
      <c r="S1733" s="1"/>
      <c r="T1733" s="109"/>
      <c r="W1733" s="130" t="str">
        <f t="shared" si="36"/>
        <v>1w</v>
      </c>
      <c r="X1733" s="128">
        <f>_xll.qlCalendarAdvance(Calendar,X1732,W1733,"f",FALSE)</f>
        <v>51398</v>
      </c>
      <c r="Y1733" s="131">
        <f>_xll.qlCalendarAdvance(Calendar,X1733,NDays&amp;"D")</f>
        <v>51400</v>
      </c>
      <c r="Z1733" s="132">
        <v>1.6307680660904704E-2</v>
      </c>
      <c r="AA1733" s="129">
        <v>1.6288622696087884E-2</v>
      </c>
    </row>
    <row r="1734" spans="19:27" x14ac:dyDescent="0.2">
      <c r="S1734" s="1"/>
      <c r="T1734" s="109"/>
      <c r="W1734" s="130" t="str">
        <f t="shared" si="36"/>
        <v>1w</v>
      </c>
      <c r="X1734" s="128">
        <f>_xll.qlCalendarAdvance(Calendar,X1733,W1734,"f",FALSE)</f>
        <v>51405</v>
      </c>
      <c r="Y1734" s="131">
        <f>_xll.qlCalendarAdvance(Calendar,X1734,NDays&amp;"D")</f>
        <v>51407</v>
      </c>
      <c r="Z1734" s="132">
        <v>1.6306283911019254E-2</v>
      </c>
      <c r="AA1734" s="129">
        <v>1.6286407754497745E-2</v>
      </c>
    </row>
    <row r="1735" spans="19:27" x14ac:dyDescent="0.2">
      <c r="S1735" s="1"/>
      <c r="T1735" s="109"/>
      <c r="W1735" s="130" t="str">
        <f t="shared" si="36"/>
        <v>1w</v>
      </c>
      <c r="X1735" s="128">
        <f>_xll.qlCalendarAdvance(Calendar,X1734,W1735,"f",FALSE)</f>
        <v>51412</v>
      </c>
      <c r="Y1735" s="131">
        <f>_xll.qlCalendarAdvance(Calendar,X1735,NDays&amp;"D")</f>
        <v>51414</v>
      </c>
      <c r="Z1735" s="132">
        <v>1.6304239530957419E-2</v>
      </c>
      <c r="AA1735" s="129">
        <v>1.6284216673234653E-2</v>
      </c>
    </row>
    <row r="1736" spans="19:27" x14ac:dyDescent="0.2">
      <c r="S1736" s="1"/>
      <c r="T1736" s="109"/>
      <c r="W1736" s="130" t="str">
        <f t="shared" si="36"/>
        <v>1w</v>
      </c>
      <c r="X1736" s="128">
        <f>_xll.qlCalendarAdvance(Calendar,X1735,W1736,"f",FALSE)</f>
        <v>51419</v>
      </c>
      <c r="Y1736" s="131">
        <f>_xll.qlCalendarAdvance(Calendar,X1736,NDays&amp;"D")</f>
        <v>51421</v>
      </c>
      <c r="Z1736" s="132">
        <v>1.6302219110597042E-2</v>
      </c>
      <c r="AA1736" s="129">
        <v>1.6282049452271963E-2</v>
      </c>
    </row>
    <row r="1737" spans="19:27" x14ac:dyDescent="0.2">
      <c r="S1737" s="1"/>
      <c r="T1737" s="109"/>
      <c r="W1737" s="130" t="str">
        <f t="shared" si="36"/>
        <v>1w</v>
      </c>
      <c r="X1737" s="128">
        <f>_xll.qlCalendarAdvance(Calendar,X1736,W1737,"f",FALSE)</f>
        <v>51426</v>
      </c>
      <c r="Y1737" s="131">
        <f>_xll.qlCalendarAdvance(Calendar,X1737,NDays&amp;"D")</f>
        <v>51428</v>
      </c>
      <c r="Z1737" s="132">
        <v>1.6300222649901556E-2</v>
      </c>
      <c r="AA1737" s="129">
        <v>1.6279906091689611E-2</v>
      </c>
    </row>
    <row r="1738" spans="19:27" x14ac:dyDescent="0.2">
      <c r="S1738" s="1"/>
      <c r="T1738" s="109"/>
      <c r="W1738" s="130" t="str">
        <f t="shared" si="36"/>
        <v>1w</v>
      </c>
      <c r="X1738" s="128">
        <f>_xll.qlCalendarAdvance(Calendar,X1737,W1738,"f",FALSE)</f>
        <v>51433</v>
      </c>
      <c r="Y1738" s="131">
        <f>_xll.qlCalendarAdvance(Calendar,X1738,NDays&amp;"D")</f>
        <v>51435</v>
      </c>
      <c r="Z1738" s="132">
        <v>1.6298250148832689E-2</v>
      </c>
      <c r="AA1738" s="129">
        <v>1.6277786591434307E-2</v>
      </c>
    </row>
    <row r="1739" spans="19:27" x14ac:dyDescent="0.2">
      <c r="S1739" s="1"/>
      <c r="T1739" s="109"/>
      <c r="W1739" s="130" t="str">
        <f t="shared" si="36"/>
        <v>1w</v>
      </c>
      <c r="X1739" s="128">
        <f>_xll.qlCalendarAdvance(Calendar,X1738,W1739,"f",FALSE)</f>
        <v>51440</v>
      </c>
      <c r="Y1739" s="131">
        <f>_xll.qlCalendarAdvance(Calendar,X1739,NDays&amp;"D")</f>
        <v>51442</v>
      </c>
      <c r="Z1739" s="132">
        <v>1.6296301607354735E-2</v>
      </c>
      <c r="AA1739" s="129">
        <v>1.6275690951532695E-2</v>
      </c>
    </row>
    <row r="1740" spans="19:27" x14ac:dyDescent="0.2">
      <c r="S1740" s="1"/>
      <c r="T1740" s="109"/>
      <c r="W1740" s="130" t="str">
        <f t="shared" si="36"/>
        <v>1w</v>
      </c>
      <c r="X1740" s="128">
        <f>_xll.qlCalendarAdvance(Calendar,X1739,W1740,"f",FALSE)</f>
        <v>51447</v>
      </c>
      <c r="Y1740" s="131">
        <f>_xll.qlCalendarAdvance(Calendar,X1740,NDays&amp;"D")</f>
        <v>51449</v>
      </c>
      <c r="Z1740" s="132">
        <v>1.6294377025430268E-2</v>
      </c>
      <c r="AA1740" s="129">
        <v>1.6273619171931486E-2</v>
      </c>
    </row>
    <row r="1741" spans="19:27" x14ac:dyDescent="0.2">
      <c r="S1741" s="1"/>
      <c r="T1741" s="109"/>
      <c r="W1741" s="130" t="str">
        <f t="shared" si="36"/>
        <v>1w</v>
      </c>
      <c r="X1741" s="128">
        <f>_xll.qlCalendarAdvance(Calendar,X1740,W1741,"f",FALSE)</f>
        <v>51454</v>
      </c>
      <c r="Y1741" s="131">
        <f>_xll.qlCalendarAdvance(Calendar,X1741,NDays&amp;"D")</f>
        <v>51456</v>
      </c>
      <c r="Z1741" s="132">
        <v>1.6292476403022723E-2</v>
      </c>
      <c r="AA1741" s="129">
        <v>1.627157125268397E-2</v>
      </c>
    </row>
    <row r="1742" spans="19:27" x14ac:dyDescent="0.2">
      <c r="S1742" s="1"/>
      <c r="T1742" s="109"/>
      <c r="W1742" s="130" t="str">
        <f t="shared" si="36"/>
        <v>1w</v>
      </c>
      <c r="X1742" s="128">
        <f>_xll.qlCalendarAdvance(Calendar,X1741,W1742,"f",FALSE)</f>
        <v>51461</v>
      </c>
      <c r="Y1742" s="131">
        <f>_xll.qlCalendarAdvance(Calendar,X1742,NDays&amp;"D")</f>
        <v>51463</v>
      </c>
      <c r="Z1742" s="132">
        <v>1.629059974009894E-2</v>
      </c>
      <c r="AA1742" s="129">
        <v>1.6269547193790146E-2</v>
      </c>
    </row>
    <row r="1743" spans="19:27" x14ac:dyDescent="0.2">
      <c r="S1743" s="1"/>
      <c r="T1743" s="109"/>
      <c r="W1743" s="130" t="str">
        <f t="shared" si="36"/>
        <v>1w</v>
      </c>
      <c r="X1743" s="128">
        <f>_xll.qlCalendarAdvance(Calendar,X1742,W1743,"f",FALSE)</f>
        <v>51468</v>
      </c>
      <c r="Y1743" s="131">
        <f>_xll.qlCalendarAdvance(Calendar,X1743,NDays&amp;"D")</f>
        <v>51470</v>
      </c>
      <c r="Z1743" s="132">
        <v>1.6287787004466203E-2</v>
      </c>
      <c r="AA1743" s="129">
        <v>1.6267546995196724E-2</v>
      </c>
    </row>
    <row r="1744" spans="19:27" x14ac:dyDescent="0.2">
      <c r="S1744" s="1"/>
      <c r="T1744" s="109"/>
      <c r="W1744" s="130" t="str">
        <f t="shared" si="36"/>
        <v>1w</v>
      </c>
      <c r="X1744" s="128">
        <f>_xll.qlCalendarAdvance(Calendar,X1743,W1744,"f",FALSE)</f>
        <v>51475</v>
      </c>
      <c r="Y1744" s="131">
        <f>_xll.qlCalendarAdvance(Calendar,X1744,NDays&amp;"D")</f>
        <v>51477</v>
      </c>
      <c r="Z1744" s="132">
        <v>1.62859517463394E-2</v>
      </c>
      <c r="AA1744" s="129">
        <v>1.6265570656983641E-2</v>
      </c>
    </row>
    <row r="1745" spans="19:27" x14ac:dyDescent="0.2">
      <c r="S1745" s="1"/>
      <c r="T1745" s="109"/>
      <c r="W1745" s="130" t="str">
        <f t="shared" si="36"/>
        <v>1w</v>
      </c>
      <c r="X1745" s="128">
        <f>_xll.qlCalendarAdvance(Calendar,X1744,W1745,"f",FALSE)</f>
        <v>51482</v>
      </c>
      <c r="Y1745" s="131">
        <f>_xll.qlCalendarAdvance(Calendar,X1745,NDays&amp;"D")</f>
        <v>51484</v>
      </c>
      <c r="Z1745" s="132">
        <v>1.6284140443237227E-2</v>
      </c>
      <c r="AA1745" s="129">
        <v>1.6263618179017669E-2</v>
      </c>
    </row>
    <row r="1746" spans="19:27" x14ac:dyDescent="0.2">
      <c r="S1746" s="1"/>
      <c r="T1746" s="109"/>
      <c r="W1746" s="130" t="str">
        <f t="shared" si="36"/>
        <v>1w</v>
      </c>
      <c r="X1746" s="128">
        <f>_xll.qlCalendarAdvance(Calendar,X1745,W1746,"f",FALSE)</f>
        <v>51489</v>
      </c>
      <c r="Y1746" s="131">
        <f>_xll.qlCalendarAdvance(Calendar,X1746,NDays&amp;"D")</f>
        <v>51491</v>
      </c>
      <c r="Z1746" s="132">
        <v>1.6282353095126822E-2</v>
      </c>
      <c r="AA1746" s="129">
        <v>1.6261689561432036E-2</v>
      </c>
    </row>
    <row r="1747" spans="19:27" x14ac:dyDescent="0.2">
      <c r="S1747" s="1"/>
      <c r="T1747" s="109"/>
      <c r="W1747" s="130" t="str">
        <f t="shared" si="36"/>
        <v>1w</v>
      </c>
      <c r="X1747" s="128">
        <f>_xll.qlCalendarAdvance(Calendar,X1746,W1747,"f",FALSE)</f>
        <v>51497</v>
      </c>
      <c r="Y1747" s="131">
        <f>_xll.qlCalendarAdvance(Calendar,X1747,NDays&amp;"D")</f>
        <v>51501</v>
      </c>
      <c r="Z1747" s="132">
        <v>1.6279347817450957E-2</v>
      </c>
      <c r="AA1747" s="129">
        <v>1.62587430720329E-2</v>
      </c>
    </row>
    <row r="1748" spans="19:27" x14ac:dyDescent="0.2">
      <c r="S1748" s="1"/>
      <c r="T1748" s="109"/>
      <c r="W1748" s="130" t="str">
        <f t="shared" si="36"/>
        <v>1w</v>
      </c>
      <c r="X1748" s="128">
        <f>_xll.qlCalendarAdvance(Calendar,X1747,W1748,"f",FALSE)</f>
        <v>51504</v>
      </c>
      <c r="Y1748" s="131">
        <f>_xll.qlCalendarAdvance(Calendar,X1748,NDays&amp;"D")</f>
        <v>51508</v>
      </c>
      <c r="Z1748" s="132">
        <v>1.6278360740025834E-2</v>
      </c>
      <c r="AA1748" s="129">
        <v>1.6256636611027275E-2</v>
      </c>
    </row>
    <row r="1749" spans="19:27" x14ac:dyDescent="0.2">
      <c r="S1749" s="1"/>
      <c r="T1749" s="109"/>
      <c r="W1749" s="130" t="str">
        <f t="shared" ref="W1749:W1812" si="37">W1748</f>
        <v>1w</v>
      </c>
      <c r="X1749" s="128">
        <f>_xll.qlCalendarAdvance(Calendar,X1748,W1749,"f",FALSE)</f>
        <v>51511</v>
      </c>
      <c r="Y1749" s="131">
        <f>_xll.qlCalendarAdvance(Calendar,X1749,NDays&amp;"D")</f>
        <v>51515</v>
      </c>
      <c r="Z1749" s="132">
        <v>1.6276657157271411E-2</v>
      </c>
      <c r="AA1749" s="129">
        <v>1.6254786558755896E-2</v>
      </c>
    </row>
    <row r="1750" spans="19:27" x14ac:dyDescent="0.2">
      <c r="S1750" s="1"/>
      <c r="T1750" s="109"/>
      <c r="W1750" s="130" t="str">
        <f t="shared" si="37"/>
        <v>1w</v>
      </c>
      <c r="X1750" s="128">
        <f>_xll.qlCalendarAdvance(Calendar,X1749,W1750,"f",FALSE)</f>
        <v>51518</v>
      </c>
      <c r="Y1750" s="131">
        <f>_xll.qlCalendarAdvance(Calendar,X1750,NDays&amp;"D")</f>
        <v>51522</v>
      </c>
      <c r="Z1750" s="132">
        <v>1.6275229580189825E-2</v>
      </c>
      <c r="AA1750" s="129">
        <v>1.62529603646E-2</v>
      </c>
    </row>
    <row r="1751" spans="19:27" x14ac:dyDescent="0.2">
      <c r="S1751" s="1"/>
      <c r="T1751" s="109"/>
      <c r="W1751" s="130" t="str">
        <f t="shared" si="37"/>
        <v>1w</v>
      </c>
      <c r="X1751" s="128">
        <f>_xll.qlCalendarAdvance(Calendar,X1750,W1751,"f",FALSE)</f>
        <v>51525</v>
      </c>
      <c r="Y1751" s="131">
        <f>_xll.qlCalendarAdvance(Calendar,X1751,NDays&amp;"D")</f>
        <v>51529</v>
      </c>
      <c r="Z1751" s="132">
        <v>1.6273321859553401E-2</v>
      </c>
      <c r="AA1751" s="129">
        <v>1.6251158028559587E-2</v>
      </c>
    </row>
    <row r="1752" spans="19:27" x14ac:dyDescent="0.2">
      <c r="S1752" s="1"/>
      <c r="T1752" s="109"/>
      <c r="W1752" s="130" t="str">
        <f t="shared" si="37"/>
        <v>1w</v>
      </c>
      <c r="X1752" s="128">
        <f>_xll.qlCalendarAdvance(Calendar,X1751,W1752,"f",FALSE)</f>
        <v>51532</v>
      </c>
      <c r="Y1752" s="131">
        <f>_xll.qlCalendarAdvance(Calendar,X1752,NDays&amp;"D")</f>
        <v>51536</v>
      </c>
      <c r="Z1752" s="132">
        <v>1.6271690144529203E-2</v>
      </c>
      <c r="AA1752" s="129">
        <v>1.6249379550794529E-2</v>
      </c>
    </row>
    <row r="1753" spans="19:27" x14ac:dyDescent="0.2">
      <c r="S1753" s="1"/>
      <c r="T1753" s="109"/>
      <c r="W1753" s="130" t="str">
        <f t="shared" si="37"/>
        <v>1w</v>
      </c>
      <c r="X1753" s="128">
        <f>_xll.qlCalendarAdvance(Calendar,X1752,W1753,"f",FALSE)</f>
        <v>51539</v>
      </c>
      <c r="Y1753" s="131">
        <f>_xll.qlCalendarAdvance(Calendar,X1753,NDays&amp;"D")</f>
        <v>51543</v>
      </c>
      <c r="Z1753" s="132">
        <v>1.6270082385355059E-2</v>
      </c>
      <c r="AA1753" s="129">
        <v>1.6247624930985083E-2</v>
      </c>
    </row>
    <row r="1754" spans="19:27" x14ac:dyDescent="0.2">
      <c r="S1754" s="1"/>
      <c r="T1754" s="109"/>
      <c r="W1754" s="130" t="str">
        <f t="shared" si="37"/>
        <v>1w</v>
      </c>
      <c r="X1754" s="128">
        <f>_xll.qlCalendarAdvance(Calendar,X1753,W1754,"f",FALSE)</f>
        <v>51546</v>
      </c>
      <c r="Y1754" s="131">
        <f>_xll.qlCalendarAdvance(Calendar,X1754,NDays&amp;"D")</f>
        <v>51550</v>
      </c>
      <c r="Z1754" s="132">
        <v>1.626849858200461E-2</v>
      </c>
      <c r="AA1754" s="129">
        <v>1.6245894169450992E-2</v>
      </c>
    </row>
    <row r="1755" spans="19:27" x14ac:dyDescent="0.2">
      <c r="S1755" s="1"/>
      <c r="T1755" s="109"/>
      <c r="W1755" s="130" t="str">
        <f t="shared" si="37"/>
        <v>1w</v>
      </c>
      <c r="X1755" s="128">
        <f>_xll.qlCalendarAdvance(Calendar,X1754,W1755,"f",FALSE)</f>
        <v>51553</v>
      </c>
      <c r="Y1755" s="131">
        <f>_xll.qlCalendarAdvance(Calendar,X1755,NDays&amp;"D")</f>
        <v>51557</v>
      </c>
      <c r="Z1755" s="132">
        <v>1.6266938734447119E-2</v>
      </c>
      <c r="AA1755" s="129">
        <v>1.624418726611232E-2</v>
      </c>
    </row>
    <row r="1756" spans="19:27" x14ac:dyDescent="0.2">
      <c r="S1756" s="1"/>
      <c r="T1756" s="109"/>
      <c r="W1756" s="130" t="str">
        <f t="shared" si="37"/>
        <v>1w</v>
      </c>
      <c r="X1756" s="128">
        <f>_xll.qlCalendarAdvance(Calendar,X1755,W1756,"f",FALSE)</f>
        <v>51560</v>
      </c>
      <c r="Y1756" s="131">
        <f>_xll.qlCalendarAdvance(Calendar,X1756,NDays&amp;"D")</f>
        <v>51564</v>
      </c>
      <c r="Z1756" s="132">
        <v>1.626566472777451E-2</v>
      </c>
      <c r="AA1756" s="129">
        <v>1.6242504220809195E-2</v>
      </c>
    </row>
    <row r="1757" spans="19:27" x14ac:dyDescent="0.2">
      <c r="S1757" s="1"/>
      <c r="T1757" s="109"/>
      <c r="W1757" s="130" t="str">
        <f t="shared" si="37"/>
        <v>1w</v>
      </c>
      <c r="X1757" s="128">
        <f>_xll.qlCalendarAdvance(Calendar,X1756,W1757,"f",FALSE)</f>
        <v>51567</v>
      </c>
      <c r="Y1757" s="131">
        <f>_xll.qlCalendarAdvance(Calendar,X1757,NDays&amp;"D")</f>
        <v>51571</v>
      </c>
      <c r="Z1757" s="132">
        <v>1.6264154434746478E-2</v>
      </c>
      <c r="AA1757" s="129">
        <v>1.6240845033621554E-2</v>
      </c>
    </row>
    <row r="1758" spans="19:27" x14ac:dyDescent="0.2">
      <c r="S1758" s="1"/>
      <c r="T1758" s="109"/>
      <c r="W1758" s="130" t="str">
        <f t="shared" si="37"/>
        <v>1w</v>
      </c>
      <c r="X1758" s="128">
        <f>_xll.qlCalendarAdvance(Calendar,X1757,W1758,"f",FALSE)</f>
        <v>51574</v>
      </c>
      <c r="Y1758" s="131">
        <f>_xll.qlCalendarAdvance(Calendar,X1758,NDays&amp;"D")</f>
        <v>51578</v>
      </c>
      <c r="Z1758" s="132">
        <v>1.6262668098514125E-2</v>
      </c>
      <c r="AA1758" s="129">
        <v>1.6239209704709268E-2</v>
      </c>
    </row>
    <row r="1759" spans="19:27" x14ac:dyDescent="0.2">
      <c r="S1759" s="1"/>
      <c r="T1759" s="109"/>
      <c r="W1759" s="130" t="str">
        <f t="shared" si="37"/>
        <v>1w</v>
      </c>
      <c r="X1759" s="128">
        <f>_xll.qlCalendarAdvance(Calendar,X1758,W1759,"f",FALSE)</f>
        <v>51581</v>
      </c>
      <c r="Y1759" s="131">
        <f>_xll.qlCalendarAdvance(Calendar,X1759,NDays&amp;"D")</f>
        <v>51585</v>
      </c>
      <c r="Z1759" s="132">
        <v>1.6261205719048776E-2</v>
      </c>
      <c r="AA1759" s="129">
        <v>1.6237598233912465E-2</v>
      </c>
    </row>
    <row r="1760" spans="19:27" x14ac:dyDescent="0.2">
      <c r="S1760" s="1"/>
      <c r="T1760" s="109"/>
      <c r="W1760" s="130" t="str">
        <f t="shared" si="37"/>
        <v>1w</v>
      </c>
      <c r="X1760" s="128">
        <f>_xll.qlCalendarAdvance(Calendar,X1759,W1760,"f",FALSE)</f>
        <v>51588</v>
      </c>
      <c r="Y1760" s="131">
        <f>_xll.qlCalendarAdvance(Calendar,X1760,NDays&amp;"D")</f>
        <v>51592</v>
      </c>
      <c r="Z1760" s="132">
        <v>1.6259498832579791E-2</v>
      </c>
      <c r="AA1760" s="129">
        <v>1.6236010621311081E-2</v>
      </c>
    </row>
    <row r="1761" spans="19:27" x14ac:dyDescent="0.2">
      <c r="S1761" s="1"/>
      <c r="T1761" s="109"/>
      <c r="W1761" s="130" t="str">
        <f t="shared" si="37"/>
        <v>1w</v>
      </c>
      <c r="X1761" s="128">
        <f>_xll.qlCalendarAdvance(Calendar,X1760,W1761,"f",FALSE)</f>
        <v>51595</v>
      </c>
      <c r="Y1761" s="131">
        <f>_xll.qlCalendarAdvance(Calendar,X1761,NDays&amp;"D")</f>
        <v>51599</v>
      </c>
      <c r="Z1761" s="132">
        <v>1.6258082719202899E-2</v>
      </c>
      <c r="AA1761" s="129">
        <v>1.6234446866745245E-2</v>
      </c>
    </row>
    <row r="1762" spans="19:27" x14ac:dyDescent="0.2">
      <c r="S1762" s="1"/>
      <c r="T1762" s="109"/>
      <c r="W1762" s="130" t="str">
        <f t="shared" si="37"/>
        <v>1w</v>
      </c>
      <c r="X1762" s="128">
        <f>_xll.qlCalendarAdvance(Calendar,X1761,W1762,"f",FALSE)</f>
        <v>51602</v>
      </c>
      <c r="Y1762" s="131">
        <f>_xll.qlCalendarAdvance(Calendar,X1762,NDays&amp;"D")</f>
        <v>51606</v>
      </c>
      <c r="Z1762" s="132">
        <v>1.6256690561430982E-2</v>
      </c>
      <c r="AA1762" s="129">
        <v>1.6232906970374827E-2</v>
      </c>
    </row>
    <row r="1763" spans="19:27" x14ac:dyDescent="0.2">
      <c r="S1763" s="1"/>
      <c r="T1763" s="109"/>
      <c r="W1763" s="130" t="str">
        <f t="shared" si="37"/>
        <v>1w</v>
      </c>
      <c r="X1763" s="128">
        <f>_xll.qlCalendarAdvance(Calendar,X1762,W1763,"f",FALSE)</f>
        <v>51609</v>
      </c>
      <c r="Y1763" s="131">
        <f>_xll.qlCalendarAdvance(Calendar,X1763,NDays&amp;"D")</f>
        <v>51615</v>
      </c>
      <c r="Z1763" s="132">
        <v>1.6254935844326177E-2</v>
      </c>
      <c r="AA1763" s="129">
        <v>1.6230962160381779E-2</v>
      </c>
    </row>
    <row r="1764" spans="19:27" x14ac:dyDescent="0.2">
      <c r="S1764" s="1"/>
      <c r="T1764" s="109"/>
      <c r="W1764" s="130" t="str">
        <f t="shared" si="37"/>
        <v>1w</v>
      </c>
      <c r="X1764" s="128">
        <f>_xll.qlCalendarAdvance(Calendar,X1763,W1764,"f",FALSE)</f>
        <v>51616</v>
      </c>
      <c r="Y1764" s="131">
        <f>_xll.qlCalendarAdvance(Calendar,X1764,NDays&amp;"D")</f>
        <v>51620</v>
      </c>
      <c r="Z1764" s="132">
        <v>1.6253978112599283E-2</v>
      </c>
      <c r="AA1764" s="129">
        <v>1.6229898752060379E-2</v>
      </c>
    </row>
    <row r="1765" spans="19:27" x14ac:dyDescent="0.2">
      <c r="S1765" s="1"/>
      <c r="T1765" s="109"/>
      <c r="W1765" s="130" t="str">
        <f t="shared" si="37"/>
        <v>1w</v>
      </c>
      <c r="X1765" s="128">
        <f>_xll.qlCalendarAdvance(Calendar,X1764,W1765,"f",FALSE)</f>
        <v>51623</v>
      </c>
      <c r="Y1765" s="131">
        <f>_xll.qlCalendarAdvance(Calendar,X1765,NDays&amp;"D")</f>
        <v>51627</v>
      </c>
      <c r="Z1765" s="132">
        <v>1.6252934532889316E-2</v>
      </c>
      <c r="AA1765" s="129">
        <v>1.6228430430036411E-2</v>
      </c>
    </row>
    <row r="1766" spans="19:27" x14ac:dyDescent="0.2">
      <c r="S1766" s="1"/>
      <c r="T1766" s="109"/>
      <c r="W1766" s="130" t="str">
        <f t="shared" si="37"/>
        <v>1w</v>
      </c>
      <c r="X1766" s="128">
        <f>_xll.qlCalendarAdvance(Calendar,X1765,W1766,"f",FALSE)</f>
        <v>51630</v>
      </c>
      <c r="Y1766" s="131">
        <f>_xll.qlCalendarAdvance(Calendar,X1766,NDays&amp;"D")</f>
        <v>51634</v>
      </c>
      <c r="Z1766" s="132">
        <v>1.6251639850067497E-2</v>
      </c>
      <c r="AA1766" s="129">
        <v>1.6226985966287799E-2</v>
      </c>
    </row>
    <row r="1767" spans="19:27" x14ac:dyDescent="0.2">
      <c r="S1767" s="1"/>
      <c r="T1767" s="109"/>
      <c r="W1767" s="130" t="str">
        <f t="shared" si="37"/>
        <v>1w</v>
      </c>
      <c r="X1767" s="128">
        <f>_xll.qlCalendarAdvance(Calendar,X1766,W1767,"f",FALSE)</f>
        <v>51637</v>
      </c>
      <c r="Y1767" s="131">
        <f>_xll.qlCalendarAdvance(Calendar,X1767,NDays&amp;"D")</f>
        <v>51641</v>
      </c>
      <c r="Z1767" s="132">
        <v>1.6250369123810234E-2</v>
      </c>
      <c r="AA1767" s="129">
        <v>1.622556536065467E-2</v>
      </c>
    </row>
    <row r="1768" spans="19:27" x14ac:dyDescent="0.2">
      <c r="S1768" s="1"/>
      <c r="T1768" s="109"/>
      <c r="W1768" s="130" t="str">
        <f t="shared" si="37"/>
        <v>1w</v>
      </c>
      <c r="X1768" s="128">
        <f>_xll.qlCalendarAdvance(Calendar,X1767,W1768,"f",FALSE)</f>
        <v>51644</v>
      </c>
      <c r="Y1768" s="131">
        <f>_xll.qlCalendarAdvance(Calendar,X1768,NDays&amp;"D")</f>
        <v>51648</v>
      </c>
      <c r="Z1768" s="132">
        <v>1.6249122354094071E-2</v>
      </c>
      <c r="AA1768" s="129">
        <v>1.6224168613137024E-2</v>
      </c>
    </row>
    <row r="1769" spans="19:27" x14ac:dyDescent="0.2">
      <c r="S1769" s="1"/>
      <c r="T1769" s="109"/>
      <c r="W1769" s="130" t="str">
        <f t="shared" si="37"/>
        <v>1w</v>
      </c>
      <c r="X1769" s="128">
        <f>_xll.qlCalendarAdvance(Calendar,X1768,W1769,"f",FALSE)</f>
        <v>51651</v>
      </c>
      <c r="Y1769" s="131">
        <f>_xll.qlCalendarAdvance(Calendar,X1769,NDays&amp;"D")</f>
        <v>51655</v>
      </c>
      <c r="Z1769" s="132">
        <v>1.6247899540899891E-2</v>
      </c>
      <c r="AA1769" s="129">
        <v>1.6222795723814798E-2</v>
      </c>
    </row>
    <row r="1770" spans="19:27" x14ac:dyDescent="0.2">
      <c r="S1770" s="1"/>
      <c r="T1770" s="109"/>
      <c r="W1770" s="130" t="str">
        <f t="shared" si="37"/>
        <v>1w</v>
      </c>
      <c r="X1770" s="128">
        <f>_xll.qlCalendarAdvance(Calendar,X1769,W1770,"f",FALSE)</f>
        <v>51658</v>
      </c>
      <c r="Y1770" s="131">
        <f>_xll.qlCalendarAdvance(Calendar,X1770,NDays&amp;"D")</f>
        <v>51662</v>
      </c>
      <c r="Z1770" s="132">
        <v>1.6246700684199023E-2</v>
      </c>
      <c r="AA1770" s="129">
        <v>1.6221446692528119E-2</v>
      </c>
    </row>
    <row r="1771" spans="19:27" x14ac:dyDescent="0.2">
      <c r="S1771" s="1"/>
      <c r="T1771" s="109"/>
      <c r="W1771" s="130" t="str">
        <f t="shared" si="37"/>
        <v>1w</v>
      </c>
      <c r="X1771" s="128">
        <f>_xll.qlCalendarAdvance(Calendar,X1770,W1771,"f",FALSE)</f>
        <v>51665</v>
      </c>
      <c r="Y1771" s="131">
        <f>_xll.qlCalendarAdvance(Calendar,X1771,NDays&amp;"D")</f>
        <v>51669</v>
      </c>
      <c r="Z1771" s="132">
        <v>1.6245525783975825E-2</v>
      </c>
      <c r="AA1771" s="129">
        <v>1.6220121519516795E-2</v>
      </c>
    </row>
    <row r="1772" spans="19:27" x14ac:dyDescent="0.2">
      <c r="S1772" s="1"/>
      <c r="T1772" s="109"/>
      <c r="W1772" s="130" t="str">
        <f t="shared" si="37"/>
        <v>1w</v>
      </c>
      <c r="X1772" s="128">
        <f>_xll.qlCalendarAdvance(Calendar,X1771,W1772,"f",FALSE)</f>
        <v>51672</v>
      </c>
      <c r="Y1772" s="131">
        <f>_xll.qlCalendarAdvance(Calendar,X1772,NDays&amp;"D")</f>
        <v>51676</v>
      </c>
      <c r="Z1772" s="132">
        <v>1.6244374840205102E-2</v>
      </c>
      <c r="AA1772" s="129">
        <v>1.6218820204541018E-2</v>
      </c>
    </row>
    <row r="1773" spans="19:27" x14ac:dyDescent="0.2">
      <c r="S1773" s="1"/>
      <c r="T1773" s="109"/>
      <c r="W1773" s="130" t="str">
        <f t="shared" si="37"/>
        <v>1w</v>
      </c>
      <c r="X1773" s="128">
        <f>_xll.qlCalendarAdvance(Calendar,X1772,W1773,"f",FALSE)</f>
        <v>51679</v>
      </c>
      <c r="Y1773" s="131">
        <f>_xll.qlCalendarAdvance(Calendar,X1773,NDays&amp;"D")</f>
        <v>51683</v>
      </c>
      <c r="Z1773" s="132">
        <v>1.6243247852865999E-2</v>
      </c>
      <c r="AA1773" s="129">
        <v>1.621754274776066E-2</v>
      </c>
    </row>
    <row r="1774" spans="19:27" x14ac:dyDescent="0.2">
      <c r="S1774" s="1"/>
      <c r="T1774" s="109"/>
      <c r="W1774" s="130" t="str">
        <f t="shared" si="37"/>
        <v>1w</v>
      </c>
      <c r="X1774" s="128">
        <f>_xll.qlCalendarAdvance(Calendar,X1773,W1774,"f",FALSE)</f>
        <v>51686</v>
      </c>
      <c r="Y1774" s="131">
        <f>_xll.qlCalendarAdvance(Calendar,X1774,NDays&amp;"D")</f>
        <v>51690</v>
      </c>
      <c r="Z1774" s="132">
        <v>1.6242144821939402E-2</v>
      </c>
      <c r="AA1774" s="129">
        <v>1.6216289149095786E-2</v>
      </c>
    </row>
    <row r="1775" spans="19:27" x14ac:dyDescent="0.2">
      <c r="S1775" s="1"/>
      <c r="T1775" s="109"/>
      <c r="W1775" s="130" t="str">
        <f t="shared" si="37"/>
        <v>1w</v>
      </c>
      <c r="X1775" s="128">
        <f>_xll.qlCalendarAdvance(Calendar,X1774,W1775,"f",FALSE)</f>
        <v>51693</v>
      </c>
      <c r="Y1775" s="131">
        <f>_xll.qlCalendarAdvance(Calendar,X1775,NDays&amp;"D")</f>
        <v>51697</v>
      </c>
      <c r="Z1775" s="132">
        <v>1.6241065747402719E-2</v>
      </c>
      <c r="AA1775" s="129">
        <v>1.6215059408546395E-2</v>
      </c>
    </row>
    <row r="1776" spans="19:27" x14ac:dyDescent="0.2">
      <c r="S1776" s="1"/>
      <c r="T1776" s="109"/>
      <c r="W1776" s="130" t="str">
        <f t="shared" si="37"/>
        <v>1w</v>
      </c>
      <c r="X1776" s="128">
        <f>_xll.qlCalendarAdvance(Calendar,X1775,W1776,"f",FALSE)</f>
        <v>51700</v>
      </c>
      <c r="Y1776" s="131">
        <f>_xll.qlCalendarAdvance(Calendar,X1776,NDays&amp;"D")</f>
        <v>51704</v>
      </c>
      <c r="Z1776" s="132">
        <v>1.6240010629241183E-2</v>
      </c>
      <c r="AA1776" s="129">
        <v>1.6213853526192423E-2</v>
      </c>
    </row>
    <row r="1777" spans="19:27" x14ac:dyDescent="0.2">
      <c r="S1777" s="1"/>
      <c r="T1777" s="109"/>
      <c r="W1777" s="130" t="str">
        <f t="shared" si="37"/>
        <v>1w</v>
      </c>
      <c r="X1777" s="128">
        <f>_xll.qlCalendarAdvance(Calendar,X1776,W1777,"f",FALSE)</f>
        <v>51707</v>
      </c>
      <c r="Y1777" s="131">
        <f>_xll.qlCalendarAdvance(Calendar,X1777,NDays&amp;"D")</f>
        <v>51711</v>
      </c>
      <c r="Z1777" s="132">
        <v>1.6238979467428725E-2</v>
      </c>
      <c r="AA1777" s="129">
        <v>1.6212671501953935E-2</v>
      </c>
    </row>
    <row r="1778" spans="19:27" x14ac:dyDescent="0.2">
      <c r="S1778" s="1"/>
      <c r="T1778" s="109"/>
      <c r="W1778" s="130" t="str">
        <f t="shared" si="37"/>
        <v>1w</v>
      </c>
      <c r="X1778" s="128">
        <f>_xll.qlCalendarAdvance(Calendar,X1777,W1778,"f",FALSE)</f>
        <v>51714</v>
      </c>
      <c r="Y1778" s="131">
        <f>_xll.qlCalendarAdvance(Calendar,X1778,NDays&amp;"D")</f>
        <v>51718</v>
      </c>
      <c r="Z1778" s="132">
        <v>1.623797226195231E-2</v>
      </c>
      <c r="AA1778" s="129">
        <v>1.6211513335910865E-2</v>
      </c>
    </row>
    <row r="1779" spans="19:27" x14ac:dyDescent="0.2">
      <c r="S1779" s="1"/>
      <c r="T1779" s="109"/>
      <c r="W1779" s="130" t="str">
        <f t="shared" si="37"/>
        <v>1w</v>
      </c>
      <c r="X1779" s="128">
        <f>_xll.qlCalendarAdvance(Calendar,X1778,W1779,"f",FALSE)</f>
        <v>51721</v>
      </c>
      <c r="Y1779" s="131">
        <f>_xll.qlCalendarAdvance(Calendar,X1779,NDays&amp;"D")</f>
        <v>51725</v>
      </c>
      <c r="Z1779" s="132">
        <v>1.6236989012788482E-2</v>
      </c>
      <c r="AA1779" s="129">
        <v>1.6210379027983279E-2</v>
      </c>
    </row>
    <row r="1780" spans="19:27" x14ac:dyDescent="0.2">
      <c r="S1780" s="1"/>
      <c r="T1780" s="109"/>
      <c r="W1780" s="130" t="str">
        <f t="shared" si="37"/>
        <v>1w</v>
      </c>
      <c r="X1780" s="128">
        <f>_xll.qlCalendarAdvance(Calendar,X1779,W1780,"f",FALSE)</f>
        <v>51728</v>
      </c>
      <c r="Y1780" s="131">
        <f>_xll.qlCalendarAdvance(Calendar,X1780,NDays&amp;"D")</f>
        <v>51732</v>
      </c>
      <c r="Z1780" s="132">
        <v>1.6236029719923339E-2</v>
      </c>
      <c r="AA1780" s="129">
        <v>1.6209268578171177E-2</v>
      </c>
    </row>
    <row r="1781" spans="19:27" x14ac:dyDescent="0.2">
      <c r="S1781" s="1"/>
      <c r="T1781" s="109"/>
      <c r="W1781" s="130" t="str">
        <f t="shared" si="37"/>
        <v>1w</v>
      </c>
      <c r="X1781" s="128">
        <f>_xll.qlCalendarAdvance(Calendar,X1780,W1781,"f",FALSE)</f>
        <v>51735</v>
      </c>
      <c r="Y1781" s="131">
        <f>_xll.qlCalendarAdvance(Calendar,X1781,NDays&amp;"D")</f>
        <v>51739</v>
      </c>
      <c r="Z1781" s="132">
        <v>1.6235094383338634E-2</v>
      </c>
      <c r="AA1781" s="129">
        <v>1.6208181986474557E-2</v>
      </c>
    </row>
    <row r="1782" spans="19:27" x14ac:dyDescent="0.2">
      <c r="S1782" s="1"/>
      <c r="T1782" s="109"/>
      <c r="W1782" s="130" t="str">
        <f t="shared" si="37"/>
        <v>1w</v>
      </c>
      <c r="X1782" s="128">
        <f>_xll.qlCalendarAdvance(Calendar,X1781,W1782,"f",FALSE)</f>
        <v>51742</v>
      </c>
      <c r="Y1782" s="131">
        <f>_xll.qlCalendarAdvance(Calendar,X1782,NDays&amp;"D")</f>
        <v>51746</v>
      </c>
      <c r="Z1782" s="132">
        <v>1.6233878047344871E-2</v>
      </c>
      <c r="AA1782" s="129">
        <v>1.6207119252973357E-2</v>
      </c>
    </row>
    <row r="1783" spans="19:27" x14ac:dyDescent="0.2">
      <c r="S1783" s="1"/>
      <c r="T1783" s="109"/>
      <c r="W1783" s="130" t="str">
        <f t="shared" si="37"/>
        <v>1w</v>
      </c>
      <c r="X1783" s="128">
        <f>_xll.qlCalendarAdvance(Calendar,X1782,W1783,"f",FALSE)</f>
        <v>51749</v>
      </c>
      <c r="Y1783" s="131">
        <f>_xll.qlCalendarAdvance(Calendar,X1783,NDays&amp;"D")</f>
        <v>51753</v>
      </c>
      <c r="Z1783" s="132">
        <v>1.6232988952118419E-2</v>
      </c>
      <c r="AA1783" s="129">
        <v>1.6206080377507703E-2</v>
      </c>
    </row>
    <row r="1784" spans="19:27" x14ac:dyDescent="0.2">
      <c r="S1784" s="1"/>
      <c r="T1784" s="109"/>
      <c r="W1784" s="130" t="str">
        <f t="shared" si="37"/>
        <v>1w</v>
      </c>
      <c r="X1784" s="128">
        <f>_xll.qlCalendarAdvance(Calendar,X1783,W1784,"f",FALSE)</f>
        <v>51756</v>
      </c>
      <c r="Y1784" s="131">
        <f>_xll.qlCalendarAdvance(Calendar,X1784,NDays&amp;"D")</f>
        <v>51760</v>
      </c>
      <c r="Z1784" s="132">
        <v>1.6232123812044554E-2</v>
      </c>
      <c r="AA1784" s="129">
        <v>1.6205065360397342E-2</v>
      </c>
    </row>
    <row r="1785" spans="19:27" x14ac:dyDescent="0.2">
      <c r="S1785" s="1"/>
      <c r="T1785" s="109"/>
      <c r="W1785" s="130" t="str">
        <f t="shared" si="37"/>
        <v>1w</v>
      </c>
      <c r="X1785" s="128">
        <f>_xll.qlCalendarAdvance(Calendar,X1784,W1785,"f",FALSE)</f>
        <v>51763</v>
      </c>
      <c r="Y1785" s="131">
        <f>_xll.qlCalendarAdvance(Calendar,X1785,NDays&amp;"D")</f>
        <v>51767</v>
      </c>
      <c r="Z1785" s="132">
        <v>1.6231282627103948E-2</v>
      </c>
      <c r="AA1785" s="129">
        <v>1.6204074201242591E-2</v>
      </c>
    </row>
    <row r="1786" spans="19:27" x14ac:dyDescent="0.2">
      <c r="S1786" s="1"/>
      <c r="T1786" s="109"/>
      <c r="W1786" s="130" t="str">
        <f t="shared" si="37"/>
        <v>1w</v>
      </c>
      <c r="X1786" s="128">
        <f>_xll.qlCalendarAdvance(Calendar,X1785,W1786,"f",FALSE)</f>
        <v>51770</v>
      </c>
      <c r="Y1786" s="131">
        <f>_xll.qlCalendarAdvance(Calendar,X1786,NDays&amp;"D")</f>
        <v>51774</v>
      </c>
      <c r="Z1786" s="132">
        <v>1.6230777044023016E-2</v>
      </c>
      <c r="AA1786" s="129">
        <v>1.620310690028326E-2</v>
      </c>
    </row>
    <row r="1787" spans="19:27" x14ac:dyDescent="0.2">
      <c r="S1787" s="1"/>
      <c r="T1787" s="109"/>
      <c r="W1787" s="130" t="str">
        <f t="shared" si="37"/>
        <v>1w</v>
      </c>
      <c r="X1787" s="128">
        <f>_xll.qlCalendarAdvance(Calendar,X1786,W1787,"f",FALSE)</f>
        <v>51777</v>
      </c>
      <c r="Y1787" s="131">
        <f>_xll.qlCalendarAdvance(Calendar,X1787,NDays&amp;"D")</f>
        <v>51781</v>
      </c>
      <c r="Z1787" s="132">
        <v>1.6229985444771649E-2</v>
      </c>
      <c r="AA1787" s="129">
        <v>1.6202163457519347E-2</v>
      </c>
    </row>
    <row r="1788" spans="19:27" x14ac:dyDescent="0.2">
      <c r="S1788" s="1"/>
      <c r="T1788" s="109"/>
      <c r="W1788" s="130" t="str">
        <f t="shared" si="37"/>
        <v>1w</v>
      </c>
      <c r="X1788" s="128">
        <f>_xll.qlCalendarAdvance(Calendar,X1787,W1788,"f",FALSE)</f>
        <v>51784</v>
      </c>
      <c r="Y1788" s="131">
        <f>_xll.qlCalendarAdvance(Calendar,X1788,NDays&amp;"D")</f>
        <v>51788</v>
      </c>
      <c r="Z1788" s="132">
        <v>1.6229217801689507E-2</v>
      </c>
      <c r="AA1788" s="129">
        <v>1.6201243872790982E-2</v>
      </c>
    </row>
    <row r="1789" spans="19:27" x14ac:dyDescent="0.2">
      <c r="S1789" s="1"/>
      <c r="T1789" s="109"/>
      <c r="W1789" s="130" t="str">
        <f t="shared" si="37"/>
        <v>1w</v>
      </c>
      <c r="X1789" s="128">
        <f>_xll.qlCalendarAdvance(Calendar,X1788,W1789,"f",FALSE)</f>
        <v>51791</v>
      </c>
      <c r="Y1789" s="131">
        <f>_xll.qlCalendarAdvance(Calendar,X1789,NDays&amp;"D")</f>
        <v>51795</v>
      </c>
      <c r="Z1789" s="132">
        <v>1.6228474114762685E-2</v>
      </c>
      <c r="AA1789" s="129">
        <v>1.6200348146337973E-2</v>
      </c>
    </row>
    <row r="1790" spans="19:27" x14ac:dyDescent="0.2">
      <c r="S1790" s="1"/>
      <c r="T1790" s="109"/>
      <c r="W1790" s="130" t="str">
        <f t="shared" si="37"/>
        <v>1w</v>
      </c>
      <c r="X1790" s="128">
        <f>_xll.qlCalendarAdvance(Calendar,X1789,W1790,"f",FALSE)</f>
        <v>51798</v>
      </c>
      <c r="Y1790" s="131">
        <f>_xll.qlCalendarAdvance(Calendar,X1790,NDays&amp;"D")</f>
        <v>51802</v>
      </c>
      <c r="Z1790" s="132">
        <v>1.622775438397641E-2</v>
      </c>
      <c r="AA1790" s="129">
        <v>1.6199476277840574E-2</v>
      </c>
    </row>
    <row r="1791" spans="19:27" x14ac:dyDescent="0.2">
      <c r="S1791" s="1"/>
      <c r="T1791" s="109"/>
      <c r="W1791" s="130" t="str">
        <f t="shared" si="37"/>
        <v>1w</v>
      </c>
      <c r="X1791" s="128">
        <f>_xll.qlCalendarAdvance(Calendar,X1790,W1791,"f",FALSE)</f>
        <v>51805</v>
      </c>
      <c r="Y1791" s="131">
        <f>_xll.qlCalendarAdvance(Calendar,X1791,NDays&amp;"D")</f>
        <v>51809</v>
      </c>
      <c r="Z1791" s="132">
        <v>1.6227058609319389E-2</v>
      </c>
      <c r="AA1791" s="129">
        <v>1.6198628267618531E-2</v>
      </c>
    </row>
    <row r="1792" spans="19:27" x14ac:dyDescent="0.2">
      <c r="S1792" s="1"/>
      <c r="T1792" s="109"/>
      <c r="W1792" s="130" t="str">
        <f t="shared" si="37"/>
        <v>1w</v>
      </c>
      <c r="X1792" s="128">
        <f>_xll.qlCalendarAdvance(Calendar,X1791,W1792,"f",FALSE)</f>
        <v>51812</v>
      </c>
      <c r="Y1792" s="131">
        <f>_xll.qlCalendarAdvance(Calendar,X1792,NDays&amp;"D")</f>
        <v>51816</v>
      </c>
      <c r="Z1792" s="132">
        <v>1.6226386790778591E-2</v>
      </c>
      <c r="AA1792" s="129">
        <v>1.6197804115432035E-2</v>
      </c>
    </row>
    <row r="1793" spans="19:27" x14ac:dyDescent="0.2">
      <c r="S1793" s="1"/>
      <c r="T1793" s="109"/>
      <c r="W1793" s="130" t="str">
        <f t="shared" si="37"/>
        <v>1w</v>
      </c>
      <c r="X1793" s="128">
        <f>_xll.qlCalendarAdvance(Calendar,X1792,W1793,"f",FALSE)</f>
        <v>51819</v>
      </c>
      <c r="Y1793" s="131">
        <f>_xll.qlCalendarAdvance(Calendar,X1793,NDays&amp;"D")</f>
        <v>51823</v>
      </c>
      <c r="Z1793" s="132">
        <v>1.6225738928339246E-2</v>
      </c>
      <c r="AA1793" s="129">
        <v>1.6197003821440958E-2</v>
      </c>
    </row>
    <row r="1794" spans="19:27" x14ac:dyDescent="0.2">
      <c r="S1794" s="1"/>
      <c r="T1794" s="109"/>
      <c r="W1794" s="130" t="str">
        <f t="shared" si="37"/>
        <v>1w</v>
      </c>
      <c r="X1794" s="128">
        <f>_xll.qlCalendarAdvance(Calendar,X1793,W1794,"f",FALSE)</f>
        <v>51826</v>
      </c>
      <c r="Y1794" s="131">
        <f>_xll.qlCalendarAdvance(Calendar,X1794,NDays&amp;"D")</f>
        <v>51830</v>
      </c>
      <c r="Z1794" s="132">
        <v>1.6225115021992659E-2</v>
      </c>
      <c r="AA1794" s="129">
        <v>1.6196227385645301E-2</v>
      </c>
    </row>
    <row r="1795" spans="19:27" x14ac:dyDescent="0.2">
      <c r="S1795" s="1"/>
      <c r="T1795" s="109"/>
      <c r="W1795" s="130" t="str">
        <f t="shared" si="37"/>
        <v>1w</v>
      </c>
      <c r="X1795" s="128">
        <f>_xll.qlCalendarAdvance(Calendar,X1794,W1795,"f",FALSE)</f>
        <v>51833</v>
      </c>
      <c r="Y1795" s="131">
        <f>_xll.qlCalendarAdvance(Calendar,X1795,NDays&amp;"D")</f>
        <v>51837</v>
      </c>
      <c r="Z1795" s="132">
        <v>1.6224188307001147E-2</v>
      </c>
      <c r="AA1795" s="129">
        <v>1.6195474807885191E-2</v>
      </c>
    </row>
    <row r="1796" spans="19:27" x14ac:dyDescent="0.2">
      <c r="S1796" s="1"/>
      <c r="T1796" s="109"/>
      <c r="W1796" s="130" t="str">
        <f t="shared" si="37"/>
        <v>1w</v>
      </c>
      <c r="X1796" s="128">
        <f>_xll.qlCalendarAdvance(Calendar,X1795,W1796,"f",FALSE)</f>
        <v>51840</v>
      </c>
      <c r="Y1796" s="131">
        <f>_xll.qlCalendarAdvance(Calendar,X1796,NDays&amp;"D")</f>
        <v>51844</v>
      </c>
      <c r="Z1796" s="132">
        <v>1.6223610627637462E-2</v>
      </c>
      <c r="AA1796" s="129">
        <v>1.6194746088400436E-2</v>
      </c>
    </row>
    <row r="1797" spans="19:27" x14ac:dyDescent="0.2">
      <c r="S1797" s="1"/>
      <c r="T1797" s="109"/>
      <c r="W1797" s="130" t="str">
        <f t="shared" si="37"/>
        <v>1w</v>
      </c>
      <c r="X1797" s="128">
        <f>_xll.qlCalendarAdvance(Calendar,X1796,W1797,"f",FALSE)</f>
        <v>51847</v>
      </c>
      <c r="Y1797" s="131">
        <f>_xll.qlCalendarAdvance(Calendar,X1797,NDays&amp;"D")</f>
        <v>51851</v>
      </c>
      <c r="Z1797" s="132">
        <v>1.6223056903255071E-2</v>
      </c>
      <c r="AA1797" s="129">
        <v>1.6194041227031164E-2</v>
      </c>
    </row>
    <row r="1798" spans="19:27" x14ac:dyDescent="0.2">
      <c r="S1798" s="1"/>
      <c r="T1798" s="109"/>
      <c r="W1798" s="130" t="str">
        <f t="shared" si="37"/>
        <v>1w</v>
      </c>
      <c r="X1798" s="128">
        <f>_xll.qlCalendarAdvance(Calendar,X1797,W1798,"f",FALSE)</f>
        <v>51854</v>
      </c>
      <c r="Y1798" s="131">
        <f>_xll.qlCalendarAdvance(Calendar,X1798,NDays&amp;"D")</f>
        <v>51858</v>
      </c>
      <c r="Z1798" s="132">
        <v>1.6222527133843437E-2</v>
      </c>
      <c r="AA1798" s="129">
        <v>1.6193360223697439E-2</v>
      </c>
    </row>
    <row r="1799" spans="19:27" x14ac:dyDescent="0.2">
      <c r="S1799" s="1"/>
      <c r="T1799" s="109"/>
      <c r="W1799" s="130" t="str">
        <f t="shared" si="37"/>
        <v>1w</v>
      </c>
      <c r="X1799" s="128">
        <f>_xll.qlCalendarAdvance(Calendar,X1798,W1799,"f",FALSE)</f>
        <v>51862</v>
      </c>
      <c r="Y1799" s="131">
        <f>_xll.qlCalendarAdvance(Calendar,X1799,NDays&amp;"D")</f>
        <v>51866</v>
      </c>
      <c r="Z1799" s="132">
        <v>1.6221617433640034E-2</v>
      </c>
      <c r="AA1799" s="129">
        <v>1.6192929592047101E-2</v>
      </c>
    </row>
    <row r="1800" spans="19:27" x14ac:dyDescent="0.2">
      <c r="S1800" s="1"/>
      <c r="T1800" s="109"/>
      <c r="W1800" s="130" t="str">
        <f t="shared" si="37"/>
        <v>1w</v>
      </c>
      <c r="X1800" s="128">
        <f>_xll.qlCalendarAdvance(Calendar,X1799,W1800,"f",FALSE)</f>
        <v>51869</v>
      </c>
      <c r="Y1800" s="131">
        <f>_xll.qlCalendarAdvance(Calendar,X1800,NDays&amp;"D")</f>
        <v>51873</v>
      </c>
      <c r="Z1800" s="132">
        <v>1.6221472578330631E-2</v>
      </c>
      <c r="AA1800" s="129">
        <v>1.6191981269466638E-2</v>
      </c>
    </row>
    <row r="1801" spans="19:27" x14ac:dyDescent="0.2">
      <c r="S1801" s="1"/>
      <c r="T1801" s="109"/>
      <c r="W1801" s="130" t="str">
        <f t="shared" si="37"/>
        <v>1w</v>
      </c>
      <c r="X1801" s="128">
        <f>_xll.qlCalendarAdvance(Calendar,X1800,W1801,"f",FALSE)</f>
        <v>51876</v>
      </c>
      <c r="Y1801" s="131">
        <f>_xll.qlCalendarAdvance(Calendar,X1801,NDays&amp;"D")</f>
        <v>51880</v>
      </c>
      <c r="Z1801" s="132">
        <v>1.622068113382813E-2</v>
      </c>
      <c r="AA1801" s="129">
        <v>1.6191375248952866E-2</v>
      </c>
    </row>
    <row r="1802" spans="19:27" x14ac:dyDescent="0.2">
      <c r="S1802" s="1"/>
      <c r="T1802" s="109"/>
      <c r="W1802" s="130" t="str">
        <f t="shared" si="37"/>
        <v>1w</v>
      </c>
      <c r="X1802" s="128">
        <f>_xll.qlCalendarAdvance(Calendar,X1801,W1802,"f",FALSE)</f>
        <v>51883</v>
      </c>
      <c r="Y1802" s="131">
        <f>_xll.qlCalendarAdvance(Calendar,X1802,NDays&amp;"D")</f>
        <v>51887</v>
      </c>
      <c r="Z1802" s="132">
        <v>1.6220248914711632E-2</v>
      </c>
      <c r="AA1802" s="129">
        <v>1.6190793086474642E-2</v>
      </c>
    </row>
    <row r="1803" spans="19:27" x14ac:dyDescent="0.2">
      <c r="S1803" s="1"/>
      <c r="T1803" s="109"/>
      <c r="W1803" s="130" t="str">
        <f t="shared" si="37"/>
        <v>1w</v>
      </c>
      <c r="X1803" s="128">
        <f>_xll.qlCalendarAdvance(Calendar,X1802,W1803,"f",FALSE)</f>
        <v>51890</v>
      </c>
      <c r="Y1803" s="131">
        <f>_xll.qlCalendarAdvance(Calendar,X1803,NDays&amp;"D")</f>
        <v>51894</v>
      </c>
      <c r="Z1803" s="132">
        <v>1.6219840649444706E-2</v>
      </c>
      <c r="AA1803" s="129">
        <v>1.6190234782191837E-2</v>
      </c>
    </row>
    <row r="1804" spans="19:27" x14ac:dyDescent="0.2">
      <c r="S1804" s="1"/>
      <c r="T1804" s="109"/>
      <c r="W1804" s="130" t="str">
        <f t="shared" si="37"/>
        <v>1w</v>
      </c>
      <c r="X1804" s="128">
        <f>_xll.qlCalendarAdvance(Calendar,X1803,W1804,"f",FALSE)</f>
        <v>51897</v>
      </c>
      <c r="Y1804" s="131">
        <f>_xll.qlCalendarAdvance(Calendar,X1804,NDays&amp;"D")</f>
        <v>51901</v>
      </c>
      <c r="Z1804" s="132">
        <v>1.6219456338018468E-2</v>
      </c>
      <c r="AA1804" s="129">
        <v>1.6189700336104451E-2</v>
      </c>
    </row>
    <row r="1805" spans="19:27" x14ac:dyDescent="0.2">
      <c r="S1805" s="1"/>
      <c r="T1805" s="109"/>
      <c r="W1805" s="130" t="str">
        <f t="shared" si="37"/>
        <v>1w</v>
      </c>
      <c r="X1805" s="128">
        <f>_xll.qlCalendarAdvance(Calendar,X1804,W1805,"f",FALSE)</f>
        <v>51904</v>
      </c>
      <c r="Y1805" s="131">
        <f>_xll.qlCalendarAdvance(Calendar,X1805,NDays&amp;"D")</f>
        <v>51908</v>
      </c>
      <c r="Z1805" s="132">
        <v>1.6219095980427589E-2</v>
      </c>
      <c r="AA1805" s="129">
        <v>1.6189189747972677E-2</v>
      </c>
    </row>
    <row r="1806" spans="19:27" x14ac:dyDescent="0.2">
      <c r="S1806" s="1"/>
      <c r="T1806" s="109"/>
      <c r="W1806" s="130" t="str">
        <f t="shared" si="37"/>
        <v>1w</v>
      </c>
      <c r="X1806" s="128">
        <f>_xll.qlCalendarAdvance(Calendar,X1805,W1806,"f",FALSE)</f>
        <v>51911</v>
      </c>
      <c r="Y1806" s="131">
        <f>_xll.qlCalendarAdvance(Calendar,X1806,NDays&amp;"D")</f>
        <v>51915</v>
      </c>
      <c r="Z1806" s="132">
        <v>1.6218759576666741E-2</v>
      </c>
      <c r="AA1806" s="129">
        <v>1.6188703018116257E-2</v>
      </c>
    </row>
    <row r="1807" spans="19:27" x14ac:dyDescent="0.2">
      <c r="S1807" s="1"/>
      <c r="T1807" s="109"/>
      <c r="W1807" s="130" t="str">
        <f t="shared" si="37"/>
        <v>1w</v>
      </c>
      <c r="X1807" s="128">
        <f>_xll.qlCalendarAdvance(Calendar,X1806,W1807,"f",FALSE)</f>
        <v>51918</v>
      </c>
      <c r="Y1807" s="131">
        <f>_xll.qlCalendarAdvance(Calendar,X1807,NDays&amp;"D")</f>
        <v>51922</v>
      </c>
      <c r="Z1807" s="132">
        <v>1.6218447126726154E-2</v>
      </c>
      <c r="AA1807" s="129">
        <v>1.6188240146375321E-2</v>
      </c>
    </row>
    <row r="1808" spans="19:27" x14ac:dyDescent="0.2">
      <c r="S1808" s="1"/>
      <c r="T1808" s="109"/>
      <c r="W1808" s="130" t="str">
        <f t="shared" si="37"/>
        <v>1w</v>
      </c>
      <c r="X1808" s="128">
        <f>_xll.qlCalendarAdvance(Calendar,X1807,W1808,"f",FALSE)</f>
        <v>51925</v>
      </c>
      <c r="Y1808" s="131">
        <f>_xll.qlCalendarAdvance(Calendar,X1808,NDays&amp;"D")</f>
        <v>51929</v>
      </c>
      <c r="Z1808" s="132">
        <v>1.6218856455294722E-2</v>
      </c>
      <c r="AA1808" s="129">
        <v>1.6187801132749868E-2</v>
      </c>
    </row>
    <row r="1809" spans="19:27" x14ac:dyDescent="0.2">
      <c r="S1809" s="1"/>
      <c r="T1809" s="109"/>
      <c r="W1809" s="130" t="str">
        <f t="shared" si="37"/>
        <v>1w</v>
      </c>
      <c r="X1809" s="128">
        <f>_xll.qlCalendarAdvance(Calendar,X1808,W1809,"f",FALSE)</f>
        <v>51932</v>
      </c>
      <c r="Y1809" s="131">
        <f>_xll.qlCalendarAdvance(Calendar,X1809,NDays&amp;"D")</f>
        <v>51936</v>
      </c>
      <c r="Z1809" s="132">
        <v>1.6218595311475979E-2</v>
      </c>
      <c r="AA1809" s="129">
        <v>1.6187385977319835E-2</v>
      </c>
    </row>
    <row r="1810" spans="19:27" x14ac:dyDescent="0.2">
      <c r="S1810" s="1"/>
      <c r="T1810" s="109"/>
      <c r="W1810" s="130" t="str">
        <f t="shared" si="37"/>
        <v>1w</v>
      </c>
      <c r="X1810" s="128">
        <f>_xll.qlCalendarAdvance(Calendar,X1809,W1810,"f",FALSE)</f>
        <v>51939</v>
      </c>
      <c r="Y1810" s="131">
        <f>_xll.qlCalendarAdvance(Calendar,X1810,NDays&amp;"D")</f>
        <v>51943</v>
      </c>
      <c r="Z1810" s="132">
        <v>1.6218358123619665E-2</v>
      </c>
      <c r="AA1810" s="129">
        <v>1.6186994679925348E-2</v>
      </c>
    </row>
    <row r="1811" spans="19:27" x14ac:dyDescent="0.2">
      <c r="S1811" s="1"/>
      <c r="T1811" s="109"/>
      <c r="W1811" s="130" t="str">
        <f t="shared" si="37"/>
        <v>1w</v>
      </c>
      <c r="X1811" s="128">
        <f>_xll.qlCalendarAdvance(Calendar,X1810,W1811,"f",FALSE)</f>
        <v>51946</v>
      </c>
      <c r="Y1811" s="131">
        <f>_xll.qlCalendarAdvance(Calendar,X1811,NDays&amp;"D")</f>
        <v>51950</v>
      </c>
      <c r="Z1811" s="132">
        <v>1.6218144891717967E-2</v>
      </c>
      <c r="AA1811" s="129">
        <v>1.6186627240726281E-2</v>
      </c>
    </row>
    <row r="1812" spans="19:27" x14ac:dyDescent="0.2">
      <c r="S1812" s="1"/>
      <c r="T1812" s="109"/>
      <c r="W1812" s="130" t="str">
        <f t="shared" si="37"/>
        <v>1w</v>
      </c>
      <c r="X1812" s="128">
        <f>_xll.qlCalendarAdvance(Calendar,X1811,W1812,"f",FALSE)</f>
        <v>51953</v>
      </c>
      <c r="Y1812" s="131">
        <f>_xll.qlCalendarAdvance(Calendar,X1812,NDays&amp;"D")</f>
        <v>51957</v>
      </c>
      <c r="Z1812" s="132">
        <v>1.6217599813438559E-2</v>
      </c>
      <c r="AA1812" s="129">
        <v>1.6186283659722633E-2</v>
      </c>
    </row>
    <row r="1813" spans="19:27" x14ac:dyDescent="0.2">
      <c r="S1813" s="1"/>
      <c r="T1813" s="109"/>
      <c r="W1813" s="130" t="str">
        <f t="shared" ref="W1813:W1876" si="38">W1812</f>
        <v>1w</v>
      </c>
      <c r="X1813" s="128">
        <f>_xll.qlCalendarAdvance(Calendar,X1812,W1813,"f",FALSE)</f>
        <v>51964</v>
      </c>
      <c r="Y1813" s="131">
        <f>_xll.qlCalendarAdvance(Calendar,X1813,NDays&amp;"D")</f>
        <v>51966</v>
      </c>
      <c r="Z1813" s="132">
        <v>1.6217389468645545E-2</v>
      </c>
      <c r="AA1813" s="129">
        <v>1.6185876969441182E-2</v>
      </c>
    </row>
    <row r="1814" spans="19:27" x14ac:dyDescent="0.2">
      <c r="S1814" s="1"/>
      <c r="T1814" s="109"/>
      <c r="W1814" s="130" t="str">
        <f t="shared" si="38"/>
        <v>1w</v>
      </c>
      <c r="X1814" s="128">
        <f>_xll.qlCalendarAdvance(Calendar,X1813,W1814,"f",FALSE)</f>
        <v>51971</v>
      </c>
      <c r="Y1814" s="131">
        <f>_xll.qlCalendarAdvance(Calendar,X1814,NDays&amp;"D")</f>
        <v>51973</v>
      </c>
      <c r="Z1814" s="132">
        <v>1.6217253244132559E-2</v>
      </c>
      <c r="AA1814" s="129">
        <v>1.6185587921215827E-2</v>
      </c>
    </row>
    <row r="1815" spans="19:27" x14ac:dyDescent="0.2">
      <c r="S1815" s="1"/>
      <c r="T1815" s="109"/>
      <c r="W1815" s="130" t="str">
        <f t="shared" si="38"/>
        <v>1w</v>
      </c>
      <c r="X1815" s="128">
        <f>_xll.qlCalendarAdvance(Calendar,X1814,W1815,"f",FALSE)</f>
        <v>51978</v>
      </c>
      <c r="Y1815" s="131">
        <f>_xll.qlCalendarAdvance(Calendar,X1815,NDays&amp;"D")</f>
        <v>51980</v>
      </c>
      <c r="Z1815" s="132">
        <v>1.621714097448667E-2</v>
      </c>
      <c r="AA1815" s="129">
        <v>1.6185322731185892E-2</v>
      </c>
    </row>
    <row r="1816" spans="19:27" x14ac:dyDescent="0.2">
      <c r="S1816" s="1"/>
      <c r="T1816" s="109"/>
      <c r="W1816" s="130" t="str">
        <f t="shared" si="38"/>
        <v>1w</v>
      </c>
      <c r="X1816" s="128">
        <f>_xll.qlCalendarAdvance(Calendar,X1815,W1816,"f",FALSE)</f>
        <v>51985</v>
      </c>
      <c r="Y1816" s="131">
        <f>_xll.qlCalendarAdvance(Calendar,X1816,NDays&amp;"D")</f>
        <v>51988</v>
      </c>
      <c r="Z1816" s="132">
        <v>1.621813258562772E-2</v>
      </c>
      <c r="AA1816" s="129">
        <v>1.6185744654748646E-2</v>
      </c>
    </row>
    <row r="1817" spans="19:27" x14ac:dyDescent="0.2">
      <c r="S1817" s="1"/>
      <c r="T1817" s="109"/>
      <c r="W1817" s="130" t="str">
        <f t="shared" si="38"/>
        <v>1w</v>
      </c>
      <c r="X1817" s="128">
        <f>_xll.qlCalendarAdvance(Calendar,X1816,W1817,"f",FALSE)</f>
        <v>51992</v>
      </c>
      <c r="Y1817" s="131">
        <f>_xll.qlCalendarAdvance(Calendar,X1817,NDays&amp;"D")</f>
        <v>51994</v>
      </c>
      <c r="Z1817" s="132">
        <v>1.6217353119210409E-2</v>
      </c>
      <c r="AA1817" s="129">
        <v>1.618486392547247E-2</v>
      </c>
    </row>
    <row r="1818" spans="19:27" x14ac:dyDescent="0.2">
      <c r="S1818" s="1"/>
      <c r="T1818" s="109"/>
      <c r="W1818" s="130" t="str">
        <f t="shared" si="38"/>
        <v>1w</v>
      </c>
      <c r="X1818" s="128">
        <f>_xll.qlCalendarAdvance(Calendar,X1817,W1818,"f",FALSE)</f>
        <v>51999</v>
      </c>
      <c r="Y1818" s="131">
        <f>_xll.qlCalendarAdvance(Calendar,X1818,NDays&amp;"D")</f>
        <v>52001</v>
      </c>
      <c r="Z1818" s="132">
        <v>1.6217314423473357E-2</v>
      </c>
      <c r="AA1818" s="129">
        <v>1.618467030986892E-2</v>
      </c>
    </row>
    <row r="1819" spans="19:27" x14ac:dyDescent="0.2">
      <c r="S1819" s="1"/>
      <c r="T1819" s="109"/>
      <c r="W1819" s="130" t="str">
        <f t="shared" si="38"/>
        <v>1w</v>
      </c>
      <c r="X1819" s="128">
        <f>_xll.qlCalendarAdvance(Calendar,X1818,W1819,"f",FALSE)</f>
        <v>52006</v>
      </c>
      <c r="Y1819" s="131">
        <f>_xll.qlCalendarAdvance(Calendar,X1819,NDays&amp;"D")</f>
        <v>52008</v>
      </c>
      <c r="Z1819" s="132">
        <v>1.6217299683672675E-2</v>
      </c>
      <c r="AA1819" s="129">
        <v>1.6184500552300918E-2</v>
      </c>
    </row>
    <row r="1820" spans="19:27" x14ac:dyDescent="0.2">
      <c r="S1820" s="1"/>
      <c r="T1820" s="109"/>
      <c r="W1820" s="130" t="str">
        <f t="shared" si="38"/>
        <v>1w</v>
      </c>
      <c r="X1820" s="128">
        <f>_xll.qlCalendarAdvance(Calendar,X1819,W1820,"f",FALSE)</f>
        <v>52013</v>
      </c>
      <c r="Y1820" s="131">
        <f>_xll.qlCalendarAdvance(Calendar,X1820,NDays&amp;"D")</f>
        <v>52015</v>
      </c>
      <c r="Z1820" s="132">
        <v>1.6217308899810962E-2</v>
      </c>
      <c r="AA1820" s="129">
        <v>1.618435465300827E-2</v>
      </c>
    </row>
    <row r="1821" spans="19:27" x14ac:dyDescent="0.2">
      <c r="S1821" s="1"/>
      <c r="T1821" s="109"/>
      <c r="W1821" s="130" t="str">
        <f t="shared" si="38"/>
        <v>1w</v>
      </c>
      <c r="X1821" s="128">
        <f>_xll.qlCalendarAdvance(Calendar,X1820,W1821,"f",FALSE)</f>
        <v>52020</v>
      </c>
      <c r="Y1821" s="131">
        <f>_xll.qlCalendarAdvance(Calendar,X1821,NDays&amp;"D")</f>
        <v>52022</v>
      </c>
      <c r="Z1821" s="132">
        <v>1.6217342071883876E-2</v>
      </c>
      <c r="AA1821" s="129">
        <v>1.618423261175117E-2</v>
      </c>
    </row>
    <row r="1822" spans="19:27" x14ac:dyDescent="0.2">
      <c r="S1822" s="1"/>
      <c r="T1822" s="109"/>
      <c r="W1822" s="130" t="str">
        <f t="shared" si="38"/>
        <v>1w</v>
      </c>
      <c r="X1822" s="128">
        <f>_xll.qlCalendarAdvance(Calendar,X1821,W1822,"f",FALSE)</f>
        <v>52027</v>
      </c>
      <c r="Y1822" s="131">
        <f>_xll.qlCalendarAdvance(Calendar,X1822,NDays&amp;"D")</f>
        <v>52029</v>
      </c>
      <c r="Z1822" s="132">
        <v>1.6217399199896631E-2</v>
      </c>
      <c r="AA1822" s="129">
        <v>1.6184134428609553E-2</v>
      </c>
    </row>
    <row r="1823" spans="19:27" x14ac:dyDescent="0.2">
      <c r="S1823" s="1"/>
      <c r="T1823" s="109"/>
      <c r="W1823" s="130" t="str">
        <f t="shared" si="38"/>
        <v>1w</v>
      </c>
      <c r="X1823" s="128">
        <f>_xll.qlCalendarAdvance(Calendar,X1822,W1823,"f",FALSE)</f>
        <v>52034</v>
      </c>
      <c r="Y1823" s="131">
        <f>_xll.qlCalendarAdvance(Calendar,X1823,NDays&amp;"D")</f>
        <v>52036</v>
      </c>
      <c r="Z1823" s="132">
        <v>1.621748028384749E-2</v>
      </c>
      <c r="AA1823" s="129">
        <v>1.618406010358342E-2</v>
      </c>
    </row>
    <row r="1824" spans="19:27" x14ac:dyDescent="0.2">
      <c r="S1824" s="1"/>
      <c r="T1824" s="109"/>
      <c r="W1824" s="130" t="str">
        <f t="shared" si="38"/>
        <v>1w</v>
      </c>
      <c r="X1824" s="128">
        <f>_xll.qlCalendarAdvance(Calendar,X1823,W1824,"f",FALSE)</f>
        <v>52041</v>
      </c>
      <c r="Y1824" s="131">
        <f>_xll.qlCalendarAdvance(Calendar,X1824,NDays&amp;"D")</f>
        <v>52043</v>
      </c>
      <c r="Z1824" s="132">
        <v>1.6217585323739056E-2</v>
      </c>
      <c r="AA1824" s="129">
        <v>1.6184009636752705E-2</v>
      </c>
    </row>
    <row r="1825" spans="19:27" x14ac:dyDescent="0.2">
      <c r="S1825" s="1"/>
      <c r="T1825" s="109"/>
      <c r="W1825" s="130" t="str">
        <f t="shared" si="38"/>
        <v>1w</v>
      </c>
      <c r="X1825" s="128">
        <f>_xll.qlCalendarAdvance(Calendar,X1824,W1825,"f",FALSE)</f>
        <v>52048</v>
      </c>
      <c r="Y1825" s="131">
        <f>_xll.qlCalendarAdvance(Calendar,X1825,NDays&amp;"D")</f>
        <v>52050</v>
      </c>
      <c r="Z1825" s="132">
        <v>1.6217714319573071E-2</v>
      </c>
      <c r="AA1825" s="129">
        <v>1.618398302811741E-2</v>
      </c>
    </row>
    <row r="1826" spans="19:27" x14ac:dyDescent="0.2">
      <c r="S1826" s="1"/>
      <c r="T1826" s="109"/>
      <c r="W1826" s="130" t="str">
        <f t="shared" si="38"/>
        <v>1w</v>
      </c>
      <c r="X1826" s="128">
        <f>_xll.qlCalendarAdvance(Calendar,X1825,W1826,"f",FALSE)</f>
        <v>52055</v>
      </c>
      <c r="Y1826" s="131">
        <f>_xll.qlCalendarAdvance(Calendar,X1826,NDays&amp;"D")</f>
        <v>52057</v>
      </c>
      <c r="Z1826" s="132">
        <v>1.6217867271351272E-2</v>
      </c>
      <c r="AA1826" s="129">
        <v>1.6183980277597598E-2</v>
      </c>
    </row>
    <row r="1827" spans="19:27" x14ac:dyDescent="0.2">
      <c r="S1827" s="1"/>
      <c r="T1827" s="109"/>
      <c r="W1827" s="130" t="str">
        <f t="shared" si="38"/>
        <v>1w</v>
      </c>
      <c r="X1827" s="128">
        <f>_xll.qlCalendarAdvance(Calendar,X1826,W1827,"f",FALSE)</f>
        <v>52062</v>
      </c>
      <c r="Y1827" s="131">
        <f>_xll.qlCalendarAdvance(Calendar,X1827,NDays&amp;"D")</f>
        <v>52064</v>
      </c>
      <c r="Z1827" s="132">
        <v>1.6218044179078E-2</v>
      </c>
      <c r="AA1827" s="129">
        <v>1.618400138519327E-2</v>
      </c>
    </row>
    <row r="1828" spans="19:27" x14ac:dyDescent="0.2">
      <c r="S1828" s="1"/>
      <c r="T1828" s="109"/>
      <c r="W1828" s="130" t="str">
        <f t="shared" si="38"/>
        <v>1w</v>
      </c>
      <c r="X1828" s="128">
        <f>_xll.qlCalendarAdvance(Calendar,X1827,W1828,"f",FALSE)</f>
        <v>52069</v>
      </c>
      <c r="Y1828" s="131">
        <f>_xll.qlCalendarAdvance(Calendar,X1828,NDays&amp;"D")</f>
        <v>52071</v>
      </c>
      <c r="Z1828" s="132">
        <v>1.6218245042754126E-2</v>
      </c>
      <c r="AA1828" s="129">
        <v>1.6184046350824488E-2</v>
      </c>
    </row>
    <row r="1829" spans="19:27" x14ac:dyDescent="0.2">
      <c r="S1829" s="1"/>
      <c r="T1829" s="109"/>
      <c r="W1829" s="130" t="str">
        <f t="shared" si="38"/>
        <v>1w</v>
      </c>
      <c r="X1829" s="128">
        <f>_xll.qlCalendarAdvance(Calendar,X1828,W1829,"f",FALSE)</f>
        <v>52076</v>
      </c>
      <c r="Y1829" s="131">
        <f>_xll.qlCalendarAdvance(Calendar,X1829,NDays&amp;"D")</f>
        <v>52078</v>
      </c>
      <c r="Z1829" s="132">
        <v>1.6218469862384864E-2</v>
      </c>
      <c r="AA1829" s="129">
        <v>1.6184115174651126E-2</v>
      </c>
    </row>
    <row r="1830" spans="19:27" x14ac:dyDescent="0.2">
      <c r="S1830" s="1"/>
      <c r="T1830" s="109"/>
      <c r="W1830" s="130" t="str">
        <f t="shared" si="38"/>
        <v>1w</v>
      </c>
      <c r="X1830" s="128">
        <f>_xll.qlCalendarAdvance(Calendar,X1829,W1830,"f",FALSE)</f>
        <v>52083</v>
      </c>
      <c r="Y1830" s="131">
        <f>_xll.qlCalendarAdvance(Calendar,X1830,NDays&amp;"D")</f>
        <v>52085</v>
      </c>
      <c r="Z1830" s="132">
        <v>1.6218718637975426E-2</v>
      </c>
      <c r="AA1830" s="129">
        <v>1.6184207856673183E-2</v>
      </c>
    </row>
    <row r="1831" spans="19:27" x14ac:dyDescent="0.2">
      <c r="S1831" s="1"/>
      <c r="T1831" s="109"/>
      <c r="W1831" s="130" t="str">
        <f t="shared" si="38"/>
        <v>1w</v>
      </c>
      <c r="X1831" s="128">
        <f>_xll.qlCalendarAdvance(Calendar,X1830,W1831,"f",FALSE)</f>
        <v>52090</v>
      </c>
      <c r="Y1831" s="131">
        <f>_xll.qlCalendarAdvance(Calendar,X1831,NDays&amp;"D")</f>
        <v>52092</v>
      </c>
      <c r="Z1831" s="132">
        <v>1.6218991369527553E-2</v>
      </c>
      <c r="AA1831" s="129">
        <v>1.6184324396810723E-2</v>
      </c>
    </row>
    <row r="1832" spans="19:27" x14ac:dyDescent="0.2">
      <c r="S1832" s="1"/>
      <c r="T1832" s="109"/>
      <c r="W1832" s="130" t="str">
        <f t="shared" si="38"/>
        <v>1w</v>
      </c>
      <c r="X1832" s="128">
        <f>_xll.qlCalendarAdvance(Calendar,X1831,W1832,"f",FALSE)</f>
        <v>52097</v>
      </c>
      <c r="Y1832" s="131">
        <f>_xll.qlCalendarAdvance(Calendar,X1832,NDays&amp;"D")</f>
        <v>52099</v>
      </c>
      <c r="Z1832" s="132">
        <v>1.6219288057046453E-2</v>
      </c>
      <c r="AA1832" s="129">
        <v>1.6184464795063747E-2</v>
      </c>
    </row>
    <row r="1833" spans="19:27" x14ac:dyDescent="0.2">
      <c r="S1833" s="1"/>
      <c r="T1833" s="109"/>
      <c r="W1833" s="130" t="str">
        <f t="shared" si="38"/>
        <v>1w</v>
      </c>
      <c r="X1833" s="128">
        <f>_xll.qlCalendarAdvance(Calendar,X1832,W1833,"f",FALSE)</f>
        <v>52104</v>
      </c>
      <c r="Y1833" s="131">
        <f>_xll.qlCalendarAdvance(Calendar,X1833,NDays&amp;"D")</f>
        <v>52106</v>
      </c>
      <c r="Z1833" s="132">
        <v>1.6219608700541684E-2</v>
      </c>
      <c r="AA1833" s="129">
        <v>1.6184629051512189E-2</v>
      </c>
    </row>
    <row r="1834" spans="19:27" x14ac:dyDescent="0.2">
      <c r="S1834" s="1"/>
      <c r="T1834" s="109"/>
      <c r="W1834" s="130" t="str">
        <f t="shared" si="38"/>
        <v>1w</v>
      </c>
      <c r="X1834" s="128">
        <f>_xll.qlCalendarAdvance(Calendar,X1833,W1834,"f",FALSE)</f>
        <v>52111</v>
      </c>
      <c r="Y1834" s="131">
        <f>_xll.qlCalendarAdvance(Calendar,X1834,NDays&amp;"D")</f>
        <v>52113</v>
      </c>
      <c r="Z1834" s="132">
        <v>1.6219559275626669E-2</v>
      </c>
      <c r="AA1834" s="129">
        <v>1.6184817166076115E-2</v>
      </c>
    </row>
    <row r="1835" spans="19:27" x14ac:dyDescent="0.2">
      <c r="S1835" s="1"/>
      <c r="T1835" s="109"/>
      <c r="W1835" s="130" t="str">
        <f t="shared" si="38"/>
        <v>1w</v>
      </c>
      <c r="X1835" s="128">
        <f>_xll.qlCalendarAdvance(Calendar,X1834,W1835,"f",FALSE)</f>
        <v>52118</v>
      </c>
      <c r="Y1835" s="131">
        <f>_xll.qlCalendarAdvance(Calendar,X1835,NDays&amp;"D")</f>
        <v>52120</v>
      </c>
      <c r="Z1835" s="132">
        <v>1.6219926103448412E-2</v>
      </c>
      <c r="AA1835" s="129">
        <v>1.6185029138755525E-2</v>
      </c>
    </row>
    <row r="1836" spans="19:27" x14ac:dyDescent="0.2">
      <c r="S1836" s="1"/>
      <c r="T1836" s="109"/>
      <c r="W1836" s="130" t="str">
        <f t="shared" si="38"/>
        <v>1w</v>
      </c>
      <c r="X1836" s="128">
        <f>_xll.qlCalendarAdvance(Calendar,X1835,W1836,"f",FALSE)</f>
        <v>52125</v>
      </c>
      <c r="Y1836" s="131">
        <f>_xll.qlCalendarAdvance(Calendar,X1836,NDays&amp;"D")</f>
        <v>52127</v>
      </c>
      <c r="Z1836" s="132">
        <v>1.6220316886184694E-2</v>
      </c>
      <c r="AA1836" s="129">
        <v>1.6185264969470481E-2</v>
      </c>
    </row>
    <row r="1837" spans="19:27" x14ac:dyDescent="0.2">
      <c r="S1837" s="1"/>
      <c r="T1837" s="109"/>
      <c r="W1837" s="130" t="str">
        <f t="shared" si="38"/>
        <v>1w</v>
      </c>
      <c r="X1837" s="128">
        <f>_xll.qlCalendarAdvance(Calendar,X1836,W1837,"f",FALSE)</f>
        <v>52132</v>
      </c>
      <c r="Y1837" s="131">
        <f>_xll.qlCalendarAdvance(Calendar,X1837,NDays&amp;"D")</f>
        <v>52134</v>
      </c>
      <c r="Z1837" s="132">
        <v>1.6222329528061637E-2</v>
      </c>
      <c r="AA1837" s="129">
        <v>1.6185524658460793E-2</v>
      </c>
    </row>
    <row r="1838" spans="19:27" x14ac:dyDescent="0.2">
      <c r="S1838" s="1"/>
      <c r="T1838" s="109"/>
      <c r="W1838" s="130" t="str">
        <f t="shared" si="38"/>
        <v>1w</v>
      </c>
      <c r="X1838" s="128">
        <f>_xll.qlCalendarAdvance(Calendar,X1837,W1838,"f",FALSE)</f>
        <v>52139</v>
      </c>
      <c r="Y1838" s="131">
        <f>_xll.qlCalendarAdvance(Calendar,X1838,NDays&amp;"D")</f>
        <v>52141</v>
      </c>
      <c r="Z1838" s="132">
        <v>1.6221571257834886E-2</v>
      </c>
      <c r="AA1838" s="129">
        <v>1.6185808205486651E-2</v>
      </c>
    </row>
    <row r="1839" spans="19:27" x14ac:dyDescent="0.2">
      <c r="S1839" s="1"/>
      <c r="T1839" s="109"/>
      <c r="W1839" s="130" t="str">
        <f t="shared" si="38"/>
        <v>1w</v>
      </c>
      <c r="X1839" s="128">
        <f>_xll.qlCalendarAdvance(Calendar,X1838,W1839,"f",FALSE)</f>
        <v>52146</v>
      </c>
      <c r="Y1839" s="131">
        <f>_xll.qlCalendarAdvance(Calendar,X1839,NDays&amp;"D")</f>
        <v>52148</v>
      </c>
      <c r="Z1839" s="132">
        <v>1.6222035637308022E-2</v>
      </c>
      <c r="AA1839" s="129">
        <v>1.618611561070793E-2</v>
      </c>
    </row>
    <row r="1840" spans="19:27" x14ac:dyDescent="0.2">
      <c r="S1840" s="1"/>
      <c r="T1840" s="109"/>
      <c r="W1840" s="130" t="str">
        <f t="shared" si="38"/>
        <v>1w</v>
      </c>
      <c r="X1840" s="128">
        <f>_xll.qlCalendarAdvance(Calendar,X1839,W1840,"f",FALSE)</f>
        <v>52153</v>
      </c>
      <c r="Y1840" s="131">
        <f>_xll.qlCalendarAdvance(Calendar,X1840,NDays&amp;"D")</f>
        <v>52155</v>
      </c>
      <c r="Z1840" s="132">
        <v>1.6222523972805276E-2</v>
      </c>
      <c r="AA1840" s="129">
        <v>1.6186446874044691E-2</v>
      </c>
    </row>
    <row r="1841" spans="19:27" x14ac:dyDescent="0.2">
      <c r="S1841" s="1"/>
      <c r="T1841" s="109"/>
      <c r="W1841" s="130" t="str">
        <f t="shared" si="38"/>
        <v>1w</v>
      </c>
      <c r="X1841" s="128">
        <f>_xll.qlCalendarAdvance(Calendar,X1840,W1841,"f",FALSE)</f>
        <v>52160</v>
      </c>
      <c r="Y1841" s="131">
        <f>_xll.qlCalendarAdvance(Calendar,X1841,NDays&amp;"D")</f>
        <v>52162</v>
      </c>
      <c r="Z1841" s="132">
        <v>1.6223036264335345E-2</v>
      </c>
      <c r="AA1841" s="129">
        <v>1.6186801995576872E-2</v>
      </c>
    </row>
    <row r="1842" spans="19:27" x14ac:dyDescent="0.2">
      <c r="S1842" s="1"/>
      <c r="T1842" s="109"/>
      <c r="W1842" s="130" t="str">
        <f t="shared" si="38"/>
        <v>1w</v>
      </c>
      <c r="X1842" s="128">
        <f>_xll.qlCalendarAdvance(Calendar,X1841,W1842,"f",FALSE)</f>
        <v>52167</v>
      </c>
      <c r="Y1842" s="131">
        <f>_xll.qlCalendarAdvance(Calendar,X1842,NDays&amp;"D")</f>
        <v>52169</v>
      </c>
      <c r="Z1842" s="132">
        <v>1.6223572511906908E-2</v>
      </c>
      <c r="AA1842" s="129">
        <v>1.6187180975224535E-2</v>
      </c>
    </row>
    <row r="1843" spans="19:27" x14ac:dyDescent="0.2">
      <c r="S1843" s="1"/>
      <c r="T1843" s="109"/>
      <c r="W1843" s="130" t="str">
        <f t="shared" si="38"/>
        <v>1w</v>
      </c>
      <c r="X1843" s="128">
        <f>_xll.qlCalendarAdvance(Calendar,X1842,W1843,"f",FALSE)</f>
        <v>52174</v>
      </c>
      <c r="Y1843" s="131">
        <f>_xll.qlCalendarAdvance(Calendar,X1843,NDays&amp;"D")</f>
        <v>52176</v>
      </c>
      <c r="Z1843" s="132">
        <v>1.6224132715530398E-2</v>
      </c>
      <c r="AA1843" s="129">
        <v>1.6187583812987683E-2</v>
      </c>
    </row>
    <row r="1844" spans="19:27" x14ac:dyDescent="0.2">
      <c r="S1844" s="1"/>
      <c r="T1844" s="109"/>
      <c r="W1844" s="130" t="str">
        <f t="shared" si="38"/>
        <v>1w</v>
      </c>
      <c r="X1844" s="128">
        <f>_xll.qlCalendarAdvance(Calendar,X1843,W1844,"f",FALSE)</f>
        <v>52181</v>
      </c>
      <c r="Y1844" s="131">
        <f>_xll.qlCalendarAdvance(Calendar,X1844,NDays&amp;"D")</f>
        <v>52183</v>
      </c>
      <c r="Z1844" s="132">
        <v>1.6224716875215373E-2</v>
      </c>
      <c r="AA1844" s="129">
        <v>1.6188010508786377E-2</v>
      </c>
    </row>
    <row r="1845" spans="19:27" x14ac:dyDescent="0.2">
      <c r="S1845" s="1"/>
      <c r="T1845" s="109"/>
      <c r="W1845" s="130" t="str">
        <f t="shared" si="38"/>
        <v>1w</v>
      </c>
      <c r="X1845" s="128">
        <f>_xll.qlCalendarAdvance(Calendar,X1844,W1845,"f",FALSE)</f>
        <v>52188</v>
      </c>
      <c r="Y1845" s="131">
        <f>_xll.qlCalendarAdvance(Calendar,X1845,NDays&amp;"D")</f>
        <v>52190</v>
      </c>
      <c r="Z1845" s="132">
        <v>1.6225324990974861E-2</v>
      </c>
      <c r="AA1845" s="129">
        <v>1.618846106278049E-2</v>
      </c>
    </row>
    <row r="1846" spans="19:27" x14ac:dyDescent="0.2">
      <c r="S1846" s="1"/>
      <c r="T1846" s="109"/>
      <c r="W1846" s="130" t="str">
        <f t="shared" si="38"/>
        <v>1w</v>
      </c>
      <c r="X1846" s="128">
        <f>_xll.qlCalendarAdvance(Calendar,X1845,W1846,"f",FALSE)</f>
        <v>52195</v>
      </c>
      <c r="Y1846" s="131">
        <f>_xll.qlCalendarAdvance(Calendar,X1846,NDays&amp;"D")</f>
        <v>52197</v>
      </c>
      <c r="Z1846" s="132">
        <v>1.6225957062816682E-2</v>
      </c>
      <c r="AA1846" s="129">
        <v>1.6188935474970023E-2</v>
      </c>
    </row>
    <row r="1847" spans="19:27" x14ac:dyDescent="0.2">
      <c r="S1847" s="1"/>
      <c r="T1847" s="109"/>
      <c r="W1847" s="130" t="str">
        <f t="shared" si="38"/>
        <v>1w</v>
      </c>
      <c r="X1847" s="128">
        <f>_xll.qlCalendarAdvance(Calendar,X1846,W1847,"f",FALSE)</f>
        <v>52202</v>
      </c>
      <c r="Y1847" s="131">
        <f>_xll.qlCalendarAdvance(Calendar,X1847,NDays&amp;"D")</f>
        <v>52204</v>
      </c>
      <c r="Z1847" s="132">
        <v>1.622578013371534E-2</v>
      </c>
      <c r="AA1847" s="129">
        <v>1.6189433745275039E-2</v>
      </c>
    </row>
    <row r="1848" spans="19:27" x14ac:dyDescent="0.2">
      <c r="S1848" s="1"/>
      <c r="T1848" s="109"/>
      <c r="W1848" s="130" t="str">
        <f t="shared" si="38"/>
        <v>1w</v>
      </c>
      <c r="X1848" s="128">
        <f>_xll.qlCalendarAdvance(Calendar,X1847,W1848,"f",FALSE)</f>
        <v>52209</v>
      </c>
      <c r="Y1848" s="131">
        <f>_xll.qlCalendarAdvance(Calendar,X1848,NDays&amp;"D")</f>
        <v>52211</v>
      </c>
      <c r="Z1848" s="132">
        <v>1.6226456634595543E-2</v>
      </c>
      <c r="AA1848" s="129">
        <v>1.6189955873695538E-2</v>
      </c>
    </row>
    <row r="1849" spans="19:27" x14ac:dyDescent="0.2">
      <c r="S1849" s="1"/>
      <c r="T1849" s="109"/>
      <c r="W1849" s="130" t="str">
        <f t="shared" si="38"/>
        <v>1w</v>
      </c>
      <c r="X1849" s="128">
        <f>_xll.qlCalendarAdvance(Calendar,X1848,W1849,"f",FALSE)</f>
        <v>52216</v>
      </c>
      <c r="Y1849" s="131">
        <f>_xll.qlCalendarAdvance(Calendar,X1849,NDays&amp;"D")</f>
        <v>52218</v>
      </c>
      <c r="Z1849" s="132">
        <v>1.6227157089434563E-2</v>
      </c>
      <c r="AA1849" s="129">
        <v>1.6190501860311457E-2</v>
      </c>
    </row>
    <row r="1850" spans="19:27" x14ac:dyDescent="0.2">
      <c r="S1850" s="1"/>
      <c r="T1850" s="109"/>
      <c r="W1850" s="130" t="str">
        <f t="shared" si="38"/>
        <v>1w</v>
      </c>
      <c r="X1850" s="128">
        <f>_xll.qlCalendarAdvance(Calendar,X1849,W1850,"f",FALSE)</f>
        <v>52223</v>
      </c>
      <c r="Y1850" s="131">
        <f>_xll.qlCalendarAdvance(Calendar,X1850,NDays&amp;"D")</f>
        <v>52229</v>
      </c>
      <c r="Z1850" s="132">
        <v>1.6229151607822598E-2</v>
      </c>
      <c r="AA1850" s="129">
        <v>1.6191408042320887E-2</v>
      </c>
    </row>
    <row r="1851" spans="19:27" x14ac:dyDescent="0.2">
      <c r="S1851" s="1"/>
      <c r="T1851" s="109"/>
      <c r="W1851" s="130" t="str">
        <f t="shared" si="38"/>
        <v>1w</v>
      </c>
      <c r="X1851" s="128">
        <f>_xll.qlCalendarAdvance(Calendar,X1850,W1851,"f",FALSE)</f>
        <v>52230</v>
      </c>
      <c r="Y1851" s="131">
        <f>_xll.qlCalendarAdvance(Calendar,X1851,NDays&amp;"D")</f>
        <v>52233</v>
      </c>
      <c r="Z1851" s="132">
        <v>1.6228738725445169E-2</v>
      </c>
      <c r="AA1851" s="129">
        <v>1.6192567858377416E-2</v>
      </c>
    </row>
    <row r="1852" spans="19:27" x14ac:dyDescent="0.2">
      <c r="S1852" s="1"/>
      <c r="T1852" s="109"/>
      <c r="W1852" s="130" t="str">
        <f t="shared" si="38"/>
        <v>1w</v>
      </c>
      <c r="X1852" s="128">
        <f>_xll.qlCalendarAdvance(Calendar,X1851,W1852,"f",FALSE)</f>
        <v>52237</v>
      </c>
      <c r="Y1852" s="131">
        <f>_xll.qlCalendarAdvance(Calendar,X1852,NDays&amp;"D")</f>
        <v>52239</v>
      </c>
      <c r="Z1852" s="132">
        <v>1.6229402177843077E-2</v>
      </c>
      <c r="AA1852" s="129">
        <v>1.6192282968852112E-2</v>
      </c>
    </row>
    <row r="1853" spans="19:27" x14ac:dyDescent="0.2">
      <c r="S1853" s="1"/>
      <c r="T1853" s="109"/>
      <c r="W1853" s="130" t="str">
        <f t="shared" si="38"/>
        <v>1w</v>
      </c>
      <c r="X1853" s="128">
        <f>_xll.qlCalendarAdvance(Calendar,X1852,W1853,"f",FALSE)</f>
        <v>52244</v>
      </c>
      <c r="Y1853" s="131">
        <f>_xll.qlCalendarAdvance(Calendar,X1853,NDays&amp;"D")</f>
        <v>52246</v>
      </c>
      <c r="Z1853" s="132">
        <v>1.6230198448654143E-2</v>
      </c>
      <c r="AA1853" s="129">
        <v>1.6192924388089835E-2</v>
      </c>
    </row>
    <row r="1854" spans="19:27" x14ac:dyDescent="0.2">
      <c r="S1854" s="1"/>
      <c r="T1854" s="109"/>
      <c r="W1854" s="130" t="str">
        <f t="shared" si="38"/>
        <v>1w</v>
      </c>
      <c r="X1854" s="128">
        <f>_xll.qlCalendarAdvance(Calendar,X1853,W1854,"f",FALSE)</f>
        <v>52251</v>
      </c>
      <c r="Y1854" s="131">
        <f>_xll.qlCalendarAdvance(Calendar,X1854,NDays&amp;"D")</f>
        <v>52253</v>
      </c>
      <c r="Z1854" s="132">
        <v>1.6231018673491526E-2</v>
      </c>
      <c r="AA1854" s="129">
        <v>1.619358966528317E-2</v>
      </c>
    </row>
    <row r="1855" spans="19:27" x14ac:dyDescent="0.2">
      <c r="S1855" s="1"/>
      <c r="T1855" s="109"/>
      <c r="W1855" s="130" t="str">
        <f t="shared" si="38"/>
        <v>1w</v>
      </c>
      <c r="X1855" s="128">
        <f>_xll.qlCalendarAdvance(Calendar,X1854,W1855,"f",FALSE)</f>
        <v>52258</v>
      </c>
      <c r="Y1855" s="131">
        <f>_xll.qlCalendarAdvance(Calendar,X1855,NDays&amp;"D")</f>
        <v>52260</v>
      </c>
      <c r="Z1855" s="132">
        <v>1.6231862852370327E-2</v>
      </c>
      <c r="AA1855" s="129">
        <v>1.6194278800671924E-2</v>
      </c>
    </row>
    <row r="1856" spans="19:27" x14ac:dyDescent="0.2">
      <c r="S1856" s="1"/>
      <c r="T1856" s="109"/>
      <c r="W1856" s="130" t="str">
        <f t="shared" si="38"/>
        <v>1w</v>
      </c>
      <c r="X1856" s="128">
        <f>_xll.qlCalendarAdvance(Calendar,X1855,W1856,"f",FALSE)</f>
        <v>52265</v>
      </c>
      <c r="Y1856" s="131">
        <f>_xll.qlCalendarAdvance(Calendar,X1856,NDays&amp;"D")</f>
        <v>52267</v>
      </c>
      <c r="Z1856" s="132">
        <v>1.6232299063529066E-2</v>
      </c>
      <c r="AA1856" s="129">
        <v>1.6194991794256097E-2</v>
      </c>
    </row>
    <row r="1857" spans="19:27" x14ac:dyDescent="0.2">
      <c r="S1857" s="1"/>
      <c r="T1857" s="109"/>
      <c r="W1857" s="130" t="str">
        <f t="shared" si="38"/>
        <v>1w</v>
      </c>
      <c r="X1857" s="128">
        <f>_xll.qlCalendarAdvance(Calendar,X1856,W1857,"f",FALSE)</f>
        <v>52272</v>
      </c>
      <c r="Y1857" s="131">
        <f>_xll.qlCalendarAdvance(Calendar,X1857,NDays&amp;"D")</f>
        <v>52274</v>
      </c>
      <c r="Z1857" s="132">
        <v>1.6233189399465279E-2</v>
      </c>
      <c r="AA1857" s="129">
        <v>1.6195728645875818E-2</v>
      </c>
    </row>
    <row r="1858" spans="19:27" x14ac:dyDescent="0.2">
      <c r="S1858" s="1"/>
      <c r="T1858" s="109"/>
      <c r="W1858" s="130" t="str">
        <f t="shared" si="38"/>
        <v>1w</v>
      </c>
      <c r="X1858" s="128">
        <f>_xll.qlCalendarAdvance(Calendar,X1857,W1858,"f",FALSE)</f>
        <v>52279</v>
      </c>
      <c r="Y1858" s="131">
        <f>_xll.qlCalendarAdvance(Calendar,X1858,NDays&amp;"D")</f>
        <v>52281</v>
      </c>
      <c r="Z1858" s="132">
        <v>1.6234103688408261E-2</v>
      </c>
      <c r="AA1858" s="129">
        <v>1.6196489355770893E-2</v>
      </c>
    </row>
    <row r="1859" spans="19:27" x14ac:dyDescent="0.2">
      <c r="S1859" s="1"/>
      <c r="T1859" s="109"/>
      <c r="W1859" s="130" t="str">
        <f t="shared" si="38"/>
        <v>1w</v>
      </c>
      <c r="X1859" s="128">
        <f>_xll.qlCalendarAdvance(Calendar,X1858,W1859,"f",FALSE)</f>
        <v>52286</v>
      </c>
      <c r="Y1859" s="131">
        <f>_xll.qlCalendarAdvance(Calendar,X1859,NDays&amp;"D")</f>
        <v>52288</v>
      </c>
      <c r="Z1859" s="132">
        <v>1.6235041930375074E-2</v>
      </c>
      <c r="AA1859" s="129">
        <v>1.6197273923701516E-2</v>
      </c>
    </row>
    <row r="1860" spans="19:27" x14ac:dyDescent="0.2">
      <c r="S1860" s="1"/>
      <c r="T1860" s="109"/>
      <c r="W1860" s="130" t="str">
        <f t="shared" si="38"/>
        <v>1w</v>
      </c>
      <c r="X1860" s="128">
        <f>_xll.qlCalendarAdvance(Calendar,X1859,W1860,"f",FALSE)</f>
        <v>52293</v>
      </c>
      <c r="Y1860" s="131">
        <f>_xll.qlCalendarAdvance(Calendar,X1860,NDays&amp;"D")</f>
        <v>52295</v>
      </c>
      <c r="Z1860" s="132">
        <v>1.6237321464686667E-2</v>
      </c>
      <c r="AA1860" s="129">
        <v>1.6198082349827558E-2</v>
      </c>
    </row>
    <row r="1861" spans="19:27" x14ac:dyDescent="0.2">
      <c r="S1861" s="1"/>
      <c r="T1861" s="109"/>
      <c r="W1861" s="130" t="str">
        <f t="shared" si="38"/>
        <v>1w</v>
      </c>
      <c r="X1861" s="128">
        <f>_xll.qlCalendarAdvance(Calendar,X1860,W1861,"f",FALSE)</f>
        <v>52300</v>
      </c>
      <c r="Y1861" s="131">
        <f>_xll.qlCalendarAdvance(Calendar,X1861,NDays&amp;"D")</f>
        <v>52302</v>
      </c>
      <c r="Z1861" s="132">
        <v>1.6238312879418716E-2</v>
      </c>
      <c r="AA1861" s="129">
        <v>1.6198914633989148E-2</v>
      </c>
    </row>
    <row r="1862" spans="19:27" x14ac:dyDescent="0.2">
      <c r="S1862" s="1"/>
      <c r="T1862" s="109"/>
      <c r="W1862" s="130" t="str">
        <f t="shared" si="38"/>
        <v>1w</v>
      </c>
      <c r="X1862" s="128">
        <f>_xll.qlCalendarAdvance(Calendar,X1861,W1862,"f",FALSE)</f>
        <v>52307</v>
      </c>
      <c r="Y1862" s="131">
        <f>_xll.qlCalendarAdvance(Calendar,X1862,NDays&amp;"D")</f>
        <v>52309</v>
      </c>
      <c r="Z1862" s="132">
        <v>1.6239328250473778E-2</v>
      </c>
      <c r="AA1862" s="129">
        <v>1.6199770776426092E-2</v>
      </c>
    </row>
    <row r="1863" spans="19:27" x14ac:dyDescent="0.2">
      <c r="S1863" s="1"/>
      <c r="T1863" s="109"/>
      <c r="W1863" s="130" t="str">
        <f t="shared" si="38"/>
        <v>1w</v>
      </c>
      <c r="X1863" s="128">
        <f>_xll.qlCalendarAdvance(Calendar,X1862,W1863,"f",FALSE)</f>
        <v>52314</v>
      </c>
      <c r="Y1863" s="131">
        <f>_xll.qlCalendarAdvance(Calendar,X1863,NDays&amp;"D")</f>
        <v>52316</v>
      </c>
      <c r="Z1863" s="132">
        <v>1.6240367577868359E-2</v>
      </c>
      <c r="AA1863" s="129">
        <v>1.6202365303515265E-2</v>
      </c>
    </row>
    <row r="1864" spans="19:27" x14ac:dyDescent="0.2">
      <c r="S1864" s="1"/>
      <c r="T1864" s="109"/>
      <c r="W1864" s="130" t="str">
        <f t="shared" si="38"/>
        <v>1w</v>
      </c>
      <c r="X1864" s="128">
        <f>_xll.qlCalendarAdvance(Calendar,X1863,W1864,"f",FALSE)</f>
        <v>52321</v>
      </c>
      <c r="Y1864" s="131">
        <f>_xll.qlCalendarAdvance(Calendar,X1864,NDays&amp;"D")</f>
        <v>52323</v>
      </c>
      <c r="Z1864" s="132">
        <v>1.6240984538623389E-2</v>
      </c>
      <c r="AA1864" s="129">
        <v>1.6201554635486559E-2</v>
      </c>
    </row>
    <row r="1865" spans="19:27" x14ac:dyDescent="0.2">
      <c r="S1865" s="1"/>
      <c r="T1865" s="109"/>
      <c r="W1865" s="130" t="str">
        <f t="shared" si="38"/>
        <v>1w</v>
      </c>
      <c r="X1865" s="128">
        <f>_xll.qlCalendarAdvance(Calendar,X1864,W1865,"f",FALSE)</f>
        <v>52328</v>
      </c>
      <c r="Y1865" s="131">
        <f>_xll.qlCalendarAdvance(Calendar,X1865,NDays&amp;"D")</f>
        <v>52330</v>
      </c>
      <c r="Z1865" s="132">
        <v>1.6242070018710746E-2</v>
      </c>
      <c r="AA1865" s="129">
        <v>1.620248235234989E-2</v>
      </c>
    </row>
    <row r="1866" spans="19:27" x14ac:dyDescent="0.2">
      <c r="S1866" s="1"/>
      <c r="T1866" s="109"/>
      <c r="W1866" s="130" t="str">
        <f t="shared" si="38"/>
        <v>1w</v>
      </c>
      <c r="X1866" s="128">
        <f>_xll.qlCalendarAdvance(Calendar,X1865,W1866,"f",FALSE)</f>
        <v>52335</v>
      </c>
      <c r="Y1866" s="131">
        <f>_xll.qlCalendarAdvance(Calendar,X1866,NDays&amp;"D")</f>
        <v>52337</v>
      </c>
      <c r="Z1866" s="132">
        <v>1.6243179454114947E-2</v>
      </c>
      <c r="AA1866" s="129">
        <v>1.6203433927328703E-2</v>
      </c>
    </row>
    <row r="1867" spans="19:27" x14ac:dyDescent="0.2">
      <c r="S1867" s="1"/>
      <c r="T1867" s="109"/>
      <c r="W1867" s="130" t="str">
        <f t="shared" si="38"/>
        <v>1w</v>
      </c>
      <c r="X1867" s="128">
        <f>_xll.qlCalendarAdvance(Calendar,X1866,W1867,"f",FALSE)</f>
        <v>52342</v>
      </c>
      <c r="Y1867" s="131">
        <f>_xll.qlCalendarAdvance(Calendar,X1867,NDays&amp;"D")</f>
        <v>52344</v>
      </c>
      <c r="Z1867" s="132">
        <v>1.6244312844850936E-2</v>
      </c>
      <c r="AA1867" s="129">
        <v>1.6204409360263128E-2</v>
      </c>
    </row>
    <row r="1868" spans="19:27" x14ac:dyDescent="0.2">
      <c r="S1868" s="1"/>
      <c r="T1868" s="109"/>
      <c r="W1868" s="130" t="str">
        <f t="shared" si="38"/>
        <v>1w</v>
      </c>
      <c r="X1868" s="128">
        <f>_xll.qlCalendarAdvance(Calendar,X1867,W1868,"f",FALSE)</f>
        <v>52349</v>
      </c>
      <c r="Y1868" s="131">
        <f>_xll.qlCalendarAdvance(Calendar,X1868,NDays&amp;"D")</f>
        <v>52351</v>
      </c>
      <c r="Z1868" s="132">
        <v>1.6245923560621361E-2</v>
      </c>
      <c r="AA1868" s="129">
        <v>1.6206720486173776E-2</v>
      </c>
    </row>
    <row r="1869" spans="19:27" x14ac:dyDescent="0.2">
      <c r="S1869" s="1"/>
      <c r="T1869" s="109"/>
      <c r="W1869" s="130" t="str">
        <f t="shared" si="38"/>
        <v>1w</v>
      </c>
      <c r="X1869" s="128">
        <f>_xll.qlCalendarAdvance(Calendar,X1868,W1869,"f",FALSE)</f>
        <v>52356</v>
      </c>
      <c r="Y1869" s="131">
        <f>_xll.qlCalendarAdvance(Calendar,X1869,NDays&amp;"D")</f>
        <v>52358</v>
      </c>
      <c r="Z1869" s="132">
        <v>1.6247106626470994E-2</v>
      </c>
      <c r="AA1869" s="129">
        <v>1.6206431800878107E-2</v>
      </c>
    </row>
    <row r="1870" spans="19:27" x14ac:dyDescent="0.2">
      <c r="S1870" s="1"/>
      <c r="T1870" s="109"/>
      <c r="W1870" s="130" t="str">
        <f t="shared" si="38"/>
        <v>1w</v>
      </c>
      <c r="X1870" s="128">
        <f>_xll.qlCalendarAdvance(Calendar,X1869,W1870,"f",FALSE)</f>
        <v>52363</v>
      </c>
      <c r="Y1870" s="131">
        <f>_xll.qlCalendarAdvance(Calendar,X1870,NDays&amp;"D")</f>
        <v>52365</v>
      </c>
      <c r="Z1870" s="132">
        <v>1.6248313648801773E-2</v>
      </c>
      <c r="AA1870" s="129">
        <v>1.6207478808318854E-2</v>
      </c>
    </row>
    <row r="1871" spans="19:27" x14ac:dyDescent="0.2">
      <c r="S1871" s="1"/>
      <c r="T1871" s="109"/>
      <c r="W1871" s="130" t="str">
        <f t="shared" si="38"/>
        <v>1w</v>
      </c>
      <c r="X1871" s="128">
        <f>_xll.qlCalendarAdvance(Calendar,X1870,W1871,"f",FALSE)</f>
        <v>52370</v>
      </c>
      <c r="Y1871" s="131">
        <f>_xll.qlCalendarAdvance(Calendar,X1871,NDays&amp;"D")</f>
        <v>52372</v>
      </c>
      <c r="Z1871" s="132">
        <v>1.624954462763803E-2</v>
      </c>
      <c r="AA1871" s="129">
        <v>1.6208549673955019E-2</v>
      </c>
    </row>
    <row r="1872" spans="19:27" x14ac:dyDescent="0.2">
      <c r="S1872" s="1"/>
      <c r="T1872" s="109"/>
      <c r="W1872" s="130" t="str">
        <f t="shared" si="38"/>
        <v>1w</v>
      </c>
      <c r="X1872" s="128">
        <f>_xll.qlCalendarAdvance(Calendar,X1871,W1872,"f",FALSE)</f>
        <v>52377</v>
      </c>
      <c r="Y1872" s="131">
        <f>_xll.qlCalendarAdvance(Calendar,X1872,NDays&amp;"D")</f>
        <v>52379</v>
      </c>
      <c r="Z1872" s="132">
        <v>1.6250799563001482E-2</v>
      </c>
      <c r="AA1872" s="129">
        <v>1.6209644397866541E-2</v>
      </c>
    </row>
    <row r="1873" spans="19:27" x14ac:dyDescent="0.2">
      <c r="S1873" s="1"/>
      <c r="T1873" s="109"/>
      <c r="W1873" s="130" t="str">
        <f t="shared" si="38"/>
        <v>1w</v>
      </c>
      <c r="X1873" s="128">
        <f>_xll.qlCalendarAdvance(Calendar,X1872,W1873,"f",FALSE)</f>
        <v>52384</v>
      </c>
      <c r="Y1873" s="131">
        <f>_xll.qlCalendarAdvance(Calendar,X1873,NDays&amp;"D")</f>
        <v>52386</v>
      </c>
      <c r="Z1873" s="132">
        <v>1.6252078454912982E-2</v>
      </c>
      <c r="AA1873" s="129">
        <v>1.6210762979653737E-2</v>
      </c>
    </row>
    <row r="1874" spans="19:27" x14ac:dyDescent="0.2">
      <c r="S1874" s="1"/>
      <c r="T1874" s="109"/>
      <c r="W1874" s="130" t="str">
        <f t="shared" si="38"/>
        <v>1w</v>
      </c>
      <c r="X1874" s="128">
        <f>_xll.qlCalendarAdvance(Calendar,X1873,W1874,"f",FALSE)</f>
        <v>52391</v>
      </c>
      <c r="Y1874" s="131">
        <f>_xll.qlCalendarAdvance(Calendar,X1874,NDays&amp;"D")</f>
        <v>52393</v>
      </c>
      <c r="Z1874" s="132">
        <v>1.6253381303398602E-2</v>
      </c>
      <c r="AA1874" s="129">
        <v>1.6211905419716288E-2</v>
      </c>
    </row>
    <row r="1875" spans="19:27" x14ac:dyDescent="0.2">
      <c r="S1875" s="1"/>
      <c r="T1875" s="109"/>
      <c r="W1875" s="130" t="str">
        <f t="shared" si="38"/>
        <v>1w</v>
      </c>
      <c r="X1875" s="128">
        <f>_xll.qlCalendarAdvance(Calendar,X1874,W1875,"f",FALSE)</f>
        <v>52398</v>
      </c>
      <c r="Y1875" s="131">
        <f>_xll.qlCalendarAdvance(Calendar,X1875,NDays&amp;"D")</f>
        <v>52400</v>
      </c>
      <c r="Z1875" s="132">
        <v>1.6254708108480925E-2</v>
      </c>
      <c r="AA1875" s="129">
        <v>1.6213071717894323E-2</v>
      </c>
    </row>
    <row r="1876" spans="19:27" x14ac:dyDescent="0.2">
      <c r="S1876" s="1"/>
      <c r="T1876" s="109"/>
      <c r="W1876" s="130" t="str">
        <f t="shared" si="38"/>
        <v>1w</v>
      </c>
      <c r="X1876" s="128">
        <f>_xll.qlCalendarAdvance(Calendar,X1875,W1876,"f",FALSE)</f>
        <v>52405</v>
      </c>
      <c r="Y1876" s="131">
        <f>_xll.qlCalendarAdvance(Calendar,X1876,NDays&amp;"D")</f>
        <v>52407</v>
      </c>
      <c r="Z1876" s="132">
        <v>1.6256058870185153E-2</v>
      </c>
      <c r="AA1876" s="129">
        <v>1.6214261874267777E-2</v>
      </c>
    </row>
    <row r="1877" spans="19:27" x14ac:dyDescent="0.2">
      <c r="S1877" s="1"/>
      <c r="T1877" s="109"/>
      <c r="W1877" s="130" t="str">
        <f t="shared" ref="W1877:W1940" si="39">W1876</f>
        <v>1w</v>
      </c>
      <c r="X1877" s="128">
        <f>_xll.qlCalendarAdvance(Calendar,X1876,W1877,"f",FALSE)</f>
        <v>52412</v>
      </c>
      <c r="Y1877" s="131">
        <f>_xll.qlCalendarAdvance(Calendar,X1877,NDays&amp;"D")</f>
        <v>52414</v>
      </c>
      <c r="Z1877" s="132">
        <v>1.6257433588535614E-2</v>
      </c>
      <c r="AA1877" s="129">
        <v>1.6215475888756714E-2</v>
      </c>
    </row>
    <row r="1878" spans="19:27" x14ac:dyDescent="0.2">
      <c r="S1878" s="1"/>
      <c r="T1878" s="109"/>
      <c r="W1878" s="130" t="str">
        <f t="shared" si="39"/>
        <v>1w</v>
      </c>
      <c r="X1878" s="128">
        <f>_xll.qlCalendarAdvance(Calendar,X1877,W1878,"f",FALSE)</f>
        <v>52419</v>
      </c>
      <c r="Y1878" s="131">
        <f>_xll.qlCalendarAdvance(Calendar,X1878,NDays&amp;"D")</f>
        <v>52421</v>
      </c>
      <c r="Z1878" s="132">
        <v>1.6258832263556632E-2</v>
      </c>
      <c r="AA1878" s="129">
        <v>1.6216713761361135E-2</v>
      </c>
    </row>
    <row r="1879" spans="19:27" x14ac:dyDescent="0.2">
      <c r="S1879" s="1"/>
      <c r="T1879" s="109"/>
      <c r="W1879" s="130" t="str">
        <f t="shared" si="39"/>
        <v>1w</v>
      </c>
      <c r="X1879" s="128">
        <f>_xll.qlCalendarAdvance(Calendar,X1878,W1879,"f",FALSE)</f>
        <v>52426</v>
      </c>
      <c r="Y1879" s="131">
        <f>_xll.qlCalendarAdvance(Calendar,X1879,NDays&amp;"D")</f>
        <v>52428</v>
      </c>
      <c r="Z1879" s="132">
        <v>1.626025489527428E-2</v>
      </c>
      <c r="AA1879" s="129">
        <v>1.6217975492001102E-2</v>
      </c>
    </row>
    <row r="1880" spans="19:27" x14ac:dyDescent="0.2">
      <c r="S1880" s="1"/>
      <c r="T1880" s="109"/>
      <c r="W1880" s="130" t="str">
        <f t="shared" si="39"/>
        <v>1w</v>
      </c>
      <c r="X1880" s="128">
        <f>_xll.qlCalendarAdvance(Calendar,X1879,W1880,"f",FALSE)</f>
        <v>52433</v>
      </c>
      <c r="Y1880" s="131">
        <f>_xll.qlCalendarAdvance(Calendar,X1880,NDays&amp;"D")</f>
        <v>52435</v>
      </c>
      <c r="Z1880" s="132">
        <v>1.6261701483715488E-2</v>
      </c>
      <c r="AA1880" s="129">
        <v>1.6219261081076297E-2</v>
      </c>
    </row>
    <row r="1881" spans="19:27" x14ac:dyDescent="0.2">
      <c r="S1881" s="1"/>
      <c r="T1881" s="109"/>
      <c r="W1881" s="130" t="str">
        <f t="shared" si="39"/>
        <v>1w</v>
      </c>
      <c r="X1881" s="128">
        <f>_xll.qlCalendarAdvance(Calendar,X1880,W1881,"f",FALSE)</f>
        <v>52440</v>
      </c>
      <c r="Y1881" s="131">
        <f>_xll.qlCalendarAdvance(Calendar,X1881,NDays&amp;"D")</f>
        <v>52442</v>
      </c>
      <c r="Z1881" s="132">
        <v>1.6263172028904586E-2</v>
      </c>
      <c r="AA1881" s="129">
        <v>1.6220570528027167E-2</v>
      </c>
    </row>
    <row r="1882" spans="19:27" x14ac:dyDescent="0.2">
      <c r="S1882" s="1"/>
      <c r="T1882" s="109"/>
      <c r="W1882" s="130" t="str">
        <f t="shared" si="39"/>
        <v>1w</v>
      </c>
      <c r="X1882" s="128">
        <f>_xll.qlCalendarAdvance(Calendar,X1881,W1882,"f",FALSE)</f>
        <v>52447</v>
      </c>
      <c r="Y1882" s="131">
        <f>_xll.qlCalendarAdvance(Calendar,X1882,NDays&amp;"D")</f>
        <v>52449</v>
      </c>
      <c r="Z1882" s="132">
        <v>1.6264666530870244E-2</v>
      </c>
      <c r="AA1882" s="129">
        <v>1.6221903833253393E-2</v>
      </c>
    </row>
    <row r="1883" spans="19:27" x14ac:dyDescent="0.2">
      <c r="S1883" s="1"/>
      <c r="T1883" s="109"/>
      <c r="W1883" s="130" t="str">
        <f t="shared" si="39"/>
        <v>1w</v>
      </c>
      <c r="X1883" s="128">
        <f>_xll.qlCalendarAdvance(Calendar,X1882,W1883,"f",FALSE)</f>
        <v>52454</v>
      </c>
      <c r="Y1883" s="131">
        <f>_xll.qlCalendarAdvance(Calendar,X1883,NDays&amp;"D")</f>
        <v>52456</v>
      </c>
      <c r="Z1883" s="132">
        <v>1.6266184989641139E-2</v>
      </c>
      <c r="AA1883" s="129">
        <v>1.6223260996595101E-2</v>
      </c>
    </row>
    <row r="1884" spans="19:27" x14ac:dyDescent="0.2">
      <c r="S1884" s="1"/>
      <c r="T1884" s="109"/>
      <c r="W1884" s="130" t="str">
        <f t="shared" si="39"/>
        <v>1w</v>
      </c>
      <c r="X1884" s="128">
        <f>_xll.qlCalendarAdvance(Calendar,X1883,W1884,"f",FALSE)</f>
        <v>52461</v>
      </c>
      <c r="Y1884" s="131">
        <f>_xll.qlCalendarAdvance(Calendar,X1884,NDays&amp;"D")</f>
        <v>52463</v>
      </c>
      <c r="Z1884" s="132">
        <v>1.6267727405239862E-2</v>
      </c>
      <c r="AA1884" s="129">
        <v>1.6224642017972357E-2</v>
      </c>
    </row>
    <row r="1885" spans="19:27" x14ac:dyDescent="0.2">
      <c r="S1885" s="1"/>
      <c r="T1885" s="109"/>
      <c r="W1885" s="130" t="str">
        <f t="shared" si="39"/>
        <v>1w</v>
      </c>
      <c r="X1885" s="128">
        <f>_xll.qlCalendarAdvance(Calendar,X1884,W1885,"f",FALSE)</f>
        <v>52468</v>
      </c>
      <c r="Y1885" s="131">
        <f>_xll.qlCalendarAdvance(Calendar,X1885,NDays&amp;"D")</f>
        <v>52470</v>
      </c>
      <c r="Z1885" s="132">
        <v>1.6269293777700294E-2</v>
      </c>
      <c r="AA1885" s="129">
        <v>1.6226046897704904E-2</v>
      </c>
    </row>
    <row r="1886" spans="19:27" x14ac:dyDescent="0.2">
      <c r="S1886" s="1"/>
      <c r="T1886" s="109"/>
      <c r="W1886" s="130" t="str">
        <f t="shared" si="39"/>
        <v>1w</v>
      </c>
      <c r="X1886" s="128">
        <f>_xll.qlCalendarAdvance(Calendar,X1885,W1886,"f",FALSE)</f>
        <v>52475</v>
      </c>
      <c r="Y1886" s="131">
        <f>_xll.qlCalendarAdvance(Calendar,X1886,NDays&amp;"D")</f>
        <v>52477</v>
      </c>
      <c r="Z1886" s="132">
        <v>1.6270398812389963E-2</v>
      </c>
      <c r="AA1886" s="129">
        <v>1.6227475635472999E-2</v>
      </c>
    </row>
    <row r="1887" spans="19:27" x14ac:dyDescent="0.2">
      <c r="S1887" s="1"/>
      <c r="T1887" s="109"/>
      <c r="W1887" s="130" t="str">
        <f t="shared" si="39"/>
        <v>1w</v>
      </c>
      <c r="X1887" s="128">
        <f>_xll.qlCalendarAdvance(Calendar,X1886,W1887,"f",FALSE)</f>
        <v>52482</v>
      </c>
      <c r="Y1887" s="131">
        <f>_xll.qlCalendarAdvance(Calendar,X1887,NDays&amp;"D")</f>
        <v>52484</v>
      </c>
      <c r="Z1887" s="132">
        <v>1.6272011314710642E-2</v>
      </c>
      <c r="AA1887" s="129">
        <v>1.6228928231356576E-2</v>
      </c>
    </row>
    <row r="1888" spans="19:27" x14ac:dyDescent="0.2">
      <c r="S1888" s="1"/>
      <c r="T1888" s="109"/>
      <c r="W1888" s="130" t="str">
        <f t="shared" si="39"/>
        <v>1w</v>
      </c>
      <c r="X1888" s="128">
        <f>_xll.qlCalendarAdvance(Calendar,X1887,W1888,"f",FALSE)</f>
        <v>52489</v>
      </c>
      <c r="Y1888" s="131">
        <f>_xll.qlCalendarAdvance(Calendar,X1888,NDays&amp;"D")</f>
        <v>52491</v>
      </c>
      <c r="Z1888" s="132">
        <v>1.6273647772888401E-2</v>
      </c>
      <c r="AA1888" s="129">
        <v>1.6230404685355637E-2</v>
      </c>
    </row>
    <row r="1889" spans="19:27" x14ac:dyDescent="0.2">
      <c r="S1889" s="1"/>
      <c r="T1889" s="109"/>
      <c r="W1889" s="130" t="str">
        <f t="shared" si="39"/>
        <v>1w</v>
      </c>
      <c r="X1889" s="128">
        <f>_xll.qlCalendarAdvance(Calendar,X1888,W1889,"f",FALSE)</f>
        <v>52496</v>
      </c>
      <c r="Y1889" s="131">
        <f>_xll.qlCalendarAdvance(Calendar,X1889,NDays&amp;"D")</f>
        <v>52498</v>
      </c>
      <c r="Z1889" s="132">
        <v>1.6275308186952227E-2</v>
      </c>
      <c r="AA1889" s="129">
        <v>1.6231904997630053E-2</v>
      </c>
    </row>
    <row r="1890" spans="19:27" x14ac:dyDescent="0.2">
      <c r="S1890" s="1"/>
      <c r="T1890" s="109"/>
      <c r="W1890" s="130" t="str">
        <f t="shared" si="39"/>
        <v>1w</v>
      </c>
      <c r="X1890" s="128">
        <f>_xll.qlCalendarAdvance(Calendar,X1889,W1890,"f",FALSE)</f>
        <v>52503</v>
      </c>
      <c r="Y1890" s="131">
        <f>_xll.qlCalendarAdvance(Calendar,X1890,NDays&amp;"D")</f>
        <v>52505</v>
      </c>
      <c r="Z1890" s="132">
        <v>1.6278963416830175E-2</v>
      </c>
      <c r="AA1890" s="129">
        <v>1.6233429167940017E-2</v>
      </c>
    </row>
    <row r="1891" spans="19:27" x14ac:dyDescent="0.2">
      <c r="S1891" s="1"/>
      <c r="T1891" s="109"/>
      <c r="W1891" s="130" t="str">
        <f t="shared" si="39"/>
        <v>1w</v>
      </c>
      <c r="X1891" s="128">
        <f>_xll.qlCalendarAdvance(Calendar,X1890,W1891,"f",FALSE)</f>
        <v>52510</v>
      </c>
      <c r="Y1891" s="131">
        <f>_xll.qlCalendarAdvance(Calendar,X1891,NDays&amp;"D")</f>
        <v>52512</v>
      </c>
      <c r="Z1891" s="132">
        <v>1.6279195108145399E-2</v>
      </c>
      <c r="AA1891" s="129">
        <v>1.6234977196445399E-2</v>
      </c>
    </row>
    <row r="1892" spans="19:27" x14ac:dyDescent="0.2">
      <c r="S1892" s="1"/>
      <c r="T1892" s="109"/>
      <c r="W1892" s="130" t="str">
        <f t="shared" si="39"/>
        <v>1w</v>
      </c>
      <c r="X1892" s="128">
        <f>_xll.qlCalendarAdvance(Calendar,X1891,W1892,"f",FALSE)</f>
        <v>52517</v>
      </c>
      <c r="Y1892" s="131">
        <f>_xll.qlCalendarAdvance(Calendar,X1892,NDays&amp;"D")</f>
        <v>52519</v>
      </c>
      <c r="Z1892" s="132">
        <v>1.6280929179447602E-2</v>
      </c>
      <c r="AA1892" s="129">
        <v>1.6236549083066265E-2</v>
      </c>
    </row>
    <row r="1893" spans="19:27" x14ac:dyDescent="0.2">
      <c r="S1893" s="1"/>
      <c r="T1893" s="109"/>
      <c r="W1893" s="130" t="str">
        <f t="shared" si="39"/>
        <v>1w</v>
      </c>
      <c r="X1893" s="128">
        <f>_xll.qlCalendarAdvance(Calendar,X1892,W1893,"f",FALSE)</f>
        <v>52524</v>
      </c>
      <c r="Y1893" s="131">
        <f>_xll.qlCalendarAdvance(Calendar,X1893,NDays&amp;"D")</f>
        <v>52526</v>
      </c>
      <c r="Z1893" s="132">
        <v>1.6282687207852194E-2</v>
      </c>
      <c r="AA1893" s="129">
        <v>1.623814482788255E-2</v>
      </c>
    </row>
    <row r="1894" spans="19:27" x14ac:dyDescent="0.2">
      <c r="S1894" s="1"/>
      <c r="T1894" s="109"/>
      <c r="W1894" s="130" t="str">
        <f t="shared" si="39"/>
        <v>1w</v>
      </c>
      <c r="X1894" s="128">
        <f>_xll.qlCalendarAdvance(Calendar,X1893,W1894,"f",FALSE)</f>
        <v>52531</v>
      </c>
      <c r="Y1894" s="131">
        <f>_xll.qlCalendarAdvance(Calendar,X1894,NDays&amp;"D")</f>
        <v>52533</v>
      </c>
      <c r="Z1894" s="132">
        <v>1.6284469193388718E-2</v>
      </c>
      <c r="AA1894" s="129">
        <v>1.6239764430814319E-2</v>
      </c>
    </row>
    <row r="1895" spans="19:27" x14ac:dyDescent="0.2">
      <c r="S1895" s="1"/>
      <c r="T1895" s="109"/>
      <c r="W1895" s="130" t="str">
        <f t="shared" si="39"/>
        <v>1w</v>
      </c>
      <c r="X1895" s="128">
        <f>_xll.qlCalendarAdvance(Calendar,X1894,W1895,"f",FALSE)</f>
        <v>52538</v>
      </c>
      <c r="Y1895" s="131">
        <f>_xll.qlCalendarAdvance(Calendar,X1895,NDays&amp;"D")</f>
        <v>52540</v>
      </c>
      <c r="Z1895" s="132">
        <v>1.6286275136091054E-2</v>
      </c>
      <c r="AA1895" s="129">
        <v>1.6241407891781634E-2</v>
      </c>
    </row>
    <row r="1896" spans="19:27" x14ac:dyDescent="0.2">
      <c r="S1896" s="1"/>
      <c r="T1896" s="109"/>
      <c r="W1896" s="130" t="str">
        <f t="shared" si="39"/>
        <v>1w</v>
      </c>
      <c r="X1896" s="128">
        <f>_xll.qlCalendarAdvance(Calendar,X1895,W1896,"f",FALSE)</f>
        <v>52545</v>
      </c>
      <c r="Y1896" s="131">
        <f>_xll.qlCalendarAdvance(Calendar,X1896,NDays&amp;"D")</f>
        <v>52547</v>
      </c>
      <c r="Z1896" s="132">
        <v>1.6288105035991356E-2</v>
      </c>
      <c r="AA1896" s="129">
        <v>1.6243075211024305E-2</v>
      </c>
    </row>
    <row r="1897" spans="19:27" x14ac:dyDescent="0.2">
      <c r="S1897" s="1"/>
      <c r="T1897" s="109"/>
      <c r="W1897" s="130" t="str">
        <f t="shared" si="39"/>
        <v>1w</v>
      </c>
      <c r="X1897" s="128">
        <f>_xll.qlCalendarAdvance(Calendar,X1896,W1897,"f",FALSE)</f>
        <v>52552</v>
      </c>
      <c r="Y1897" s="131">
        <f>_xll.qlCalendarAdvance(Calendar,X1897,NDays&amp;"D")</f>
        <v>52554</v>
      </c>
      <c r="Z1897" s="132">
        <v>1.6289958893125251E-2</v>
      </c>
      <c r="AA1897" s="129">
        <v>1.6244766388462395E-2</v>
      </c>
    </row>
    <row r="1898" spans="19:27" x14ac:dyDescent="0.2">
      <c r="S1898" s="1"/>
      <c r="T1898" s="109"/>
      <c r="W1898" s="130" t="str">
        <f t="shared" si="39"/>
        <v>1w</v>
      </c>
      <c r="X1898" s="128">
        <f>_xll.qlCalendarAdvance(Calendar,X1897,W1898,"f",FALSE)</f>
        <v>52559</v>
      </c>
      <c r="Y1898" s="131">
        <f>_xll.qlCalendarAdvance(Calendar,X1898,NDays&amp;"D")</f>
        <v>52561</v>
      </c>
      <c r="Z1898" s="132">
        <v>1.6291836707524876E-2</v>
      </c>
      <c r="AA1898" s="129">
        <v>1.6246481423936032E-2</v>
      </c>
    </row>
    <row r="1899" spans="19:27" x14ac:dyDescent="0.2">
      <c r="S1899" s="1"/>
      <c r="T1899" s="109"/>
      <c r="W1899" s="130" t="str">
        <f t="shared" si="39"/>
        <v>1w</v>
      </c>
      <c r="X1899" s="128">
        <f>_xll.qlCalendarAdvance(Calendar,X1898,W1899,"f",FALSE)</f>
        <v>52566</v>
      </c>
      <c r="Y1899" s="131">
        <f>_xll.qlCalendarAdvance(Calendar,X1899,NDays&amp;"D")</f>
        <v>52568</v>
      </c>
      <c r="Z1899" s="132">
        <v>1.6293229908154683E-2</v>
      </c>
      <c r="AA1899" s="129">
        <v>1.6248220317605089E-2</v>
      </c>
    </row>
    <row r="1900" spans="19:27" x14ac:dyDescent="0.2">
      <c r="S1900" s="1"/>
      <c r="T1900" s="109"/>
      <c r="W1900" s="130" t="str">
        <f t="shared" si="39"/>
        <v>1w</v>
      </c>
      <c r="X1900" s="128">
        <f>_xll.qlCalendarAdvance(Calendar,X1899,W1900,"f",FALSE)</f>
        <v>52573</v>
      </c>
      <c r="Y1900" s="131">
        <f>_xll.qlCalendarAdvance(Calendar,X1900,NDays&amp;"D")</f>
        <v>52575</v>
      </c>
      <c r="Z1900" s="132">
        <v>1.6295153839046207E-2</v>
      </c>
      <c r="AA1900" s="129">
        <v>1.6249983069469565E-2</v>
      </c>
    </row>
    <row r="1901" spans="19:27" x14ac:dyDescent="0.2">
      <c r="S1901" s="1"/>
      <c r="T1901" s="109"/>
      <c r="W1901" s="130" t="str">
        <f t="shared" si="39"/>
        <v>1w</v>
      </c>
      <c r="X1901" s="128">
        <f>_xll.qlCalendarAdvance(Calendar,X1900,W1901,"f",FALSE)</f>
        <v>52580</v>
      </c>
      <c r="Y1901" s="131">
        <f>_xll.qlCalendarAdvance(Calendar,X1901,NDays&amp;"D")</f>
        <v>52582</v>
      </c>
      <c r="Z1901" s="132">
        <v>1.6297101726212057E-2</v>
      </c>
      <c r="AA1901" s="129">
        <v>1.6251769679449524E-2</v>
      </c>
    </row>
    <row r="1902" spans="19:27" x14ac:dyDescent="0.2">
      <c r="S1902" s="1"/>
      <c r="T1902" s="109"/>
      <c r="W1902" s="130" t="str">
        <f t="shared" si="39"/>
        <v>1w</v>
      </c>
      <c r="X1902" s="128">
        <f>_xll.qlCalendarAdvance(Calendar,X1901,W1902,"f",FALSE)</f>
        <v>52587</v>
      </c>
      <c r="Y1902" s="131">
        <f>_xll.qlCalendarAdvance(Calendar,X1902,NDays&amp;"D")</f>
        <v>52589</v>
      </c>
      <c r="Z1902" s="132">
        <v>1.6299073569688252E-2</v>
      </c>
      <c r="AA1902" s="129">
        <v>1.6255072344690813E-2</v>
      </c>
    </row>
    <row r="1903" spans="19:27" x14ac:dyDescent="0.2">
      <c r="S1903" s="1"/>
      <c r="T1903" s="109"/>
      <c r="W1903" s="130" t="str">
        <f t="shared" si="39"/>
        <v>1w</v>
      </c>
      <c r="X1903" s="128">
        <f>_xll.qlCalendarAdvance(Calendar,X1902,W1903,"f",FALSE)</f>
        <v>52594</v>
      </c>
      <c r="Y1903" s="131">
        <f>_xll.qlCalendarAdvance(Calendar,X1903,NDays&amp;"D")</f>
        <v>52596</v>
      </c>
      <c r="Z1903" s="132">
        <v>1.6301069369509924E-2</v>
      </c>
      <c r="AA1903" s="129">
        <v>1.625691203259283E-2</v>
      </c>
    </row>
    <row r="1904" spans="19:27" x14ac:dyDescent="0.2">
      <c r="S1904" s="1"/>
      <c r="T1904" s="109"/>
      <c r="W1904" s="130" t="str">
        <f t="shared" si="39"/>
        <v>1w</v>
      </c>
      <c r="X1904" s="128">
        <f>_xll.qlCalendarAdvance(Calendar,X1903,W1904,"f",FALSE)</f>
        <v>52601</v>
      </c>
      <c r="Y1904" s="131">
        <f>_xll.qlCalendarAdvance(Calendar,X1904,NDays&amp;"D")</f>
        <v>52603</v>
      </c>
      <c r="Z1904" s="132">
        <v>1.6303089125715726E-2</v>
      </c>
      <c r="AA1904" s="129">
        <v>1.6257272658242172E-2</v>
      </c>
    </row>
    <row r="1905" spans="19:27" x14ac:dyDescent="0.2">
      <c r="S1905" s="1"/>
      <c r="T1905" s="109"/>
      <c r="W1905" s="130" t="str">
        <f t="shared" si="39"/>
        <v>1w</v>
      </c>
      <c r="X1905" s="128">
        <f>_xll.qlCalendarAdvance(Calendar,X1904,W1905,"f",FALSE)</f>
        <v>52608</v>
      </c>
      <c r="Y1905" s="131">
        <f>_xll.qlCalendarAdvance(Calendar,X1905,NDays&amp;"D")</f>
        <v>52610</v>
      </c>
      <c r="Z1905" s="132">
        <v>1.6305132838339911E-2</v>
      </c>
      <c r="AA1905" s="129">
        <v>1.6259154700764E-2</v>
      </c>
    </row>
    <row r="1906" spans="19:27" x14ac:dyDescent="0.2">
      <c r="S1906" s="1"/>
      <c r="T1906" s="109"/>
      <c r="W1906" s="130" t="str">
        <f t="shared" si="39"/>
        <v>1w</v>
      </c>
      <c r="X1906" s="128">
        <f>_xll.qlCalendarAdvance(Calendar,X1905,W1906,"f",FALSE)</f>
        <v>52615</v>
      </c>
      <c r="Y1906" s="131">
        <f>_xll.qlCalendarAdvance(Calendar,X1906,NDays&amp;"D")</f>
        <v>52617</v>
      </c>
      <c r="Z1906" s="132">
        <v>1.6307200507419382E-2</v>
      </c>
      <c r="AA1906" s="129">
        <v>1.6261060601481248E-2</v>
      </c>
    </row>
    <row r="1907" spans="19:27" x14ac:dyDescent="0.2">
      <c r="S1907" s="1"/>
      <c r="T1907" s="109"/>
      <c r="W1907" s="130" t="str">
        <f t="shared" si="39"/>
        <v>1w</v>
      </c>
      <c r="X1907" s="128">
        <f>_xll.qlCalendarAdvance(Calendar,X1906,W1907,"f",FALSE)</f>
        <v>52622</v>
      </c>
      <c r="Y1907" s="131">
        <f>_xll.qlCalendarAdvance(Calendar,X1907,NDays&amp;"D")</f>
        <v>52624</v>
      </c>
      <c r="Z1907" s="132">
        <v>1.6309292132993661E-2</v>
      </c>
      <c r="AA1907" s="129">
        <v>1.6262990360393914E-2</v>
      </c>
    </row>
    <row r="1908" spans="19:27" x14ac:dyDescent="0.2">
      <c r="S1908" s="1"/>
      <c r="T1908" s="109"/>
      <c r="W1908" s="130" t="str">
        <f t="shared" si="39"/>
        <v>1w</v>
      </c>
      <c r="X1908" s="128">
        <f>_xll.qlCalendarAdvance(Calendar,X1907,W1908,"f",FALSE)</f>
        <v>52629</v>
      </c>
      <c r="Y1908" s="131">
        <f>_xll.qlCalendarAdvance(Calendar,X1908,NDays&amp;"D")</f>
        <v>52631</v>
      </c>
      <c r="Z1908" s="132">
        <v>1.6310883109441399E-2</v>
      </c>
      <c r="AA1908" s="129">
        <v>1.6264943977422064E-2</v>
      </c>
    </row>
    <row r="1909" spans="19:27" x14ac:dyDescent="0.2">
      <c r="S1909" s="1"/>
      <c r="T1909" s="109"/>
      <c r="W1909" s="130" t="str">
        <f t="shared" si="39"/>
        <v>1w</v>
      </c>
      <c r="X1909" s="128">
        <f>_xll.qlCalendarAdvance(Calendar,X1908,W1909,"f",FALSE)</f>
        <v>52636</v>
      </c>
      <c r="Y1909" s="131">
        <f>_xll.qlCalendarAdvance(Calendar,X1909,NDays&amp;"D")</f>
        <v>52638</v>
      </c>
      <c r="Z1909" s="132">
        <v>1.631302084025954E-2</v>
      </c>
      <c r="AA1909" s="129">
        <v>1.6266921452485761E-2</v>
      </c>
    </row>
    <row r="1910" spans="19:27" x14ac:dyDescent="0.2">
      <c r="S1910" s="1"/>
      <c r="T1910" s="109"/>
      <c r="W1910" s="130" t="str">
        <f t="shared" si="39"/>
        <v>1w</v>
      </c>
      <c r="X1910" s="128">
        <f>_xll.qlCalendarAdvance(Calendar,X1909,W1910,"f",FALSE)</f>
        <v>52643</v>
      </c>
      <c r="Y1910" s="131">
        <f>_xll.qlCalendarAdvance(Calendar,X1910,NDays&amp;"D")</f>
        <v>52645</v>
      </c>
      <c r="Z1910" s="132">
        <v>1.6315182526588146E-2</v>
      </c>
      <c r="AA1910" s="129">
        <v>1.6268922785744877E-2</v>
      </c>
    </row>
    <row r="1911" spans="19:27" x14ac:dyDescent="0.2">
      <c r="S1911" s="1"/>
      <c r="T1911" s="109"/>
      <c r="W1911" s="130" t="str">
        <f t="shared" si="39"/>
        <v>1w</v>
      </c>
      <c r="X1911" s="128">
        <f>_xll.qlCalendarAdvance(Calendar,X1910,W1911,"f",FALSE)</f>
        <v>52650</v>
      </c>
      <c r="Y1911" s="131">
        <f>_xll.qlCalendarAdvance(Calendar,X1911,NDays&amp;"D")</f>
        <v>52652</v>
      </c>
      <c r="Z1911" s="132">
        <v>1.6317368168463631E-2</v>
      </c>
      <c r="AA1911" s="129">
        <v>1.6270947977279349E-2</v>
      </c>
    </row>
    <row r="1912" spans="19:27" x14ac:dyDescent="0.2">
      <c r="S1912" s="1"/>
      <c r="T1912" s="109"/>
      <c r="W1912" s="130" t="str">
        <f t="shared" si="39"/>
        <v>1w</v>
      </c>
      <c r="X1912" s="128">
        <f>_xll.qlCalendarAdvance(Calendar,X1911,W1912,"f",FALSE)</f>
        <v>52657</v>
      </c>
      <c r="Y1912" s="131">
        <f>_xll.qlCalendarAdvance(Calendar,X1912,NDays&amp;"D")</f>
        <v>52659</v>
      </c>
      <c r="Z1912" s="132">
        <v>1.6320641642085944E-2</v>
      </c>
      <c r="AA1912" s="129">
        <v>1.6272997026929303E-2</v>
      </c>
    </row>
    <row r="1913" spans="19:27" x14ac:dyDescent="0.2">
      <c r="S1913" s="1"/>
      <c r="T1913" s="109"/>
      <c r="W1913" s="130" t="str">
        <f t="shared" si="39"/>
        <v>1w</v>
      </c>
      <c r="X1913" s="128">
        <f>_xll.qlCalendarAdvance(Calendar,X1912,W1913,"f",FALSE)</f>
        <v>52664</v>
      </c>
      <c r="Y1913" s="131">
        <f>_xll.qlCalendarAdvance(Calendar,X1913,NDays&amp;"D")</f>
        <v>52666</v>
      </c>
      <c r="Z1913" s="132">
        <v>1.6322878819843772E-2</v>
      </c>
      <c r="AA1913" s="129">
        <v>1.6275069934774677E-2</v>
      </c>
    </row>
    <row r="1914" spans="19:27" x14ac:dyDescent="0.2">
      <c r="S1914" s="1"/>
      <c r="T1914" s="109"/>
      <c r="W1914" s="130" t="str">
        <f t="shared" si="39"/>
        <v>1w</v>
      </c>
      <c r="X1914" s="128">
        <f>_xll.qlCalendarAdvance(Calendar,X1913,W1914,"f",FALSE)</f>
        <v>52671</v>
      </c>
      <c r="Y1914" s="131">
        <f>_xll.qlCalendarAdvance(Calendar,X1914,NDays&amp;"D")</f>
        <v>52673</v>
      </c>
      <c r="Z1914" s="132">
        <v>1.6325139955468599E-2</v>
      </c>
      <c r="AA1914" s="129">
        <v>1.6277166700655599E-2</v>
      </c>
    </row>
    <row r="1915" spans="19:27" x14ac:dyDescent="0.2">
      <c r="S1915" s="1"/>
      <c r="T1915" s="109"/>
      <c r="W1915" s="130" t="str">
        <f t="shared" si="39"/>
        <v>1w</v>
      </c>
      <c r="X1915" s="128">
        <f>_xll.qlCalendarAdvance(Calendar,X1914,W1915,"f",FALSE)</f>
        <v>52678</v>
      </c>
      <c r="Y1915" s="131">
        <f>_xll.qlCalendarAdvance(Calendar,X1915,NDays&amp;"D")</f>
        <v>52680</v>
      </c>
      <c r="Z1915" s="132">
        <v>1.632742504900386E-2</v>
      </c>
      <c r="AA1915" s="129">
        <v>1.6279287324731939E-2</v>
      </c>
    </row>
    <row r="1916" spans="19:27" x14ac:dyDescent="0.2">
      <c r="S1916" s="1"/>
      <c r="T1916" s="109"/>
      <c r="W1916" s="130" t="str">
        <f t="shared" si="39"/>
        <v>1w</v>
      </c>
      <c r="X1916" s="128">
        <f>_xll.qlCalendarAdvance(Calendar,X1915,W1916,"f",FALSE)</f>
        <v>52685</v>
      </c>
      <c r="Y1916" s="131">
        <f>_xll.qlCalendarAdvance(Calendar,X1916,NDays&amp;"D")</f>
        <v>52687</v>
      </c>
      <c r="Z1916" s="132">
        <v>1.6329194811734785E-2</v>
      </c>
      <c r="AA1916" s="129">
        <v>1.6281431807003699E-2</v>
      </c>
    </row>
    <row r="1917" spans="19:27" x14ac:dyDescent="0.2">
      <c r="S1917" s="1"/>
      <c r="T1917" s="109"/>
      <c r="W1917" s="130" t="str">
        <f t="shared" si="39"/>
        <v>1w</v>
      </c>
      <c r="X1917" s="128">
        <f>_xll.qlCalendarAdvance(Calendar,X1916,W1917,"f",FALSE)</f>
        <v>52692</v>
      </c>
      <c r="Y1917" s="131">
        <f>_xll.qlCalendarAdvance(Calendar,X1917,NDays&amp;"D")</f>
        <v>52694</v>
      </c>
      <c r="Z1917" s="132">
        <v>1.6331526004393478E-2</v>
      </c>
      <c r="AA1917" s="129">
        <v>1.6283600147390942E-2</v>
      </c>
    </row>
    <row r="1918" spans="19:27" x14ac:dyDescent="0.2">
      <c r="S1918" s="1"/>
      <c r="T1918" s="109"/>
      <c r="W1918" s="130" t="str">
        <f t="shared" si="39"/>
        <v>1w</v>
      </c>
      <c r="X1918" s="128">
        <f>_xll.qlCalendarAdvance(Calendar,X1917,W1918,"f",FALSE)</f>
        <v>52699</v>
      </c>
      <c r="Y1918" s="131">
        <f>_xll.qlCalendarAdvance(Calendar,X1918,NDays&amp;"D")</f>
        <v>52701</v>
      </c>
      <c r="Z1918" s="132">
        <v>1.6333881153985309E-2</v>
      </c>
      <c r="AA1918" s="129">
        <v>1.6287897221815228E-2</v>
      </c>
    </row>
    <row r="1919" spans="19:27" x14ac:dyDescent="0.2">
      <c r="S1919" s="1"/>
      <c r="T1919" s="109"/>
      <c r="W1919" s="130" t="str">
        <f t="shared" si="39"/>
        <v>1w</v>
      </c>
      <c r="X1919" s="128">
        <f>_xll.qlCalendarAdvance(Calendar,X1918,W1919,"f",FALSE)</f>
        <v>52706</v>
      </c>
      <c r="Y1919" s="131">
        <f>_xll.qlCalendarAdvance(Calendar,X1919,NDays&amp;"D")</f>
        <v>52708</v>
      </c>
      <c r="Z1919" s="132">
        <v>1.6336260260553324E-2</v>
      </c>
      <c r="AA1919" s="129">
        <v>1.6288008402591814E-2</v>
      </c>
    </row>
    <row r="1920" spans="19:27" x14ac:dyDescent="0.2">
      <c r="S1920" s="1"/>
      <c r="T1920" s="109"/>
      <c r="W1920" s="130" t="str">
        <f t="shared" si="39"/>
        <v>1w</v>
      </c>
      <c r="X1920" s="128">
        <f>_xll.qlCalendarAdvance(Calendar,X1919,W1920,"f",FALSE)</f>
        <v>52713</v>
      </c>
      <c r="Y1920" s="131">
        <f>_xll.qlCalendarAdvance(Calendar,X1920,NDays&amp;"D")</f>
        <v>52715</v>
      </c>
      <c r="Z1920" s="132">
        <v>1.6338663324139684E-2</v>
      </c>
      <c r="AA1920" s="129">
        <v>1.6290248317485378E-2</v>
      </c>
    </row>
    <row r="1921" spans="19:27" x14ac:dyDescent="0.2">
      <c r="S1921" s="1"/>
      <c r="T1921" s="109"/>
      <c r="W1921" s="130" t="str">
        <f t="shared" si="39"/>
        <v>1w</v>
      </c>
      <c r="X1921" s="128">
        <f>_xll.qlCalendarAdvance(Calendar,X1920,W1921,"f",FALSE)</f>
        <v>52720</v>
      </c>
      <c r="Y1921" s="131">
        <f>_xll.qlCalendarAdvance(Calendar,X1921,NDays&amp;"D")</f>
        <v>52722</v>
      </c>
      <c r="Z1921" s="132">
        <v>1.6341638728687533E-2</v>
      </c>
      <c r="AA1921" s="129">
        <v>1.6292512090574363E-2</v>
      </c>
    </row>
    <row r="1922" spans="19:27" x14ac:dyDescent="0.2">
      <c r="S1922" s="1"/>
      <c r="T1922" s="109"/>
      <c r="W1922" s="130" t="str">
        <f t="shared" si="39"/>
        <v>1w</v>
      </c>
      <c r="X1922" s="128">
        <f>_xll.qlCalendarAdvance(Calendar,X1921,W1922,"f",FALSE)</f>
        <v>52727</v>
      </c>
      <c r="Y1922" s="131">
        <f>_xll.qlCalendarAdvance(Calendar,X1922,NDays&amp;"D")</f>
        <v>52729</v>
      </c>
      <c r="Z1922" s="132">
        <v>1.6344091528783609E-2</v>
      </c>
      <c r="AA1922" s="129">
        <v>1.629479972177883E-2</v>
      </c>
    </row>
    <row r="1923" spans="19:27" x14ac:dyDescent="0.2">
      <c r="S1923" s="1"/>
      <c r="T1923" s="109"/>
      <c r="W1923" s="130" t="str">
        <f t="shared" si="39"/>
        <v>1w</v>
      </c>
      <c r="X1923" s="128">
        <f>_xll.qlCalendarAdvance(Calendar,X1922,W1923,"f",FALSE)</f>
        <v>52734</v>
      </c>
      <c r="Y1923" s="131">
        <f>_xll.qlCalendarAdvance(Calendar,X1923,NDays&amp;"D")</f>
        <v>52736</v>
      </c>
      <c r="Z1923" s="132">
        <v>1.6346568287136799E-2</v>
      </c>
      <c r="AA1923" s="129">
        <v>1.629711121109878E-2</v>
      </c>
    </row>
    <row r="1924" spans="19:27" x14ac:dyDescent="0.2">
      <c r="S1924" s="1"/>
      <c r="T1924" s="109"/>
      <c r="W1924" s="130" t="str">
        <f t="shared" si="39"/>
        <v>1w</v>
      </c>
      <c r="X1924" s="128">
        <f>_xll.qlCalendarAdvance(Calendar,X1923,W1924,"f",FALSE)</f>
        <v>52741</v>
      </c>
      <c r="Y1924" s="131">
        <f>_xll.qlCalendarAdvance(Calendar,X1924,NDays&amp;"D")</f>
        <v>52743</v>
      </c>
      <c r="Z1924" s="132">
        <v>1.634906900379229E-2</v>
      </c>
      <c r="AA1924" s="129">
        <v>1.629944655861415E-2</v>
      </c>
    </row>
    <row r="1925" spans="19:27" x14ac:dyDescent="0.2">
      <c r="S1925" s="1"/>
      <c r="T1925" s="109"/>
      <c r="W1925" s="130" t="str">
        <f t="shared" si="39"/>
        <v>1w</v>
      </c>
      <c r="X1925" s="128">
        <f>_xll.qlCalendarAdvance(Calendar,X1924,W1925,"f",FALSE)</f>
        <v>52748</v>
      </c>
      <c r="Y1925" s="131">
        <f>_xll.qlCalendarAdvance(Calendar,X1925,NDays&amp;"D")</f>
        <v>52750</v>
      </c>
      <c r="Z1925" s="132">
        <v>1.635159367879439E-2</v>
      </c>
      <c r="AA1925" s="129">
        <v>1.6301805764245003E-2</v>
      </c>
    </row>
    <row r="1926" spans="19:27" x14ac:dyDescent="0.2">
      <c r="S1926" s="1"/>
      <c r="T1926" s="109"/>
      <c r="W1926" s="130" t="str">
        <f t="shared" si="39"/>
        <v>1w</v>
      </c>
      <c r="X1926" s="128">
        <f>_xll.qlCalendarAdvance(Calendar,X1925,W1926,"f",FALSE)</f>
        <v>52755</v>
      </c>
      <c r="Y1926" s="131">
        <f>_xll.qlCalendarAdvance(Calendar,X1926,NDays&amp;"D")</f>
        <v>52757</v>
      </c>
      <c r="Z1926" s="132">
        <v>1.6354142312188284E-2</v>
      </c>
      <c r="AA1926" s="129">
        <v>1.6304188828071275E-2</v>
      </c>
    </row>
    <row r="1927" spans="19:27" x14ac:dyDescent="0.2">
      <c r="S1927" s="1"/>
      <c r="T1927" s="109"/>
      <c r="W1927" s="130" t="str">
        <f t="shared" si="39"/>
        <v>1w</v>
      </c>
      <c r="X1927" s="128">
        <f>_xll.qlCalendarAdvance(Calendar,X1926,W1927,"f",FALSE)</f>
        <v>52762</v>
      </c>
      <c r="Y1927" s="131">
        <f>_xll.qlCalendarAdvance(Calendar,X1927,NDays&amp;"D")</f>
        <v>52764</v>
      </c>
      <c r="Z1927" s="132">
        <v>1.6356714904024367E-2</v>
      </c>
      <c r="AA1927" s="129">
        <v>1.6306595750013031E-2</v>
      </c>
    </row>
    <row r="1928" spans="19:27" x14ac:dyDescent="0.2">
      <c r="S1928" s="1"/>
      <c r="T1928" s="109"/>
      <c r="W1928" s="130" t="str">
        <f t="shared" si="39"/>
        <v>1w</v>
      </c>
      <c r="X1928" s="128">
        <f>_xll.qlCalendarAdvance(Calendar,X1927,W1928,"f",FALSE)</f>
        <v>52769</v>
      </c>
      <c r="Y1928" s="131">
        <f>_xll.qlCalendarAdvance(Calendar,X1928,NDays&amp;"D")</f>
        <v>52771</v>
      </c>
      <c r="Z1928" s="132">
        <v>1.6359311454346076E-2</v>
      </c>
      <c r="AA1928" s="129">
        <v>1.6309026530150206E-2</v>
      </c>
    </row>
    <row r="1929" spans="19:27" x14ac:dyDescent="0.2">
      <c r="S1929" s="1"/>
      <c r="T1929" s="109"/>
      <c r="W1929" s="130" t="str">
        <f t="shared" si="39"/>
        <v>1w</v>
      </c>
      <c r="X1929" s="128">
        <f>_xll.qlCalendarAdvance(Calendar,X1928,W1929,"f",FALSE)</f>
        <v>52776</v>
      </c>
      <c r="Y1929" s="131">
        <f>_xll.qlCalendarAdvance(Calendar,X1929,NDays&amp;"D")</f>
        <v>52778</v>
      </c>
      <c r="Z1929" s="132">
        <v>1.6361931963203812E-2</v>
      </c>
      <c r="AA1929" s="129">
        <v>1.63114811684828E-2</v>
      </c>
    </row>
    <row r="1930" spans="19:27" x14ac:dyDescent="0.2">
      <c r="S1930" s="1"/>
      <c r="T1930" s="109"/>
      <c r="W1930" s="130" t="str">
        <f t="shared" si="39"/>
        <v>1w</v>
      </c>
      <c r="X1930" s="128">
        <f>_xll.qlCalendarAdvance(Calendar,X1929,W1930,"f",FALSE)</f>
        <v>52783</v>
      </c>
      <c r="Y1930" s="131">
        <f>_xll.qlCalendarAdvance(Calendar,X1930,NDays&amp;"D")</f>
        <v>52785</v>
      </c>
      <c r="Z1930" s="132">
        <v>1.6364576430642753E-2</v>
      </c>
      <c r="AA1930" s="129">
        <v>1.6313959664850941E-2</v>
      </c>
    </row>
    <row r="1931" spans="19:27" x14ac:dyDescent="0.2">
      <c r="S1931" s="1"/>
      <c r="T1931" s="109"/>
      <c r="W1931" s="130" t="str">
        <f t="shared" si="39"/>
        <v>1w</v>
      </c>
      <c r="X1931" s="128">
        <f>_xll.qlCalendarAdvance(Calendar,X1930,W1931,"f",FALSE)</f>
        <v>52790</v>
      </c>
      <c r="Y1931" s="131">
        <f>_xll.qlCalendarAdvance(Calendar,X1931,NDays&amp;"D")</f>
        <v>52792</v>
      </c>
      <c r="Z1931" s="132">
        <v>1.6367244856713294E-2</v>
      </c>
      <c r="AA1931" s="129">
        <v>1.6316462019574374E-2</v>
      </c>
    </row>
    <row r="1932" spans="19:27" x14ac:dyDescent="0.2">
      <c r="S1932" s="1"/>
      <c r="T1932" s="109"/>
      <c r="W1932" s="130" t="str">
        <f t="shared" si="39"/>
        <v>1w</v>
      </c>
      <c r="X1932" s="128">
        <f>_xll.qlCalendarAdvance(Calendar,X1931,W1932,"f",FALSE)</f>
        <v>52797</v>
      </c>
      <c r="Y1932" s="131">
        <f>_xll.qlCalendarAdvance(Calendar,X1932,NDays&amp;"D")</f>
        <v>52799</v>
      </c>
      <c r="Z1932" s="132">
        <v>1.6369937241463222E-2</v>
      </c>
      <c r="AA1932" s="129">
        <v>1.6318988232333353E-2</v>
      </c>
    </row>
    <row r="1933" spans="19:27" x14ac:dyDescent="0.2">
      <c r="S1933" s="1"/>
      <c r="T1933" s="109"/>
      <c r="W1933" s="130" t="str">
        <f t="shared" si="39"/>
        <v>1w</v>
      </c>
      <c r="X1933" s="128">
        <f>_xll.qlCalendarAdvance(Calendar,X1932,W1933,"f",FALSE)</f>
        <v>52804</v>
      </c>
      <c r="Y1933" s="131">
        <f>_xll.qlCalendarAdvance(Calendar,X1933,NDays&amp;"D")</f>
        <v>52806</v>
      </c>
      <c r="Z1933" s="132">
        <v>1.6372653584942068E-2</v>
      </c>
      <c r="AA1933" s="129">
        <v>1.6321538303287753E-2</v>
      </c>
    </row>
    <row r="1934" spans="19:27" x14ac:dyDescent="0.2">
      <c r="S1934" s="1"/>
      <c r="T1934" s="109"/>
      <c r="W1934" s="130" t="str">
        <f t="shared" si="39"/>
        <v>1w</v>
      </c>
      <c r="X1934" s="128">
        <f>_xll.qlCalendarAdvance(Calendar,X1933,W1934,"f",FALSE)</f>
        <v>52811</v>
      </c>
      <c r="Y1934" s="131">
        <f>_xll.qlCalendarAdvance(Calendar,X1934,NDays&amp;"D")</f>
        <v>52813</v>
      </c>
      <c r="Z1934" s="132">
        <v>1.6375393887199351E-2</v>
      </c>
      <c r="AA1934" s="129">
        <v>1.6324112232437571E-2</v>
      </c>
    </row>
    <row r="1935" spans="19:27" x14ac:dyDescent="0.2">
      <c r="S1935" s="1"/>
      <c r="T1935" s="109"/>
      <c r="W1935" s="130" t="str">
        <f t="shared" si="39"/>
        <v>1w</v>
      </c>
      <c r="X1935" s="128">
        <f>_xll.qlCalendarAdvance(Calendar,X1934,W1935,"f",FALSE)</f>
        <v>52818</v>
      </c>
      <c r="Y1935" s="131">
        <f>_xll.qlCalendarAdvance(Calendar,X1935,NDays&amp;"D")</f>
        <v>52820</v>
      </c>
      <c r="Z1935" s="132">
        <v>1.6378158148285468E-2</v>
      </c>
      <c r="AA1935" s="129">
        <v>1.6326710019622936E-2</v>
      </c>
    </row>
    <row r="1936" spans="19:27" x14ac:dyDescent="0.2">
      <c r="S1936" s="1"/>
      <c r="T1936" s="109"/>
      <c r="W1936" s="130" t="str">
        <f t="shared" si="39"/>
        <v>1w</v>
      </c>
      <c r="X1936" s="128">
        <f>_xll.qlCalendarAdvance(Calendar,X1935,W1936,"f",FALSE)</f>
        <v>52825</v>
      </c>
      <c r="Y1936" s="131">
        <f>_xll.qlCalendarAdvance(Calendar,X1936,NDays&amp;"D")</f>
        <v>52827</v>
      </c>
      <c r="Z1936" s="132">
        <v>1.6380946368251683E-2</v>
      </c>
      <c r="AA1936" s="129">
        <v>1.6329331665163593E-2</v>
      </c>
    </row>
    <row r="1937" spans="19:27" x14ac:dyDescent="0.2">
      <c r="S1937" s="1"/>
      <c r="T1937" s="109"/>
      <c r="W1937" s="130" t="str">
        <f t="shared" si="39"/>
        <v>1w</v>
      </c>
      <c r="X1937" s="128">
        <f>_xll.qlCalendarAdvance(Calendar,X1936,W1937,"f",FALSE)</f>
        <v>52832</v>
      </c>
      <c r="Y1937" s="131">
        <f>_xll.qlCalendarAdvance(Calendar,X1937,NDays&amp;"D")</f>
        <v>52834</v>
      </c>
      <c r="Z1937" s="132">
        <v>1.6383758547146649E-2</v>
      </c>
      <c r="AA1937" s="129">
        <v>1.6331977168659861E-2</v>
      </c>
    </row>
    <row r="1938" spans="19:27" x14ac:dyDescent="0.2">
      <c r="S1938" s="1"/>
      <c r="T1938" s="109"/>
      <c r="W1938" s="130" t="str">
        <f t="shared" si="39"/>
        <v>1w</v>
      </c>
      <c r="X1938" s="128">
        <f>_xll.qlCalendarAdvance(Calendar,X1937,W1938,"f",FALSE)</f>
        <v>52839</v>
      </c>
      <c r="Y1938" s="131">
        <f>_xll.qlCalendarAdvance(Calendar,X1938,NDays&amp;"D")</f>
        <v>52841</v>
      </c>
      <c r="Z1938" s="132">
        <v>1.6386015170624858E-2</v>
      </c>
      <c r="AA1938" s="129">
        <v>1.6334646530431485E-2</v>
      </c>
    </row>
    <row r="1939" spans="19:27" x14ac:dyDescent="0.2">
      <c r="S1939" s="1"/>
      <c r="T1939" s="109"/>
      <c r="W1939" s="130" t="str">
        <f t="shared" si="39"/>
        <v>1w</v>
      </c>
      <c r="X1939" s="128">
        <f>_xll.qlCalendarAdvance(Calendar,X1938,W1939,"f",FALSE)</f>
        <v>52846</v>
      </c>
      <c r="Y1939" s="131">
        <f>_xll.qlCalendarAdvance(Calendar,X1939,NDays&amp;"D")</f>
        <v>52848</v>
      </c>
      <c r="Z1939" s="132">
        <v>1.6388873426328186E-2</v>
      </c>
      <c r="AA1939" s="129">
        <v>1.6337339750398527E-2</v>
      </c>
    </row>
    <row r="1940" spans="19:27" x14ac:dyDescent="0.2">
      <c r="S1940" s="1"/>
      <c r="T1940" s="109"/>
      <c r="W1940" s="130" t="str">
        <f t="shared" si="39"/>
        <v>1w</v>
      </c>
      <c r="X1940" s="128">
        <f>_xll.qlCalendarAdvance(Calendar,X1939,W1940,"f",FALSE)</f>
        <v>52853</v>
      </c>
      <c r="Y1940" s="131">
        <f>_xll.qlCalendarAdvance(Calendar,X1940,NDays&amp;"D")</f>
        <v>52855</v>
      </c>
      <c r="Z1940" s="132">
        <v>1.639175564000207E-2</v>
      </c>
      <c r="AA1940" s="129">
        <v>1.6340056828481053E-2</v>
      </c>
    </row>
    <row r="1941" spans="19:27" x14ac:dyDescent="0.2">
      <c r="S1941" s="1"/>
      <c r="T1941" s="109"/>
      <c r="W1941" s="130" t="str">
        <f t="shared" ref="W1941:W2004" si="40">W1940</f>
        <v>1w</v>
      </c>
      <c r="X1941" s="128">
        <f>_xll.qlCalendarAdvance(Calendar,X1940,W1941,"f",FALSE)</f>
        <v>52860</v>
      </c>
      <c r="Y1941" s="131">
        <f>_xll.qlCalendarAdvance(Calendar,X1941,NDays&amp;"D")</f>
        <v>52862</v>
      </c>
      <c r="Z1941" s="132">
        <v>1.6394661811699206E-2</v>
      </c>
      <c r="AA1941" s="129">
        <v>1.6342797764679062E-2</v>
      </c>
    </row>
    <row r="1942" spans="19:27" x14ac:dyDescent="0.2">
      <c r="S1942" s="1"/>
      <c r="T1942" s="109"/>
      <c r="W1942" s="130" t="str">
        <f t="shared" si="40"/>
        <v>1w</v>
      </c>
      <c r="X1942" s="128">
        <f>_xll.qlCalendarAdvance(Calendar,X1941,W1942,"f",FALSE)</f>
        <v>52867</v>
      </c>
      <c r="Y1942" s="131">
        <f>_xll.qlCalendarAdvance(Calendar,X1942,NDays&amp;"D")</f>
        <v>52869</v>
      </c>
      <c r="Z1942" s="132">
        <v>1.6397591941473187E-2</v>
      </c>
      <c r="AA1942" s="129">
        <v>1.6345562559232363E-2</v>
      </c>
    </row>
    <row r="1943" spans="19:27" x14ac:dyDescent="0.2">
      <c r="S1943" s="1"/>
      <c r="T1943" s="109"/>
      <c r="W1943" s="130" t="str">
        <f t="shared" si="40"/>
        <v>1w</v>
      </c>
      <c r="X1943" s="128">
        <f>_xll.qlCalendarAdvance(Calendar,X1942,W1943,"f",FALSE)</f>
        <v>52874</v>
      </c>
      <c r="Y1943" s="131">
        <f>_xll.qlCalendarAdvance(Calendar,X1943,NDays&amp;"D")</f>
        <v>52876</v>
      </c>
      <c r="Z1943" s="132">
        <v>1.640113476096924E-2</v>
      </c>
      <c r="AA1943" s="129">
        <v>1.634835121182121E-2</v>
      </c>
    </row>
    <row r="1944" spans="19:27" x14ac:dyDescent="0.2">
      <c r="S1944" s="1"/>
      <c r="T1944" s="109"/>
      <c r="W1944" s="130" t="str">
        <f t="shared" si="40"/>
        <v>1w</v>
      </c>
      <c r="X1944" s="128">
        <f>_xll.qlCalendarAdvance(Calendar,X1943,W1944,"f",FALSE)</f>
        <v>52881</v>
      </c>
      <c r="Y1944" s="131">
        <f>_xll.qlCalendarAdvance(Calendar,X1944,NDays&amp;"D")</f>
        <v>52883</v>
      </c>
      <c r="Z1944" s="132">
        <v>1.6404114653841697E-2</v>
      </c>
      <c r="AA1944" s="129">
        <v>1.6351163722605477E-2</v>
      </c>
    </row>
    <row r="1945" spans="19:27" x14ac:dyDescent="0.2">
      <c r="S1945" s="1"/>
      <c r="T1945" s="109"/>
      <c r="W1945" s="130" t="str">
        <f t="shared" si="40"/>
        <v>1w</v>
      </c>
      <c r="X1945" s="128">
        <f>_xll.qlCalendarAdvance(Calendar,X1944,W1945,"f",FALSE)</f>
        <v>52888</v>
      </c>
      <c r="Y1945" s="131">
        <f>_xll.qlCalendarAdvance(Calendar,X1945,NDays&amp;"D")</f>
        <v>52890</v>
      </c>
      <c r="Z1945" s="132">
        <v>1.6407118506068654E-2</v>
      </c>
      <c r="AA1945" s="129">
        <v>1.6354000091505227E-2</v>
      </c>
    </row>
    <row r="1946" spans="19:27" x14ac:dyDescent="0.2">
      <c r="S1946" s="1"/>
      <c r="T1946" s="109"/>
      <c r="W1946" s="130" t="str">
        <f t="shared" si="40"/>
        <v>1w</v>
      </c>
      <c r="X1946" s="128">
        <f>_xll.qlCalendarAdvance(Calendar,X1945,W1946,"f",FALSE)</f>
        <v>52895</v>
      </c>
      <c r="Y1946" s="131">
        <f>_xll.qlCalendarAdvance(Calendar,X1946,NDays&amp;"D")</f>
        <v>52897</v>
      </c>
      <c r="Z1946" s="132">
        <v>1.6410146317703982E-2</v>
      </c>
      <c r="AA1946" s="129">
        <v>1.6356860318600397E-2</v>
      </c>
    </row>
    <row r="1947" spans="19:27" x14ac:dyDescent="0.2">
      <c r="S1947" s="1"/>
      <c r="T1947" s="109"/>
      <c r="W1947" s="130" t="str">
        <f t="shared" si="40"/>
        <v>1w</v>
      </c>
      <c r="X1947" s="128">
        <f>_xll.qlCalendarAdvance(Calendar,X1946,W1947,"f",FALSE)</f>
        <v>52902</v>
      </c>
      <c r="Y1947" s="131">
        <f>_xll.qlCalendarAdvance(Calendar,X1947,NDays&amp;"D")</f>
        <v>52904</v>
      </c>
      <c r="Z1947" s="132">
        <v>1.6413198088804155E-2</v>
      </c>
      <c r="AA1947" s="129">
        <v>1.635974440381105E-2</v>
      </c>
    </row>
    <row r="1948" spans="19:27" x14ac:dyDescent="0.2">
      <c r="S1948" s="1"/>
      <c r="T1948" s="109"/>
      <c r="W1948" s="130" t="str">
        <f t="shared" si="40"/>
        <v>1w</v>
      </c>
      <c r="X1948" s="128">
        <f>_xll.qlCalendarAdvance(Calendar,X1947,W1948,"f",FALSE)</f>
        <v>52909</v>
      </c>
      <c r="Y1948" s="131">
        <f>_xll.qlCalendarAdvance(Calendar,X1948,NDays&amp;"D")</f>
        <v>52911</v>
      </c>
      <c r="Z1948" s="132">
        <v>1.6416273819424784E-2</v>
      </c>
      <c r="AA1948" s="129">
        <v>1.6362652347217121E-2</v>
      </c>
    </row>
    <row r="1949" spans="19:27" x14ac:dyDescent="0.2">
      <c r="S1949" s="1"/>
      <c r="T1949" s="109"/>
      <c r="W1949" s="130" t="str">
        <f t="shared" si="40"/>
        <v>1w</v>
      </c>
      <c r="X1949" s="128">
        <f>_xll.qlCalendarAdvance(Calendar,X1948,W1949,"f",FALSE)</f>
        <v>52916</v>
      </c>
      <c r="Y1949" s="131">
        <f>_xll.qlCalendarAdvance(Calendar,X1949,NDays&amp;"D")</f>
        <v>52918</v>
      </c>
      <c r="Z1949" s="132">
        <v>1.6419373509622342E-2</v>
      </c>
      <c r="AA1949" s="129">
        <v>1.6365584148978485E-2</v>
      </c>
    </row>
    <row r="1950" spans="19:27" x14ac:dyDescent="0.2">
      <c r="S1950" s="1"/>
      <c r="T1950" s="109"/>
      <c r="W1950" s="130" t="str">
        <f t="shared" si="40"/>
        <v>1w</v>
      </c>
      <c r="X1950" s="128">
        <f>_xll.qlCalendarAdvance(Calendar,X1949,W1950,"f",FALSE)</f>
        <v>52923</v>
      </c>
      <c r="Y1950" s="131">
        <f>_xll.qlCalendarAdvance(Calendar,X1950,NDays&amp;"D")</f>
        <v>52925</v>
      </c>
      <c r="Z1950" s="132">
        <v>1.6422497159452442E-2</v>
      </c>
      <c r="AA1950" s="129">
        <v>1.6368539808695459E-2</v>
      </c>
    </row>
    <row r="1951" spans="19:27" x14ac:dyDescent="0.2">
      <c r="S1951" s="1"/>
      <c r="T1951" s="109"/>
      <c r="W1951" s="130" t="str">
        <f t="shared" si="40"/>
        <v>1w</v>
      </c>
      <c r="X1951" s="128">
        <f>_xll.qlCalendarAdvance(Calendar,X1950,W1951,"f",FALSE)</f>
        <v>52930</v>
      </c>
      <c r="Y1951" s="131">
        <f>_xll.qlCalendarAdvance(Calendar,X1951,NDays&amp;"D")</f>
        <v>52932</v>
      </c>
      <c r="Z1951" s="132">
        <v>1.6424437889689614E-2</v>
      </c>
      <c r="AA1951" s="129">
        <v>1.6371519326687789E-2</v>
      </c>
    </row>
    <row r="1952" spans="19:27" x14ac:dyDescent="0.2">
      <c r="S1952" s="1"/>
      <c r="T1952" s="109"/>
      <c r="W1952" s="130" t="str">
        <f t="shared" si="40"/>
        <v>1w</v>
      </c>
      <c r="X1952" s="128">
        <f>_xll.qlCalendarAdvance(Calendar,X1951,W1952,"f",FALSE)</f>
        <v>52937</v>
      </c>
      <c r="Y1952" s="131">
        <f>_xll.qlCalendarAdvance(Calendar,X1952,NDays&amp;"D")</f>
        <v>52939</v>
      </c>
      <c r="Z1952" s="132">
        <v>1.6427605747621143E-2</v>
      </c>
      <c r="AA1952" s="129">
        <v>1.6374522702795602E-2</v>
      </c>
    </row>
    <row r="1953" spans="19:27" x14ac:dyDescent="0.2">
      <c r="S1953" s="1"/>
      <c r="T1953" s="109"/>
      <c r="W1953" s="130" t="str">
        <f t="shared" si="40"/>
        <v>1w</v>
      </c>
      <c r="X1953" s="128">
        <f>_xll.qlCalendarAdvance(Calendar,X1952,W1953,"f",FALSE)</f>
        <v>52944</v>
      </c>
      <c r="Y1953" s="131">
        <f>_xll.qlCalendarAdvance(Calendar,X1953,NDays&amp;"D")</f>
        <v>52946</v>
      </c>
      <c r="Z1953" s="132">
        <v>1.6430797563112165E-2</v>
      </c>
      <c r="AA1953" s="129">
        <v>1.6377549937098834E-2</v>
      </c>
    </row>
    <row r="1954" spans="19:27" x14ac:dyDescent="0.2">
      <c r="S1954" s="1"/>
      <c r="T1954" s="109"/>
      <c r="W1954" s="130" t="str">
        <f t="shared" si="40"/>
        <v>1w</v>
      </c>
      <c r="X1954" s="128">
        <f>_xll.qlCalendarAdvance(Calendar,X1953,W1954,"f",FALSE)</f>
        <v>52951</v>
      </c>
      <c r="Y1954" s="131">
        <f>_xll.qlCalendarAdvance(Calendar,X1954,NDays&amp;"D")</f>
        <v>52953</v>
      </c>
      <c r="Z1954" s="132">
        <v>1.6434013336219522E-2</v>
      </c>
      <c r="AA1954" s="129">
        <v>1.6380601029597486E-2</v>
      </c>
    </row>
    <row r="1955" spans="19:27" x14ac:dyDescent="0.2">
      <c r="S1955" s="1"/>
      <c r="T1955" s="109"/>
      <c r="W1955" s="130" t="str">
        <f t="shared" si="40"/>
        <v>1w</v>
      </c>
      <c r="X1955" s="128">
        <f>_xll.qlCalendarAdvance(Calendar,X1954,W1955,"f",FALSE)</f>
        <v>52958</v>
      </c>
      <c r="Y1955" s="131">
        <f>_xll.qlCalendarAdvance(Calendar,X1955,NDays&amp;"D")</f>
        <v>52960</v>
      </c>
      <c r="Z1955" s="132">
        <v>1.6437253067000057E-2</v>
      </c>
      <c r="AA1955" s="129">
        <v>1.6383675980291557E-2</v>
      </c>
    </row>
    <row r="1956" spans="19:27" x14ac:dyDescent="0.2">
      <c r="S1956" s="1"/>
      <c r="T1956" s="109"/>
      <c r="W1956" s="130" t="str">
        <f t="shared" si="40"/>
        <v>1w</v>
      </c>
      <c r="X1956" s="128">
        <f>_xll.qlCalendarAdvance(Calendar,X1955,W1956,"f",FALSE)</f>
        <v>52965</v>
      </c>
      <c r="Y1956" s="131">
        <f>_xll.qlCalendarAdvance(Calendar,X1956,NDays&amp;"D")</f>
        <v>52967</v>
      </c>
      <c r="Z1956" s="132">
        <v>1.6440516755514167E-2</v>
      </c>
      <c r="AA1956" s="129">
        <v>1.6386774789021175E-2</v>
      </c>
    </row>
    <row r="1957" spans="19:27" x14ac:dyDescent="0.2">
      <c r="S1957" s="1"/>
      <c r="T1957" s="109"/>
      <c r="W1957" s="130" t="str">
        <f t="shared" si="40"/>
        <v>1w</v>
      </c>
      <c r="X1957" s="128">
        <f>_xll.qlCalendarAdvance(Calendar,X1956,W1957,"f",FALSE)</f>
        <v>52972</v>
      </c>
      <c r="Y1957" s="131">
        <f>_xll.qlCalendarAdvance(Calendar,X1957,NDays&amp;"D")</f>
        <v>52974</v>
      </c>
      <c r="Z1957" s="132">
        <v>1.6443804401819584E-2</v>
      </c>
      <c r="AA1957" s="129">
        <v>1.6389897456106084E-2</v>
      </c>
    </row>
    <row r="1958" spans="19:27" x14ac:dyDescent="0.2">
      <c r="S1958" s="1"/>
      <c r="T1958" s="109"/>
      <c r="W1958" s="130" t="str">
        <f t="shared" si="40"/>
        <v>1w</v>
      </c>
      <c r="X1958" s="128">
        <f>_xll.qlCalendarAdvance(Calendar,X1957,W1958,"f",FALSE)</f>
        <v>52979</v>
      </c>
      <c r="Y1958" s="131">
        <f>_xll.qlCalendarAdvance(Calendar,X1958,NDays&amp;"D")</f>
        <v>52981</v>
      </c>
      <c r="Z1958" s="132">
        <v>1.6447116005972262E-2</v>
      </c>
      <c r="AA1958" s="129">
        <v>1.639304398122654E-2</v>
      </c>
    </row>
    <row r="1959" spans="19:27" x14ac:dyDescent="0.2">
      <c r="S1959" s="1"/>
      <c r="T1959" s="109"/>
      <c r="W1959" s="130" t="str">
        <f t="shared" si="40"/>
        <v>1w</v>
      </c>
      <c r="X1959" s="128">
        <f>_xll.qlCalendarAdvance(Calendar,X1958,W1959,"f",FALSE)</f>
        <v>52986</v>
      </c>
      <c r="Y1959" s="131">
        <f>_xll.qlCalendarAdvance(Calendar,X1959,NDays&amp;"D")</f>
        <v>52988</v>
      </c>
      <c r="Z1959" s="132">
        <v>1.6450451568035263E-2</v>
      </c>
      <c r="AA1959" s="129">
        <v>1.6396214364702288E-2</v>
      </c>
    </row>
    <row r="1960" spans="19:27" x14ac:dyDescent="0.2">
      <c r="S1960" s="1"/>
      <c r="T1960" s="109"/>
      <c r="W1960" s="130" t="str">
        <f t="shared" si="40"/>
        <v>1w</v>
      </c>
      <c r="X1960" s="128">
        <f>_xll.qlCalendarAdvance(Calendar,X1959,W1960,"f",FALSE)</f>
        <v>52993</v>
      </c>
      <c r="Y1960" s="131">
        <f>_xll.qlCalendarAdvance(Calendar,X1960,NDays&amp;"D")</f>
        <v>52995</v>
      </c>
      <c r="Z1960" s="132">
        <v>1.6453191201978388E-2</v>
      </c>
      <c r="AA1960" s="129">
        <v>1.6399408606213584E-2</v>
      </c>
    </row>
    <row r="1961" spans="19:27" x14ac:dyDescent="0.2">
      <c r="S1961" s="1"/>
      <c r="T1961" s="109"/>
      <c r="W1961" s="130" t="str">
        <f t="shared" si="40"/>
        <v>1w</v>
      </c>
      <c r="X1961" s="128">
        <f>_xll.qlCalendarAdvance(Calendar,X1960,W1961,"f",FALSE)</f>
        <v>53000</v>
      </c>
      <c r="Y1961" s="131">
        <f>_xll.qlCalendarAdvance(Calendar,X1961,NDays&amp;"D")</f>
        <v>53002</v>
      </c>
      <c r="Z1961" s="132">
        <v>1.6456572814487501E-2</v>
      </c>
      <c r="AA1961" s="129">
        <v>1.6402626706000234E-2</v>
      </c>
    </row>
    <row r="1962" spans="19:27" x14ac:dyDescent="0.2">
      <c r="S1962" s="1"/>
      <c r="T1962" s="109"/>
      <c r="W1962" s="130" t="str">
        <f t="shared" si="40"/>
        <v>1w</v>
      </c>
      <c r="X1962" s="128">
        <f>_xll.qlCalendarAdvance(Calendar,X1961,W1962,"f",FALSE)</f>
        <v>53007</v>
      </c>
      <c r="Y1962" s="131">
        <f>_xll.qlCalendarAdvance(Calendar,X1962,NDays&amp;"D")</f>
        <v>53009</v>
      </c>
      <c r="Z1962" s="132">
        <v>1.6459978383955277E-2</v>
      </c>
      <c r="AA1962" s="129">
        <v>1.6405868663742496E-2</v>
      </c>
    </row>
    <row r="1963" spans="19:27" x14ac:dyDescent="0.2">
      <c r="S1963" s="1"/>
      <c r="T1963" s="109"/>
      <c r="W1963" s="130" t="str">
        <f t="shared" si="40"/>
        <v>1w</v>
      </c>
      <c r="X1963" s="128">
        <f>_xll.qlCalendarAdvance(Calendar,X1962,W1963,"f",FALSE)</f>
        <v>53014</v>
      </c>
      <c r="Y1963" s="131">
        <f>_xll.qlCalendarAdvance(Calendar,X1963,NDays&amp;"D")</f>
        <v>53016</v>
      </c>
      <c r="Z1963" s="132">
        <v>1.6463407910445489E-2</v>
      </c>
      <c r="AA1963" s="129">
        <v>1.6409134479999921E-2</v>
      </c>
    </row>
    <row r="1964" spans="19:27" x14ac:dyDescent="0.2">
      <c r="S1964" s="1"/>
      <c r="T1964" s="109"/>
      <c r="W1964" s="130" t="str">
        <f t="shared" si="40"/>
        <v>1w</v>
      </c>
      <c r="X1964" s="128">
        <f>_xll.qlCalendarAdvance(Calendar,X1963,W1964,"f",FALSE)</f>
        <v>53021</v>
      </c>
      <c r="Y1964" s="131">
        <f>_xll.qlCalendarAdvance(Calendar,X1964,NDays&amp;"D")</f>
        <v>53023</v>
      </c>
      <c r="Z1964" s="132">
        <v>1.6468744051349342E-2</v>
      </c>
      <c r="AA1964" s="129">
        <v>1.6412424154133021E-2</v>
      </c>
    </row>
    <row r="1965" spans="19:27" x14ac:dyDescent="0.2">
      <c r="S1965" s="1"/>
      <c r="T1965" s="109"/>
      <c r="W1965" s="130" t="str">
        <f t="shared" si="40"/>
        <v>1w</v>
      </c>
      <c r="X1965" s="128">
        <f>_xll.qlCalendarAdvance(Calendar,X1964,W1965,"f",FALSE)</f>
        <v>53028</v>
      </c>
      <c r="Y1965" s="131">
        <f>_xll.qlCalendarAdvance(Calendar,X1965,NDays&amp;"D")</f>
        <v>53030</v>
      </c>
      <c r="Z1965" s="132">
        <v>1.6472227102778354E-2</v>
      </c>
      <c r="AA1965" s="129">
        <v>1.6415737686621412E-2</v>
      </c>
    </row>
    <row r="1966" spans="19:27" x14ac:dyDescent="0.2">
      <c r="S1966" s="1"/>
      <c r="T1966" s="109"/>
      <c r="W1966" s="130" t="str">
        <f t="shared" si="40"/>
        <v>1w</v>
      </c>
      <c r="X1966" s="128">
        <f>_xll.qlCalendarAdvance(Calendar,X1965,W1966,"f",FALSE)</f>
        <v>53035</v>
      </c>
      <c r="Y1966" s="131">
        <f>_xll.qlCalendarAdvance(Calendar,X1966,NDays&amp;"D")</f>
        <v>53037</v>
      </c>
      <c r="Z1966" s="132">
        <v>1.6475734114807832E-2</v>
      </c>
      <c r="AA1966" s="129">
        <v>1.6419075077305223E-2</v>
      </c>
    </row>
    <row r="1967" spans="19:27" x14ac:dyDescent="0.2">
      <c r="S1967" s="1"/>
      <c r="T1967" s="109"/>
      <c r="W1967" s="130" t="str">
        <f t="shared" si="40"/>
        <v>1w</v>
      </c>
      <c r="X1967" s="128">
        <f>_xll.qlCalendarAdvance(Calendar,X1966,W1967,"f",FALSE)</f>
        <v>53042</v>
      </c>
      <c r="Y1967" s="131">
        <f>_xll.qlCalendarAdvance(Calendar,X1967,NDays&amp;"D")</f>
        <v>53044</v>
      </c>
      <c r="Z1967" s="132">
        <v>1.6479265087500326E-2</v>
      </c>
      <c r="AA1967" s="129">
        <v>1.6422436326024581E-2</v>
      </c>
    </row>
    <row r="1968" spans="19:27" x14ac:dyDescent="0.2">
      <c r="S1968" s="1"/>
      <c r="T1968" s="109"/>
      <c r="W1968" s="130" t="str">
        <f t="shared" si="40"/>
        <v>1w</v>
      </c>
      <c r="X1968" s="128">
        <f>_xll.qlCalendarAdvance(Calendar,X1967,W1968,"f",FALSE)</f>
        <v>53049</v>
      </c>
      <c r="Y1968" s="131">
        <f>_xll.qlCalendarAdvance(Calendar,X1968,NDays&amp;"D")</f>
        <v>53051</v>
      </c>
      <c r="Z1968" s="132">
        <v>1.6482820020922741E-2</v>
      </c>
      <c r="AA1968" s="129">
        <v>1.642582143309923E-2</v>
      </c>
    </row>
    <row r="1969" spans="19:27" x14ac:dyDescent="0.2">
      <c r="S1969" s="1"/>
      <c r="T1969" s="109"/>
      <c r="W1969" s="130" t="str">
        <f t="shared" si="40"/>
        <v>1w</v>
      </c>
      <c r="X1969" s="128">
        <f>_xll.qlCalendarAdvance(Calendar,X1968,W1969,"f",FALSE)</f>
        <v>53056</v>
      </c>
      <c r="Y1969" s="131">
        <f>_xll.qlCalendarAdvance(Calendar,X1969,NDays&amp;"D")</f>
        <v>53058</v>
      </c>
      <c r="Z1969" s="132">
        <v>1.6485761801932893E-2</v>
      </c>
      <c r="AA1969" s="129">
        <v>1.6431709057822985E-2</v>
      </c>
    </row>
    <row r="1970" spans="19:27" x14ac:dyDescent="0.2">
      <c r="S1970" s="1"/>
      <c r="T1970" s="109"/>
      <c r="W1970" s="130" t="str">
        <f t="shared" si="40"/>
        <v>1w</v>
      </c>
      <c r="X1970" s="128">
        <f>_xll.qlCalendarAdvance(Calendar,X1969,W1970,"f",FALSE)</f>
        <v>53063</v>
      </c>
      <c r="Y1970" s="131">
        <f>_xll.qlCalendarAdvance(Calendar,X1970,NDays&amp;"D")</f>
        <v>53065</v>
      </c>
      <c r="Z1970" s="132">
        <v>1.6489362780930078E-2</v>
      </c>
      <c r="AA1970" s="129">
        <v>1.6432663221594979E-2</v>
      </c>
    </row>
    <row r="1971" spans="19:27" x14ac:dyDescent="0.2">
      <c r="S1971" s="1"/>
      <c r="T1971" s="109"/>
      <c r="W1971" s="130" t="str">
        <f t="shared" si="40"/>
        <v>1w</v>
      </c>
      <c r="X1971" s="128">
        <f>_xll.qlCalendarAdvance(Calendar,X1970,W1971,"f",FALSE)</f>
        <v>53070</v>
      </c>
      <c r="Y1971" s="131">
        <f>_xll.qlCalendarAdvance(Calendar,X1971,NDays&amp;"D")</f>
        <v>53072</v>
      </c>
      <c r="Z1971" s="132">
        <v>1.6492987719717019E-2</v>
      </c>
      <c r="AA1971" s="129">
        <v>1.643611990317595E-2</v>
      </c>
    </row>
    <row r="1972" spans="19:27" x14ac:dyDescent="0.2">
      <c r="S1972" s="1"/>
      <c r="T1972" s="109"/>
      <c r="W1972" s="130" t="str">
        <f t="shared" si="40"/>
        <v>1w</v>
      </c>
      <c r="X1972" s="128">
        <f>_xll.qlCalendarAdvance(Calendar,X1971,W1972,"f",FALSE)</f>
        <v>53077</v>
      </c>
      <c r="Y1972" s="131">
        <f>_xll.qlCalendarAdvance(Calendar,X1972,NDays&amp;"D")</f>
        <v>53079</v>
      </c>
      <c r="Z1972" s="132">
        <v>1.649663661835872E-2</v>
      </c>
      <c r="AA1972" s="129">
        <v>1.6439600442872404E-2</v>
      </c>
    </row>
    <row r="1973" spans="19:27" x14ac:dyDescent="0.2">
      <c r="S1973" s="1"/>
      <c r="T1973" s="109"/>
      <c r="W1973" s="130" t="str">
        <f t="shared" si="40"/>
        <v>1w</v>
      </c>
      <c r="X1973" s="128">
        <f>_xll.qlCalendarAdvance(Calendar,X1972,W1973,"f",FALSE)</f>
        <v>53084</v>
      </c>
      <c r="Y1973" s="131">
        <f>_xll.qlCalendarAdvance(Calendar,X1973,NDays&amp;"D")</f>
        <v>53086</v>
      </c>
      <c r="Z1973" s="132">
        <v>1.6500954101253143E-2</v>
      </c>
      <c r="AA1973" s="129">
        <v>1.6443104840764278E-2</v>
      </c>
    </row>
    <row r="1974" spans="19:27" x14ac:dyDescent="0.2">
      <c r="S1974" s="1"/>
      <c r="T1974" s="109"/>
      <c r="W1974" s="130" t="str">
        <f t="shared" si="40"/>
        <v>1w</v>
      </c>
      <c r="X1974" s="128">
        <f>_xll.qlCalendarAdvance(Calendar,X1973,W1974,"f",FALSE)</f>
        <v>53091</v>
      </c>
      <c r="Y1974" s="131">
        <f>_xll.qlCalendarAdvance(Calendar,X1974,NDays&amp;"D")</f>
        <v>53093</v>
      </c>
      <c r="Z1974" s="132">
        <v>1.6504652800427906E-2</v>
      </c>
      <c r="AA1974" s="129">
        <v>1.6446633096931507E-2</v>
      </c>
    </row>
    <row r="1975" spans="19:27" x14ac:dyDescent="0.2">
      <c r="S1975" s="1"/>
      <c r="T1975" s="109"/>
      <c r="W1975" s="130" t="str">
        <f t="shared" si="40"/>
        <v>1w</v>
      </c>
      <c r="X1975" s="128">
        <f>_xll.qlCalendarAdvance(Calendar,X1974,W1975,"f",FALSE)</f>
        <v>53098</v>
      </c>
      <c r="Y1975" s="131">
        <f>_xll.qlCalendarAdvance(Calendar,X1975,NDays&amp;"D")</f>
        <v>53100</v>
      </c>
      <c r="Z1975" s="132">
        <v>1.6508375460794828E-2</v>
      </c>
      <c r="AA1975" s="129">
        <v>1.6450185211214219E-2</v>
      </c>
    </row>
    <row r="1976" spans="19:27" x14ac:dyDescent="0.2">
      <c r="S1976" s="1"/>
      <c r="T1976" s="109"/>
      <c r="W1976" s="130" t="str">
        <f t="shared" si="40"/>
        <v>1w</v>
      </c>
      <c r="X1976" s="128">
        <f>_xll.qlCalendarAdvance(Calendar,X1975,W1976,"f",FALSE)</f>
        <v>53105</v>
      </c>
      <c r="Y1976" s="131">
        <f>_xll.qlCalendarAdvance(Calendar,X1976,NDays&amp;"D")</f>
        <v>53107</v>
      </c>
      <c r="Z1976" s="132">
        <v>1.651212208242429E-2</v>
      </c>
      <c r="AA1976" s="129">
        <v>1.645376118369235E-2</v>
      </c>
    </row>
    <row r="1977" spans="19:27" x14ac:dyDescent="0.2">
      <c r="S1977" s="1"/>
      <c r="T1977" s="109"/>
      <c r="W1977" s="130" t="str">
        <f t="shared" si="40"/>
        <v>1w</v>
      </c>
      <c r="X1977" s="128">
        <f>_xll.qlCalendarAdvance(Calendar,X1976,W1977,"f",FALSE)</f>
        <v>53112</v>
      </c>
      <c r="Y1977" s="131">
        <f>_xll.qlCalendarAdvance(Calendar,X1977,NDays&amp;"D")</f>
        <v>53114</v>
      </c>
      <c r="Z1977" s="132">
        <v>1.6515892665383197E-2</v>
      </c>
      <c r="AA1977" s="129">
        <v>1.6457361014445837E-2</v>
      </c>
    </row>
    <row r="1978" spans="19:27" x14ac:dyDescent="0.2">
      <c r="S1978" s="1"/>
      <c r="T1978" s="109"/>
      <c r="W1978" s="130" t="str">
        <f t="shared" si="40"/>
        <v>1w</v>
      </c>
      <c r="X1978" s="128">
        <f>_xll.qlCalendarAdvance(Calendar,X1977,W1978,"f",FALSE)</f>
        <v>53119</v>
      </c>
      <c r="Y1978" s="131">
        <f>_xll.qlCalendarAdvance(Calendar,X1978,NDays&amp;"D")</f>
        <v>53121</v>
      </c>
      <c r="Z1978" s="132">
        <v>1.6519687209739318E-2</v>
      </c>
      <c r="AA1978" s="129">
        <v>1.6460984703234871E-2</v>
      </c>
    </row>
    <row r="1979" spans="19:27" x14ac:dyDescent="0.2">
      <c r="S1979" s="1"/>
      <c r="T1979" s="109"/>
      <c r="W1979" s="130" t="str">
        <f t="shared" si="40"/>
        <v>1w</v>
      </c>
      <c r="X1979" s="128">
        <f>_xll.qlCalendarAdvance(Calendar,X1978,W1979,"f",FALSE)</f>
        <v>53126</v>
      </c>
      <c r="Y1979" s="131">
        <f>_xll.qlCalendarAdvance(Calendar,X1979,NDays&amp;"D")</f>
        <v>53128</v>
      </c>
      <c r="Z1979" s="132">
        <v>1.6523505590129453E-2</v>
      </c>
      <c r="AA1979" s="129">
        <v>1.646463225029926E-2</v>
      </c>
    </row>
    <row r="1980" spans="19:27" x14ac:dyDescent="0.2">
      <c r="S1980" s="1"/>
      <c r="T1980" s="109"/>
      <c r="W1980" s="130" t="str">
        <f t="shared" si="40"/>
        <v>1w</v>
      </c>
      <c r="X1980" s="128">
        <f>_xll.qlCalendarAdvance(Calendar,X1979,W1980,"f",FALSE)</f>
        <v>53133</v>
      </c>
      <c r="Y1980" s="131">
        <f>_xll.qlCalendarAdvance(Calendar,X1980,NDays&amp;"D")</f>
        <v>53135</v>
      </c>
      <c r="Z1980" s="132">
        <v>1.6527345574265336E-2</v>
      </c>
      <c r="AA1980" s="129">
        <v>1.6468303655559069E-2</v>
      </c>
    </row>
    <row r="1981" spans="19:27" x14ac:dyDescent="0.2">
      <c r="S1981" s="1"/>
      <c r="T1981" s="109"/>
      <c r="W1981" s="130" t="str">
        <f t="shared" si="40"/>
        <v>1w</v>
      </c>
      <c r="X1981" s="128">
        <f>_xll.qlCalendarAdvance(Calendar,X1980,W1981,"f",FALSE)</f>
        <v>53140</v>
      </c>
      <c r="Y1981" s="131">
        <f>_xll.qlCalendarAdvance(Calendar,X1981,NDays&amp;"D")</f>
        <v>53142</v>
      </c>
      <c r="Z1981" s="132">
        <v>1.6531203181596298E-2</v>
      </c>
      <c r="AA1981" s="129">
        <v>1.6471998918934361E-2</v>
      </c>
    </row>
    <row r="1982" spans="19:27" x14ac:dyDescent="0.2">
      <c r="S1982" s="1"/>
      <c r="T1982" s="109"/>
      <c r="W1982" s="130" t="str">
        <f t="shared" si="40"/>
        <v>1w</v>
      </c>
      <c r="X1982" s="128">
        <f>_xll.qlCalendarAdvance(Calendar,X1981,W1982,"f",FALSE)</f>
        <v>53147</v>
      </c>
      <c r="Y1982" s="131">
        <f>_xll.qlCalendarAdvance(Calendar,X1982,NDays&amp;"D")</f>
        <v>53149</v>
      </c>
      <c r="Z1982" s="132">
        <v>1.6535074378634881E-2</v>
      </c>
      <c r="AA1982" s="129">
        <v>1.6475718040585008E-2</v>
      </c>
    </row>
    <row r="1983" spans="19:27" x14ac:dyDescent="0.2">
      <c r="S1983" s="1"/>
      <c r="T1983" s="109"/>
      <c r="W1983" s="130" t="str">
        <f t="shared" si="40"/>
        <v>1w</v>
      </c>
      <c r="X1983" s="128">
        <f>_xll.qlCalendarAdvance(Calendar,X1982,W1983,"f",FALSE)</f>
        <v>53154</v>
      </c>
      <c r="Y1983" s="131">
        <f>_xll.qlCalendarAdvance(Calendar,X1983,NDays&amp;"D")</f>
        <v>53156</v>
      </c>
      <c r="Z1983" s="132">
        <v>1.65389551318832E-2</v>
      </c>
      <c r="AA1983" s="129">
        <v>1.6479461020431074E-2</v>
      </c>
    </row>
    <row r="1984" spans="19:27" x14ac:dyDescent="0.2">
      <c r="S1984" s="1"/>
      <c r="T1984" s="109"/>
      <c r="W1984" s="130" t="str">
        <f t="shared" si="40"/>
        <v>1w</v>
      </c>
      <c r="X1984" s="128">
        <f>_xll.qlCalendarAdvance(Calendar,X1983,W1984,"f",FALSE)</f>
        <v>53161</v>
      </c>
      <c r="Y1984" s="131">
        <f>_xll.qlCalendarAdvance(Calendar,X1984,NDays&amp;"D")</f>
        <v>53163</v>
      </c>
      <c r="Z1984" s="132">
        <v>1.6542841407824256E-2</v>
      </c>
      <c r="AA1984" s="129">
        <v>1.6483227858392624E-2</v>
      </c>
    </row>
    <row r="1985" spans="19:27" x14ac:dyDescent="0.2">
      <c r="S1985" s="1"/>
      <c r="T1985" s="109"/>
      <c r="W1985" s="130" t="str">
        <f t="shared" si="40"/>
        <v>1w</v>
      </c>
      <c r="X1985" s="128">
        <f>_xll.qlCalendarAdvance(Calendar,X1984,W1985,"f",FALSE)</f>
        <v>53168</v>
      </c>
      <c r="Y1985" s="131">
        <f>_xll.qlCalendarAdvance(Calendar,X1985,NDays&amp;"D")</f>
        <v>53170</v>
      </c>
      <c r="Z1985" s="132">
        <v>1.654672917292541E-2</v>
      </c>
      <c r="AA1985" s="129">
        <v>1.6487018554629529E-2</v>
      </c>
    </row>
    <row r="1986" spans="19:27" x14ac:dyDescent="0.2">
      <c r="S1986" s="1"/>
      <c r="T1986" s="109"/>
      <c r="W1986" s="130" t="str">
        <f t="shared" si="40"/>
        <v>1w</v>
      </c>
      <c r="X1986" s="128">
        <f>_xll.qlCalendarAdvance(Calendar,X1985,W1986,"f",FALSE)</f>
        <v>53175</v>
      </c>
      <c r="Y1986" s="131">
        <f>_xll.qlCalendarAdvance(Calendar,X1986,NDays&amp;"D")</f>
        <v>53177</v>
      </c>
      <c r="Z1986" s="132">
        <v>1.655061439363752E-2</v>
      </c>
      <c r="AA1986" s="129">
        <v>1.6490833108981917E-2</v>
      </c>
    </row>
    <row r="1987" spans="19:27" x14ac:dyDescent="0.2">
      <c r="S1987" s="1"/>
      <c r="T1987" s="109"/>
      <c r="W1987" s="130" t="str">
        <f t="shared" si="40"/>
        <v>1w</v>
      </c>
      <c r="X1987" s="128">
        <f>_xll.qlCalendarAdvance(Calendar,X1986,W1987,"f",FALSE)</f>
        <v>53182</v>
      </c>
      <c r="Y1987" s="131">
        <f>_xll.qlCalendarAdvance(Calendar,X1987,NDays&amp;"D")</f>
        <v>53184</v>
      </c>
      <c r="Z1987" s="132">
        <v>1.6554493036394925E-2</v>
      </c>
      <c r="AA1987" s="129">
        <v>1.6494671521609661E-2</v>
      </c>
    </row>
    <row r="1988" spans="19:27" x14ac:dyDescent="0.2">
      <c r="S1988" s="1"/>
      <c r="T1988" s="109"/>
      <c r="W1988" s="130" t="str">
        <f t="shared" si="40"/>
        <v>1w</v>
      </c>
      <c r="X1988" s="128">
        <f>_xll.qlCalendarAdvance(Calendar,X1987,W1988,"f",FALSE)</f>
        <v>53189</v>
      </c>
      <c r="Y1988" s="131">
        <f>_xll.qlCalendarAdvance(Calendar,X1988,NDays&amp;"D")</f>
        <v>53191</v>
      </c>
      <c r="Z1988" s="132">
        <v>1.6558361067621548E-2</v>
      </c>
      <c r="AA1988" s="129">
        <v>1.6498533792432823E-2</v>
      </c>
    </row>
    <row r="1989" spans="19:27" x14ac:dyDescent="0.2">
      <c r="S1989" s="1"/>
      <c r="T1989" s="109"/>
      <c r="W1989" s="130" t="str">
        <f t="shared" si="40"/>
        <v>1w</v>
      </c>
      <c r="X1989" s="128">
        <f>_xll.qlCalendarAdvance(Calendar,X1988,W1989,"f",FALSE)</f>
        <v>53196</v>
      </c>
      <c r="Y1989" s="131">
        <f>_xll.qlCalendarAdvance(Calendar,X1989,NDays&amp;"D")</f>
        <v>53198</v>
      </c>
      <c r="Z1989" s="132">
        <v>1.6562214453717843E-2</v>
      </c>
      <c r="AA1989" s="129">
        <v>1.6502419921451406E-2</v>
      </c>
    </row>
    <row r="1990" spans="19:27" x14ac:dyDescent="0.2">
      <c r="S1990" s="1"/>
      <c r="T1990" s="109"/>
      <c r="W1990" s="130" t="str">
        <f t="shared" si="40"/>
        <v>1w</v>
      </c>
      <c r="X1990" s="128">
        <f>_xll.qlCalendarAdvance(Calendar,X1989,W1990,"f",FALSE)</f>
        <v>53203</v>
      </c>
      <c r="Y1990" s="131">
        <f>_xll.qlCalendarAdvance(Calendar,X1990,NDays&amp;"D")</f>
        <v>53205</v>
      </c>
      <c r="Z1990" s="132">
        <v>1.6565399533230295E-2</v>
      </c>
      <c r="AA1990" s="129">
        <v>1.6506329908745343E-2</v>
      </c>
    </row>
    <row r="1991" spans="19:27" x14ac:dyDescent="0.2">
      <c r="S1991" s="1"/>
      <c r="T1991" s="109"/>
      <c r="W1991" s="130" t="str">
        <f t="shared" si="40"/>
        <v>1w</v>
      </c>
      <c r="X1991" s="128">
        <f>_xll.qlCalendarAdvance(Calendar,X1990,W1991,"f",FALSE)</f>
        <v>53210</v>
      </c>
      <c r="Y1991" s="131">
        <f>_xll.qlCalendarAdvance(Calendar,X1991,NDays&amp;"D")</f>
        <v>53212</v>
      </c>
      <c r="Z1991" s="132">
        <v>1.6569213400840593E-2</v>
      </c>
      <c r="AA1991" s="129">
        <v>1.6510263753994892E-2</v>
      </c>
    </row>
    <row r="1992" spans="19:27" x14ac:dyDescent="0.2">
      <c r="S1992" s="1"/>
      <c r="T1992" s="109"/>
      <c r="W1992" s="130" t="str">
        <f t="shared" si="40"/>
        <v>1w</v>
      </c>
      <c r="X1992" s="128">
        <f>_xll.qlCalendarAdvance(Calendar,X1991,W1992,"f",FALSE)</f>
        <v>53217</v>
      </c>
      <c r="Y1992" s="131">
        <f>_xll.qlCalendarAdvance(Calendar,X1992,NDays&amp;"D")</f>
        <v>53219</v>
      </c>
      <c r="Z1992" s="132">
        <v>1.6573000602461911E-2</v>
      </c>
      <c r="AA1992" s="129">
        <v>1.6514214813874162E-2</v>
      </c>
    </row>
    <row r="1993" spans="19:27" x14ac:dyDescent="0.2">
      <c r="S1993" s="1"/>
      <c r="T1993" s="109"/>
      <c r="W1993" s="130" t="str">
        <f t="shared" si="40"/>
        <v>1w</v>
      </c>
      <c r="X1993" s="128">
        <f>_xll.qlCalendarAdvance(Calendar,X1992,W1993,"f",FALSE)</f>
        <v>53224</v>
      </c>
      <c r="Y1993" s="131">
        <f>_xll.qlCalendarAdvance(Calendar,X1993,NDays&amp;"D")</f>
        <v>53226</v>
      </c>
      <c r="Z1993" s="132">
        <v>1.6576758881200679E-2</v>
      </c>
      <c r="AA1993" s="129">
        <v>1.6518143584143274E-2</v>
      </c>
    </row>
    <row r="1994" spans="19:27" x14ac:dyDescent="0.2">
      <c r="S1994" s="1"/>
      <c r="T1994" s="109"/>
      <c r="W1994" s="130" t="str">
        <f t="shared" si="40"/>
        <v>1w</v>
      </c>
      <c r="X1994" s="128">
        <f>_xll.qlCalendarAdvance(Calendar,X1993,W1994,"f",FALSE)</f>
        <v>53231</v>
      </c>
      <c r="Y1994" s="131">
        <f>_xll.qlCalendarAdvance(Calendar,X1994,NDays&amp;"D")</f>
        <v>53233</v>
      </c>
      <c r="Z1994" s="132">
        <v>1.6580488110169385E-2</v>
      </c>
      <c r="AA1994" s="129">
        <v>1.6522043420996724E-2</v>
      </c>
    </row>
    <row r="1995" spans="19:27" x14ac:dyDescent="0.2">
      <c r="S1995" s="1"/>
      <c r="T1995" s="109"/>
      <c r="W1995" s="130" t="str">
        <f t="shared" si="40"/>
        <v>1w</v>
      </c>
      <c r="X1995" s="128">
        <f>_xll.qlCalendarAdvance(Calendar,X1994,W1995,"f",FALSE)</f>
        <v>53238</v>
      </c>
      <c r="Y1995" s="131">
        <f>_xll.qlCalendarAdvance(Calendar,X1995,NDays&amp;"D")</f>
        <v>53240</v>
      </c>
      <c r="Z1995" s="132">
        <v>1.6584828433671681E-2</v>
      </c>
      <c r="AA1995" s="129">
        <v>1.6525914324514446E-2</v>
      </c>
    </row>
    <row r="1996" spans="19:27" x14ac:dyDescent="0.2">
      <c r="S1996" s="1"/>
      <c r="T1996" s="109"/>
      <c r="W1996" s="130" t="str">
        <f t="shared" si="40"/>
        <v>1w</v>
      </c>
      <c r="X1996" s="128">
        <f>_xll.qlCalendarAdvance(Calendar,X1995,W1996,"f",FALSE)</f>
        <v>53245</v>
      </c>
      <c r="Y1996" s="131">
        <f>_xll.qlCalendarAdvance(Calendar,X1996,NDays&amp;"D")</f>
        <v>53247</v>
      </c>
      <c r="Z1996" s="132">
        <v>1.6588497656541572E-2</v>
      </c>
      <c r="AA1996" s="129">
        <v>1.652975629469644E-2</v>
      </c>
    </row>
    <row r="1997" spans="19:27" x14ac:dyDescent="0.2">
      <c r="S1997" s="1"/>
      <c r="T1997" s="109"/>
      <c r="W1997" s="130" t="str">
        <f t="shared" si="40"/>
        <v>1w</v>
      </c>
      <c r="X1997" s="128">
        <f>_xll.qlCalendarAdvance(Calendar,X1996,W1997,"f",FALSE)</f>
        <v>53252</v>
      </c>
      <c r="Y1997" s="131">
        <f>_xll.qlCalendarAdvance(Calendar,X1997,NDays&amp;"D")</f>
        <v>53254</v>
      </c>
      <c r="Z1997" s="132">
        <v>1.6592137828092716E-2</v>
      </c>
      <c r="AA1997" s="129">
        <v>1.6533569331462772E-2</v>
      </c>
    </row>
    <row r="1998" spans="19:27" x14ac:dyDescent="0.2">
      <c r="S1998" s="1"/>
      <c r="T1998" s="109"/>
      <c r="W1998" s="130" t="str">
        <f t="shared" si="40"/>
        <v>1w</v>
      </c>
      <c r="X1998" s="128">
        <f>_xll.qlCalendarAdvance(Calendar,X1997,W1998,"f",FALSE)</f>
        <v>53259</v>
      </c>
      <c r="Y1998" s="131">
        <f>_xll.qlCalendarAdvance(Calendar,X1998,NDays&amp;"D")</f>
        <v>53261</v>
      </c>
      <c r="Z1998" s="132">
        <v>1.659574894824084E-2</v>
      </c>
      <c r="AA1998" s="129">
        <v>1.6537353435053248E-2</v>
      </c>
    </row>
    <row r="1999" spans="19:27" x14ac:dyDescent="0.2">
      <c r="S1999" s="1"/>
      <c r="T1999" s="109"/>
      <c r="W1999" s="130" t="str">
        <f t="shared" si="40"/>
        <v>1w</v>
      </c>
      <c r="X1999" s="128">
        <f>_xll.qlCalendarAdvance(Calendar,X1998,W1999,"f",FALSE)</f>
        <v>53266</v>
      </c>
      <c r="Y1999" s="131">
        <f>_xll.qlCalendarAdvance(Calendar,X1999,NDays&amp;"D")</f>
        <v>53268</v>
      </c>
      <c r="Z1999" s="132">
        <v>1.6599331016909479E-2</v>
      </c>
      <c r="AA1999" s="129">
        <v>1.6541108605228061E-2</v>
      </c>
    </row>
    <row r="2000" spans="19:27" x14ac:dyDescent="0.2">
      <c r="S2000" s="1"/>
      <c r="T2000" s="109"/>
      <c r="W2000" s="130" t="str">
        <f t="shared" si="40"/>
        <v>1w</v>
      </c>
      <c r="X2000" s="128">
        <f>_xll.qlCalendarAdvance(Calendar,X1999,W2000,"f",FALSE)</f>
        <v>53273</v>
      </c>
      <c r="Y2000" s="131">
        <f>_xll.qlCalendarAdvance(Calendar,X2000,NDays&amp;"D")</f>
        <v>53275</v>
      </c>
      <c r="Z2000" s="132">
        <v>1.6602884034017832E-2</v>
      </c>
      <c r="AA2000" s="129">
        <v>1.6544834841907274E-2</v>
      </c>
    </row>
    <row r="2001" spans="19:27" x14ac:dyDescent="0.2">
      <c r="S2001" s="1"/>
      <c r="T2001" s="109"/>
      <c r="W2001" s="130" t="str">
        <f t="shared" si="40"/>
        <v>1w</v>
      </c>
      <c r="X2001" s="128">
        <f>_xll.qlCalendarAdvance(Calendar,X2000,W2001,"f",FALSE)</f>
        <v>53280</v>
      </c>
      <c r="Y2001" s="131">
        <f>_xll.qlCalendarAdvance(Calendar,X2001,NDays&amp;"D")</f>
        <v>53282</v>
      </c>
      <c r="Z2001" s="132">
        <v>1.6606407999485092E-2</v>
      </c>
      <c r="AA2001" s="129">
        <v>1.6548532145250761E-2</v>
      </c>
    </row>
    <row r="2002" spans="19:27" x14ac:dyDescent="0.2">
      <c r="S2002" s="1"/>
      <c r="T2002" s="109"/>
      <c r="W2002" s="130" t="str">
        <f t="shared" si="40"/>
        <v>1w</v>
      </c>
      <c r="X2002" s="128">
        <f>_xll.qlCalendarAdvance(Calendar,X2001,W2002,"f",FALSE)</f>
        <v>53287</v>
      </c>
      <c r="Y2002" s="131">
        <f>_xll.qlCalendarAdvance(Calendar,X2002,NDays&amp;"D")</f>
        <v>53289</v>
      </c>
      <c r="Z2002" s="132">
        <v>1.6609902913236538E-2</v>
      </c>
      <c r="AA2002" s="129">
        <v>1.6552200515338455E-2</v>
      </c>
    </row>
    <row r="2003" spans="19:27" x14ac:dyDescent="0.2">
      <c r="S2003" s="1"/>
      <c r="T2003" s="109"/>
      <c r="W2003" s="130" t="str">
        <f t="shared" si="40"/>
        <v>1w</v>
      </c>
      <c r="X2003" s="128">
        <f>_xll.qlCalendarAdvance(Calendar,X2002,W2003,"f",FALSE)</f>
        <v>53294</v>
      </c>
      <c r="Y2003" s="131">
        <f>_xll.qlCalendarAdvance(Calendar,X2003,NDays&amp;"D")</f>
        <v>53296</v>
      </c>
      <c r="Z2003" s="132">
        <v>1.6612118896916606E-2</v>
      </c>
      <c r="AA2003" s="129">
        <v>1.6555839952010487E-2</v>
      </c>
    </row>
    <row r="2004" spans="19:27" x14ac:dyDescent="0.2">
      <c r="S2004" s="1"/>
      <c r="T2004" s="109"/>
      <c r="W2004" s="130" t="str">
        <f t="shared" si="40"/>
        <v>1w</v>
      </c>
      <c r="X2004" s="128">
        <f>_xll.qlCalendarAdvance(Calendar,X2003,W2004,"f",FALSE)</f>
        <v>53301</v>
      </c>
      <c r="Y2004" s="131">
        <f>_xll.qlCalendarAdvance(Calendar,X2004,NDays&amp;"D")</f>
        <v>53303</v>
      </c>
      <c r="Z2004" s="132">
        <v>1.6615559540355207E-2</v>
      </c>
      <c r="AA2004" s="129">
        <v>1.6559450455346791E-2</v>
      </c>
    </row>
    <row r="2005" spans="19:27" x14ac:dyDescent="0.2">
      <c r="S2005" s="1"/>
      <c r="T2005" s="109"/>
      <c r="W2005" s="130" t="str">
        <f t="shared" ref="W2005:W2068" si="41">W2004</f>
        <v>1w</v>
      </c>
      <c r="X2005" s="128">
        <f>_xll.qlCalendarAdvance(Calendar,X2004,W2005,"f",FALSE)</f>
        <v>53308</v>
      </c>
      <c r="Y2005" s="131">
        <f>_xll.qlCalendarAdvance(Calendar,X2005,NDays&amp;"D")</f>
        <v>53310</v>
      </c>
      <c r="Z2005" s="132">
        <v>1.6618971134468197E-2</v>
      </c>
      <c r="AA2005" s="129">
        <v>1.6563032025267432E-2</v>
      </c>
    </row>
    <row r="2006" spans="19:27" x14ac:dyDescent="0.2">
      <c r="S2006" s="1"/>
      <c r="T2006" s="109"/>
      <c r="W2006" s="130" t="str">
        <f t="shared" si="41"/>
        <v>1w</v>
      </c>
      <c r="X2006" s="128">
        <f>_xll.qlCalendarAdvance(Calendar,X2005,W2006,"f",FALSE)</f>
        <v>53315</v>
      </c>
      <c r="Y2006" s="131">
        <f>_xll.qlCalendarAdvance(Calendar,X2006,NDays&amp;"D")</f>
        <v>53317</v>
      </c>
      <c r="Z2006" s="132">
        <v>1.6622353679180968E-2</v>
      </c>
      <c r="AA2006" s="129">
        <v>1.6566584661932282E-2</v>
      </c>
    </row>
    <row r="2007" spans="19:27" x14ac:dyDescent="0.2">
      <c r="S2007" s="1"/>
      <c r="T2007" s="109"/>
      <c r="W2007" s="130" t="str">
        <f t="shared" si="41"/>
        <v>1w</v>
      </c>
      <c r="X2007" s="128">
        <f>_xll.qlCalendarAdvance(Calendar,X2006,W2007,"f",FALSE)</f>
        <v>53323</v>
      </c>
      <c r="Y2007" s="131">
        <f>_xll.qlCalendarAdvance(Calendar,X2007,NDays&amp;"D")</f>
        <v>53325</v>
      </c>
      <c r="Z2007" s="132">
        <v>1.6626800946013518E-2</v>
      </c>
      <c r="AA2007" s="129">
        <v>1.6572503692837692E-2</v>
      </c>
    </row>
    <row r="2008" spans="19:27" x14ac:dyDescent="0.2">
      <c r="S2008" s="1"/>
      <c r="T2008" s="109"/>
      <c r="W2008" s="130" t="str">
        <f t="shared" si="41"/>
        <v>1w</v>
      </c>
      <c r="X2008" s="128">
        <f>_xll.qlCalendarAdvance(Calendar,X2007,W2008,"f",FALSE)</f>
        <v>53330</v>
      </c>
      <c r="Y2008" s="131">
        <f>_xll.qlCalendarAdvance(Calendar,X2008,NDays&amp;"D")</f>
        <v>53332</v>
      </c>
      <c r="Z2008" s="132">
        <v>1.6629504169526577E-2</v>
      </c>
      <c r="AA2008" s="129">
        <v>1.6575359244646037E-2</v>
      </c>
    </row>
    <row r="2009" spans="19:27" x14ac:dyDescent="0.2">
      <c r="S2009" s="1"/>
      <c r="T2009" s="109"/>
      <c r="W2009" s="130" t="str">
        <f t="shared" si="41"/>
        <v>1w</v>
      </c>
      <c r="X2009" s="128">
        <f>_xll.qlCalendarAdvance(Calendar,X2008,W2009,"f",FALSE)</f>
        <v>53337</v>
      </c>
      <c r="Y2009" s="131">
        <f>_xll.qlCalendarAdvance(Calendar,X2009,NDays&amp;"D")</f>
        <v>53339</v>
      </c>
      <c r="Z2009" s="132">
        <v>1.6632795415649326E-2</v>
      </c>
      <c r="AA2009" s="129">
        <v>1.6578817132888446E-2</v>
      </c>
    </row>
    <row r="2010" spans="19:27" x14ac:dyDescent="0.2">
      <c r="S2010" s="1"/>
      <c r="T2010" s="109"/>
      <c r="W2010" s="130" t="str">
        <f t="shared" si="41"/>
        <v>1w</v>
      </c>
      <c r="X2010" s="128">
        <f>_xll.qlCalendarAdvance(Calendar,X2009,W2010,"f",FALSE)</f>
        <v>53344</v>
      </c>
      <c r="Y2010" s="131">
        <f>_xll.qlCalendarAdvance(Calendar,X2010,NDays&amp;"D")</f>
        <v>53346</v>
      </c>
      <c r="Z2010" s="132">
        <v>1.6636057612069877E-2</v>
      </c>
      <c r="AA2010" s="129">
        <v>1.6582246085157237E-2</v>
      </c>
    </row>
    <row r="2011" spans="19:27" x14ac:dyDescent="0.2">
      <c r="S2011" s="1"/>
      <c r="T2011" s="109"/>
      <c r="W2011" s="130" t="str">
        <f t="shared" si="41"/>
        <v>1w</v>
      </c>
      <c r="X2011" s="128">
        <f>_xll.qlCalendarAdvance(Calendar,X2010,W2011,"f",FALSE)</f>
        <v>53351</v>
      </c>
      <c r="Y2011" s="131">
        <f>_xll.qlCalendarAdvance(Calendar,X2011,NDays&amp;"D")</f>
        <v>53353</v>
      </c>
      <c r="Z2011" s="132">
        <v>1.6639290758720726E-2</v>
      </c>
      <c r="AA2011" s="129">
        <v>1.6585646101452411E-2</v>
      </c>
    </row>
    <row r="2012" spans="19:27" x14ac:dyDescent="0.2">
      <c r="S2012" s="1"/>
      <c r="T2012" s="109"/>
      <c r="W2012" s="130" t="str">
        <f t="shared" si="41"/>
        <v>1w</v>
      </c>
      <c r="X2012" s="128">
        <f>_xll.qlCalendarAdvance(Calendar,X2011,W2012,"f",FALSE)</f>
        <v>53358</v>
      </c>
      <c r="Y2012" s="131">
        <f>_xll.qlCalendarAdvance(Calendar,X2012,NDays&amp;"D")</f>
        <v>53360</v>
      </c>
      <c r="Z2012" s="132">
        <v>1.6641887241365404E-2</v>
      </c>
      <c r="AA2012" s="129">
        <v>1.6589017181773968E-2</v>
      </c>
    </row>
    <row r="2013" spans="19:27" x14ac:dyDescent="0.2">
      <c r="S2013" s="1"/>
      <c r="T2013" s="109"/>
      <c r="W2013" s="130" t="str">
        <f t="shared" si="41"/>
        <v>1w</v>
      </c>
      <c r="X2013" s="128">
        <f>_xll.qlCalendarAdvance(Calendar,X2012,W2013,"f",FALSE)</f>
        <v>53365</v>
      </c>
      <c r="Y2013" s="131">
        <f>_xll.qlCalendarAdvance(Calendar,X2013,NDays&amp;"D")</f>
        <v>53367</v>
      </c>
      <c r="Z2013" s="132">
        <v>1.6645064216683731E-2</v>
      </c>
      <c r="AA2013" s="129">
        <v>1.6592359326148554E-2</v>
      </c>
    </row>
    <row r="2014" spans="19:27" x14ac:dyDescent="0.2">
      <c r="S2014" s="1"/>
      <c r="T2014" s="109"/>
      <c r="W2014" s="130" t="str">
        <f t="shared" si="41"/>
        <v>1w</v>
      </c>
      <c r="X2014" s="128">
        <f>_xll.qlCalendarAdvance(Calendar,X2013,W2014,"f",FALSE)</f>
        <v>53372</v>
      </c>
      <c r="Y2014" s="131">
        <f>_xll.qlCalendarAdvance(Calendar,X2014,NDays&amp;"D")</f>
        <v>53374</v>
      </c>
      <c r="Z2014" s="132">
        <v>1.6648212143340155E-2</v>
      </c>
      <c r="AA2014" s="129">
        <v>1.6595672534496231E-2</v>
      </c>
    </row>
    <row r="2015" spans="19:27" x14ac:dyDescent="0.2">
      <c r="S2015" s="1"/>
      <c r="T2015" s="109"/>
      <c r="W2015" s="130" t="str">
        <f t="shared" si="41"/>
        <v>1w</v>
      </c>
      <c r="X2015" s="128">
        <f>_xll.qlCalendarAdvance(Calendar,X2014,W2015,"f",FALSE)</f>
        <v>53379</v>
      </c>
      <c r="Y2015" s="131">
        <f>_xll.qlCalendarAdvance(Calendar,X2015,NDays&amp;"D")</f>
        <v>53381</v>
      </c>
      <c r="Z2015" s="132">
        <v>1.6651331021266414E-2</v>
      </c>
      <c r="AA2015" s="129">
        <v>1.6598956806923582E-2</v>
      </c>
    </row>
    <row r="2016" spans="19:27" x14ac:dyDescent="0.2">
      <c r="S2016" s="1"/>
      <c r="T2016" s="109"/>
      <c r="W2016" s="130" t="str">
        <f t="shared" si="41"/>
        <v>1w</v>
      </c>
      <c r="X2016" s="128">
        <f>_xll.qlCalendarAdvance(Calendar,X2015,W2016,"f",FALSE)</f>
        <v>53386</v>
      </c>
      <c r="Y2016" s="131">
        <f>_xll.qlCalendarAdvance(Calendar,X2016,NDays&amp;"D")</f>
        <v>53388</v>
      </c>
      <c r="Z2016" s="132">
        <v>1.6657418653838279E-2</v>
      </c>
      <c r="AA2016" s="129">
        <v>1.6602212143324024E-2</v>
      </c>
    </row>
    <row r="2017" spans="19:27" x14ac:dyDescent="0.2">
      <c r="S2017" s="1"/>
      <c r="T2017" s="109"/>
      <c r="W2017" s="130" t="str">
        <f t="shared" si="41"/>
        <v>1w</v>
      </c>
      <c r="X2017" s="128">
        <f>_xll.qlCalendarAdvance(Calendar,X2016,W2017,"f",FALSE)</f>
        <v>53393</v>
      </c>
      <c r="Y2017" s="131">
        <f>_xll.qlCalendarAdvance(Calendar,X2017,NDays&amp;"D")</f>
        <v>53395</v>
      </c>
      <c r="Z2017" s="132">
        <v>1.6660469763814863E-2</v>
      </c>
      <c r="AA2017" s="129">
        <v>1.660543854375085E-2</v>
      </c>
    </row>
    <row r="2018" spans="19:27" x14ac:dyDescent="0.2">
      <c r="S2018" s="1"/>
      <c r="T2018" s="109"/>
      <c r="W2018" s="130" t="str">
        <f t="shared" si="41"/>
        <v>1w</v>
      </c>
      <c r="X2018" s="128">
        <f>_xll.qlCalendarAdvance(Calendar,X2017,W2018,"f",FALSE)</f>
        <v>53400</v>
      </c>
      <c r="Y2018" s="131">
        <f>_xll.qlCalendarAdvance(Calendar,X2018,NDays&amp;"D")</f>
        <v>53402</v>
      </c>
      <c r="Z2018" s="132">
        <v>1.6663491818259851E-2</v>
      </c>
      <c r="AA2018" s="129">
        <v>1.6608636008204058E-2</v>
      </c>
    </row>
    <row r="2019" spans="19:27" x14ac:dyDescent="0.2">
      <c r="S2019" s="1"/>
      <c r="T2019" s="109"/>
      <c r="W2019" s="130" t="str">
        <f t="shared" si="41"/>
        <v>1w</v>
      </c>
      <c r="X2019" s="128">
        <f>_xll.qlCalendarAdvance(Calendar,X2018,W2019,"f",FALSE)</f>
        <v>53407</v>
      </c>
      <c r="Y2019" s="131">
        <f>_xll.qlCalendarAdvance(Calendar,X2019,NDays&amp;"D")</f>
        <v>53413</v>
      </c>
      <c r="Z2019" s="132">
        <v>1.6666997262053965E-2</v>
      </c>
      <c r="AA2019" s="129">
        <v>1.6612387217280755E-2</v>
      </c>
    </row>
    <row r="2020" spans="19:27" x14ac:dyDescent="0.2">
      <c r="S2020" s="1"/>
      <c r="T2020" s="109"/>
      <c r="W2020" s="130" t="str">
        <f t="shared" si="41"/>
        <v>1w</v>
      </c>
      <c r="X2020" s="128">
        <f>_xll.qlCalendarAdvance(Calendar,X2019,W2020,"f",FALSE)</f>
        <v>53414</v>
      </c>
      <c r="Y2020" s="131">
        <f>_xll.qlCalendarAdvance(Calendar,X2020,NDays&amp;"D")</f>
        <v>53416</v>
      </c>
      <c r="Z2020" s="132">
        <v>1.6667673810739685E-2</v>
      </c>
      <c r="AA2020" s="129">
        <v>1.6614944129136333E-2</v>
      </c>
    </row>
    <row r="2021" spans="19:27" x14ac:dyDescent="0.2">
      <c r="S2021" s="1"/>
      <c r="T2021" s="109"/>
      <c r="W2021" s="130" t="str">
        <f t="shared" si="41"/>
        <v>1w</v>
      </c>
      <c r="X2021" s="128">
        <f>_xll.qlCalendarAdvance(Calendar,X2020,W2021,"f",FALSE)</f>
        <v>53421</v>
      </c>
      <c r="Y2021" s="131">
        <f>_xll.qlCalendarAdvance(Calendar,X2021,NDays&amp;"D")</f>
        <v>53423</v>
      </c>
      <c r="Z2021" s="132">
        <v>1.667061451676299E-2</v>
      </c>
      <c r="AA2021" s="129">
        <v>1.6618054785588754E-2</v>
      </c>
    </row>
    <row r="2022" spans="19:27" x14ac:dyDescent="0.2">
      <c r="S2022" s="1"/>
      <c r="T2022" s="109"/>
      <c r="W2022" s="130" t="str">
        <f t="shared" si="41"/>
        <v>1w</v>
      </c>
      <c r="X2022" s="128">
        <f>_xll.qlCalendarAdvance(Calendar,X2021,W2022,"f",FALSE)</f>
        <v>53428</v>
      </c>
      <c r="Y2022" s="131">
        <f>_xll.qlCalendarAdvance(Calendar,X2022,NDays&amp;"D")</f>
        <v>53430</v>
      </c>
      <c r="Z2022" s="132">
        <v>1.6673526170954588E-2</v>
      </c>
      <c r="AA2022" s="129">
        <v>1.6621136506067558E-2</v>
      </c>
    </row>
    <row r="2023" spans="19:27" x14ac:dyDescent="0.2">
      <c r="S2023" s="1"/>
      <c r="T2023" s="109"/>
      <c r="W2023" s="130" t="str">
        <f t="shared" si="41"/>
        <v>1w</v>
      </c>
      <c r="X2023" s="128">
        <f>_xll.qlCalendarAdvance(Calendar,X2022,W2023,"f",FALSE)</f>
        <v>53435</v>
      </c>
      <c r="Y2023" s="131">
        <f>_xll.qlCalendarAdvance(Calendar,X2023,NDays&amp;"D")</f>
        <v>53437</v>
      </c>
      <c r="Z2023" s="132">
        <v>1.6676408773252108E-2</v>
      </c>
      <c r="AA2023" s="129">
        <v>1.6624189290572744E-2</v>
      </c>
    </row>
    <row r="2024" spans="19:27" x14ac:dyDescent="0.2">
      <c r="S2024" s="1"/>
      <c r="T2024" s="109"/>
      <c r="W2024" s="130" t="str">
        <f t="shared" si="41"/>
        <v>1w</v>
      </c>
      <c r="X2024" s="128">
        <f>_xll.qlCalendarAdvance(Calendar,X2023,W2024,"f",FALSE)</f>
        <v>53442</v>
      </c>
      <c r="Y2024" s="131">
        <f>_xll.qlCalendarAdvance(Calendar,X2024,NDays&amp;"D")</f>
        <v>53444</v>
      </c>
      <c r="Z2024" s="132">
        <v>1.6679262323590547E-2</v>
      </c>
      <c r="AA2024" s="129">
        <v>1.6627213139051022E-2</v>
      </c>
    </row>
    <row r="2025" spans="19:27" x14ac:dyDescent="0.2">
      <c r="S2025" s="1"/>
      <c r="T2025" s="109"/>
      <c r="W2025" s="130" t="str">
        <f t="shared" si="41"/>
        <v>1w</v>
      </c>
      <c r="X2025" s="128">
        <f>_xll.qlCalendarAdvance(Calendar,X2024,W2025,"f",FALSE)</f>
        <v>53449</v>
      </c>
      <c r="Y2025" s="131">
        <f>_xll.qlCalendarAdvance(Calendar,X2025,NDays&amp;"D")</f>
        <v>53451</v>
      </c>
      <c r="Z2025" s="132">
        <v>1.6683832638804366E-2</v>
      </c>
      <c r="AA2025" s="129">
        <v>1.6630208051555684E-2</v>
      </c>
    </row>
    <row r="2026" spans="19:27" x14ac:dyDescent="0.2">
      <c r="S2026" s="1"/>
      <c r="T2026" s="109"/>
      <c r="W2026" s="130" t="str">
        <f t="shared" si="41"/>
        <v>1w</v>
      </c>
      <c r="X2026" s="128">
        <f>_xll.qlCalendarAdvance(Calendar,X2025,W2026,"f",FALSE)</f>
        <v>53456</v>
      </c>
      <c r="Y2026" s="131">
        <f>_xll.qlCalendarAdvance(Calendar,X2026,NDays&amp;"D")</f>
        <v>53458</v>
      </c>
      <c r="Z2026" s="132">
        <v>1.6686622246582333E-2</v>
      </c>
      <c r="AA2026" s="129">
        <v>1.6633174028033437E-2</v>
      </c>
    </row>
    <row r="2027" spans="19:27" x14ac:dyDescent="0.2">
      <c r="S2027" s="1"/>
      <c r="T2027" s="109"/>
      <c r="W2027" s="130" t="str">
        <f t="shared" si="41"/>
        <v>1w</v>
      </c>
      <c r="X2027" s="128">
        <f>_xll.qlCalendarAdvance(Calendar,X2026,W2027,"f",FALSE)</f>
        <v>53463</v>
      </c>
      <c r="Y2027" s="131">
        <f>_xll.qlCalendarAdvance(Calendar,X2027,NDays&amp;"D")</f>
        <v>53465</v>
      </c>
      <c r="Z2027" s="132">
        <v>1.6689382798235133E-2</v>
      </c>
      <c r="AA2027" s="129">
        <v>1.6636111068484283E-2</v>
      </c>
    </row>
    <row r="2028" spans="19:27" x14ac:dyDescent="0.2">
      <c r="S2028" s="1"/>
      <c r="T2028" s="109"/>
      <c r="W2028" s="130" t="str">
        <f t="shared" si="41"/>
        <v>1w</v>
      </c>
      <c r="X2028" s="128">
        <f>_xll.qlCalendarAdvance(Calendar,X2027,W2028,"f",FALSE)</f>
        <v>53470</v>
      </c>
      <c r="Y2028" s="131">
        <f>_xll.qlCalendarAdvance(Calendar,X2028,NDays&amp;"D")</f>
        <v>53472</v>
      </c>
      <c r="Z2028" s="132">
        <v>1.6692114293701543E-2</v>
      </c>
      <c r="AA2028" s="129">
        <v>1.6639019172961511E-2</v>
      </c>
    </row>
    <row r="2029" spans="19:27" x14ac:dyDescent="0.2">
      <c r="S2029" s="1"/>
      <c r="T2029" s="109"/>
      <c r="W2029" s="130" t="str">
        <f t="shared" si="41"/>
        <v>1w</v>
      </c>
      <c r="X2029" s="128">
        <f>_xll.qlCalendarAdvance(Calendar,X2028,W2029,"f",FALSE)</f>
        <v>53477</v>
      </c>
      <c r="Y2029" s="131">
        <f>_xll.qlCalendarAdvance(Calendar,X2029,NDays&amp;"D")</f>
        <v>53479</v>
      </c>
      <c r="Z2029" s="132">
        <v>1.669481673291863E-2</v>
      </c>
      <c r="AA2029" s="129">
        <v>1.6641898341411832E-2</v>
      </c>
    </row>
    <row r="2030" spans="19:27" x14ac:dyDescent="0.2">
      <c r="S2030" s="1"/>
      <c r="T2030" s="109"/>
      <c r="W2030" s="130" t="str">
        <f t="shared" si="41"/>
        <v>1w</v>
      </c>
      <c r="X2030" s="128">
        <f>_xll.qlCalendarAdvance(Calendar,X2029,W2030,"f",FALSE)</f>
        <v>53484</v>
      </c>
      <c r="Y2030" s="131">
        <f>_xll.qlCalendarAdvance(Calendar,X2030,NDays&amp;"D")</f>
        <v>53486</v>
      </c>
      <c r="Z2030" s="132">
        <v>1.6697490115824318E-2</v>
      </c>
      <c r="AA2030" s="129">
        <v>1.6644748573888535E-2</v>
      </c>
    </row>
    <row r="2031" spans="19:27" x14ac:dyDescent="0.2">
      <c r="S2031" s="1"/>
      <c r="T2031" s="109"/>
      <c r="W2031" s="130" t="str">
        <f t="shared" si="41"/>
        <v>1w</v>
      </c>
      <c r="X2031" s="128">
        <f>_xll.qlCalendarAdvance(Calendar,X2030,W2031,"f",FALSE)</f>
        <v>53491</v>
      </c>
      <c r="Y2031" s="131">
        <f>_xll.qlCalendarAdvance(Calendar,X2031,NDays&amp;"D")</f>
        <v>53493</v>
      </c>
      <c r="Z2031" s="132">
        <v>1.6700134442359078E-2</v>
      </c>
      <c r="AA2031" s="129">
        <v>1.6647569870311685E-2</v>
      </c>
    </row>
    <row r="2032" spans="19:27" x14ac:dyDescent="0.2">
      <c r="S2032" s="1"/>
      <c r="T2032" s="109"/>
      <c r="W2032" s="130" t="str">
        <f t="shared" si="41"/>
        <v>1w</v>
      </c>
      <c r="X2032" s="128">
        <f>_xll.qlCalendarAdvance(Calendar,X2031,W2032,"f",FALSE)</f>
        <v>53498</v>
      </c>
      <c r="Y2032" s="131">
        <f>_xll.qlCalendarAdvance(Calendar,X2032,NDays&amp;"D")</f>
        <v>53500</v>
      </c>
      <c r="Z2032" s="132">
        <v>1.6702749712461686E-2</v>
      </c>
      <c r="AA2032" s="129">
        <v>1.6650362230707927E-2</v>
      </c>
    </row>
    <row r="2033" spans="19:27" x14ac:dyDescent="0.2">
      <c r="S2033" s="1"/>
      <c r="T2033" s="109"/>
      <c r="W2033" s="130" t="str">
        <f t="shared" si="41"/>
        <v>1w</v>
      </c>
      <c r="X2033" s="128">
        <f>_xll.qlCalendarAdvance(Calendar,X2032,W2033,"f",FALSE)</f>
        <v>53505</v>
      </c>
      <c r="Y2033" s="131">
        <f>_xll.qlCalendarAdvance(Calendar,X2033,NDays&amp;"D")</f>
        <v>53507</v>
      </c>
      <c r="Z2033" s="132">
        <v>1.6703636928383992E-2</v>
      </c>
      <c r="AA2033" s="129">
        <v>1.6653125655103906E-2</v>
      </c>
    </row>
    <row r="2034" spans="19:27" x14ac:dyDescent="0.2">
      <c r="S2034" s="1"/>
      <c r="T2034" s="109"/>
      <c r="W2034" s="130" t="str">
        <f t="shared" si="41"/>
        <v>1w</v>
      </c>
      <c r="X2034" s="128">
        <f>_xll.qlCalendarAdvance(Calendar,X2033,W2034,"f",FALSE)</f>
        <v>53512</v>
      </c>
      <c r="Y2034" s="131">
        <f>_xll.qlCalendarAdvance(Calendar,X2034,NDays&amp;"D")</f>
        <v>53514</v>
      </c>
      <c r="Z2034" s="132">
        <v>1.6707893083139982E-2</v>
      </c>
      <c r="AA2034" s="129">
        <v>1.6655860143472978E-2</v>
      </c>
    </row>
    <row r="2035" spans="19:27" x14ac:dyDescent="0.2">
      <c r="S2035" s="1"/>
      <c r="T2035" s="109"/>
      <c r="W2035" s="130" t="str">
        <f t="shared" si="41"/>
        <v>1w</v>
      </c>
      <c r="X2035" s="128">
        <f>_xll.qlCalendarAdvance(Calendar,X2034,W2035,"f",FALSE)</f>
        <v>53519</v>
      </c>
      <c r="Y2035" s="131">
        <f>_xll.qlCalendarAdvance(Calendar,X2035,NDays&amp;"D")</f>
        <v>53521</v>
      </c>
      <c r="Z2035" s="132">
        <v>1.671042118359832E-2</v>
      </c>
      <c r="AA2035" s="129">
        <v>1.6658565695841787E-2</v>
      </c>
    </row>
    <row r="2036" spans="19:27" x14ac:dyDescent="0.2">
      <c r="S2036" s="1"/>
      <c r="T2036" s="109"/>
      <c r="W2036" s="130" t="str">
        <f t="shared" si="41"/>
        <v>1w</v>
      </c>
      <c r="X2036" s="128">
        <f>_xll.qlCalendarAdvance(Calendar,X2035,W2036,"f",FALSE)</f>
        <v>53526</v>
      </c>
      <c r="Y2036" s="131">
        <f>_xll.qlCalendarAdvance(Calendar,X2036,NDays&amp;"D")</f>
        <v>53528</v>
      </c>
      <c r="Z2036" s="132">
        <v>1.6712920227393201E-2</v>
      </c>
      <c r="AA2036" s="129">
        <v>1.6661242312157043E-2</v>
      </c>
    </row>
    <row r="2037" spans="19:27" x14ac:dyDescent="0.2">
      <c r="S2037" s="1"/>
      <c r="T2037" s="109"/>
      <c r="W2037" s="130" t="str">
        <f t="shared" si="41"/>
        <v>1w</v>
      </c>
      <c r="X2037" s="128">
        <f>_xll.qlCalendarAdvance(Calendar,X2036,W2037,"f",FALSE)</f>
        <v>53533</v>
      </c>
      <c r="Y2037" s="131">
        <f>_xll.qlCalendarAdvance(Calendar,X2037,NDays&amp;"D")</f>
        <v>53535</v>
      </c>
      <c r="Z2037" s="132">
        <v>1.6715390214465095E-2</v>
      </c>
      <c r="AA2037" s="129">
        <v>1.6663889992472036E-2</v>
      </c>
    </row>
    <row r="2038" spans="19:27" x14ac:dyDescent="0.2">
      <c r="S2038" s="1"/>
      <c r="T2038" s="109"/>
      <c r="W2038" s="130" t="str">
        <f t="shared" si="41"/>
        <v>1w</v>
      </c>
      <c r="X2038" s="128">
        <f>_xll.qlCalendarAdvance(Calendar,X2037,W2038,"f",FALSE)</f>
        <v>53540</v>
      </c>
      <c r="Y2038" s="131">
        <f>_xll.qlCalendarAdvance(Calendar,X2038,NDays&amp;"D")</f>
        <v>53542</v>
      </c>
      <c r="Z2038" s="132">
        <v>1.6717831144762132E-2</v>
      </c>
      <c r="AA2038" s="129">
        <v>1.6666508736733476E-2</v>
      </c>
    </row>
    <row r="2039" spans="19:27" x14ac:dyDescent="0.2">
      <c r="S2039" s="1"/>
      <c r="T2039" s="109"/>
      <c r="W2039" s="130" t="str">
        <f t="shared" si="41"/>
        <v>1w</v>
      </c>
      <c r="X2039" s="128">
        <f>_xll.qlCalendarAdvance(Calendar,X2038,W2039,"f",FALSE)</f>
        <v>53547</v>
      </c>
      <c r="Y2039" s="131">
        <f>_xll.qlCalendarAdvance(Calendar,X2039,NDays&amp;"D")</f>
        <v>53549</v>
      </c>
      <c r="Z2039" s="132">
        <v>1.6720243018225635E-2</v>
      </c>
      <c r="AA2039" s="129">
        <v>1.6669098544994654E-2</v>
      </c>
    </row>
    <row r="2040" spans="19:27" x14ac:dyDescent="0.2">
      <c r="S2040" s="1"/>
      <c r="T2040" s="109"/>
      <c r="W2040" s="130" t="str">
        <f t="shared" si="41"/>
        <v>1w</v>
      </c>
      <c r="X2040" s="128">
        <f>_xll.qlCalendarAdvance(Calendar,X2039,W2040,"f",FALSE)</f>
        <v>53554</v>
      </c>
      <c r="Y2040" s="131">
        <f>_xll.qlCalendarAdvance(Calendar,X2040,NDays&amp;"D")</f>
        <v>53556</v>
      </c>
      <c r="Z2040" s="132">
        <v>1.6722625834803728E-2</v>
      </c>
      <c r="AA2040" s="129">
        <v>1.6671659417228923E-2</v>
      </c>
    </row>
    <row r="2041" spans="19:27" x14ac:dyDescent="0.2">
      <c r="S2041" s="1"/>
      <c r="T2041" s="109"/>
      <c r="W2041" s="130" t="str">
        <f t="shared" si="41"/>
        <v>1w</v>
      </c>
      <c r="X2041" s="128">
        <f>_xll.qlCalendarAdvance(Calendar,X2040,W2041,"f",FALSE)</f>
        <v>53561</v>
      </c>
      <c r="Y2041" s="131">
        <f>_xll.qlCalendarAdvance(Calendar,X2041,NDays&amp;"D")</f>
        <v>53563</v>
      </c>
      <c r="Z2041" s="132">
        <v>1.6724979594439436E-2</v>
      </c>
      <c r="AA2041" s="129">
        <v>1.6674191353382994E-2</v>
      </c>
    </row>
    <row r="2042" spans="19:27" x14ac:dyDescent="0.2">
      <c r="S2042" s="1"/>
      <c r="T2042" s="109"/>
      <c r="W2042" s="130" t="str">
        <f t="shared" si="41"/>
        <v>1w</v>
      </c>
      <c r="X2042" s="128">
        <f>_xll.qlCalendarAdvance(Calendar,X2041,W2042,"f",FALSE)</f>
        <v>53568</v>
      </c>
      <c r="Y2042" s="131">
        <f>_xll.qlCalendarAdvance(Calendar,X2042,NDays&amp;"D")</f>
        <v>53570</v>
      </c>
      <c r="Z2042" s="132">
        <v>1.6725658276498682E-2</v>
      </c>
      <c r="AA2042" s="129">
        <v>1.6676694353510157E-2</v>
      </c>
    </row>
    <row r="2043" spans="19:27" x14ac:dyDescent="0.2">
      <c r="S2043" s="1"/>
      <c r="T2043" s="109"/>
      <c r="W2043" s="130" t="str">
        <f t="shared" si="41"/>
        <v>1w</v>
      </c>
      <c r="X2043" s="128">
        <f>_xll.qlCalendarAdvance(Calendar,X2042,W2043,"f",FALSE)</f>
        <v>53575</v>
      </c>
      <c r="Y2043" s="131">
        <f>_xll.qlCalendarAdvance(Calendar,X2043,NDays&amp;"D")</f>
        <v>53577</v>
      </c>
      <c r="Z2043" s="132">
        <v>1.6727959828458688E-2</v>
      </c>
      <c r="AA2043" s="129">
        <v>1.6679168417637058E-2</v>
      </c>
    </row>
    <row r="2044" spans="19:27" x14ac:dyDescent="0.2">
      <c r="S2044" s="1"/>
      <c r="T2044" s="109"/>
      <c r="W2044" s="130" t="str">
        <f t="shared" si="41"/>
        <v>1w</v>
      </c>
      <c r="X2044" s="128">
        <f>_xll.qlCalendarAdvance(Calendar,X2043,W2044,"f",FALSE)</f>
        <v>53582</v>
      </c>
      <c r="Y2044" s="131">
        <f>_xll.qlCalendarAdvance(Calendar,X2044,NDays&amp;"D")</f>
        <v>53584</v>
      </c>
      <c r="Z2044" s="132">
        <v>1.6730232327328207E-2</v>
      </c>
      <c r="AA2044" s="129">
        <v>1.6681613545710405E-2</v>
      </c>
    </row>
    <row r="2045" spans="19:27" x14ac:dyDescent="0.2">
      <c r="S2045" s="1"/>
      <c r="T2045" s="109"/>
      <c r="W2045" s="130" t="str">
        <f t="shared" si="41"/>
        <v>1w</v>
      </c>
      <c r="X2045" s="128">
        <f>_xll.qlCalendarAdvance(Calendar,X2044,W2045,"f",FALSE)</f>
        <v>53589</v>
      </c>
      <c r="Y2045" s="131">
        <f>_xll.qlCalendarAdvance(Calendar,X2045,NDays&amp;"D")</f>
        <v>53591</v>
      </c>
      <c r="Z2045" s="132">
        <v>1.6732475773058933E-2</v>
      </c>
      <c r="AA2045" s="129">
        <v>1.6684029737730199E-2</v>
      </c>
    </row>
    <row r="2046" spans="19:27" x14ac:dyDescent="0.2">
      <c r="S2046" s="1"/>
      <c r="T2046" s="109"/>
      <c r="W2046" s="130" t="str">
        <f t="shared" si="41"/>
        <v>1w</v>
      </c>
      <c r="X2046" s="128">
        <f>_xll.qlCalendarAdvance(Calendar,X2045,W2046,"f",FALSE)</f>
        <v>53596</v>
      </c>
      <c r="Y2046" s="131">
        <f>_xll.qlCalendarAdvance(Calendar,X2046,NDays&amp;"D")</f>
        <v>53598</v>
      </c>
      <c r="Z2046" s="132">
        <v>1.6736312536668348E-2</v>
      </c>
      <c r="AA2046" s="129">
        <v>1.668641699369644E-2</v>
      </c>
    </row>
    <row r="2047" spans="19:27" x14ac:dyDescent="0.2">
      <c r="S2047" s="1"/>
      <c r="T2047" s="109"/>
      <c r="W2047" s="130" t="str">
        <f t="shared" si="41"/>
        <v>1w</v>
      </c>
      <c r="X2047" s="128">
        <f>_xll.qlCalendarAdvance(Calendar,X2046,W2047,"f",FALSE)</f>
        <v>53603</v>
      </c>
      <c r="Y2047" s="131">
        <f>_xll.qlCalendarAdvance(Calendar,X2047,NDays&amp;"D")</f>
        <v>53605</v>
      </c>
      <c r="Z2047" s="132">
        <v>1.6738491953564666E-2</v>
      </c>
      <c r="AA2047" s="129">
        <v>1.6688775313635773E-2</v>
      </c>
    </row>
    <row r="2048" spans="19:27" x14ac:dyDescent="0.2">
      <c r="S2048" s="1"/>
      <c r="T2048" s="109"/>
      <c r="W2048" s="130" t="str">
        <f t="shared" si="41"/>
        <v>1w</v>
      </c>
      <c r="X2048" s="128">
        <f>_xll.qlCalendarAdvance(Calendar,X2047,W2048,"f",FALSE)</f>
        <v>53610</v>
      </c>
      <c r="Y2048" s="131">
        <f>_xll.qlCalendarAdvance(Calendar,X2048,NDays&amp;"D")</f>
        <v>53612</v>
      </c>
      <c r="Z2048" s="132">
        <v>1.6740642313158884E-2</v>
      </c>
      <c r="AA2048" s="129">
        <v>1.6691104697521553E-2</v>
      </c>
    </row>
    <row r="2049" spans="19:27" x14ac:dyDescent="0.2">
      <c r="S2049" s="1"/>
      <c r="T2049" s="109"/>
      <c r="W2049" s="130" t="str">
        <f t="shared" si="41"/>
        <v>1w</v>
      </c>
      <c r="X2049" s="128">
        <f>_xll.qlCalendarAdvance(Calendar,X2048,W2049,"f",FALSE)</f>
        <v>53617</v>
      </c>
      <c r="Y2049" s="131">
        <f>_xll.qlCalendarAdvance(Calendar,X2049,NDays&amp;"D")</f>
        <v>53619</v>
      </c>
      <c r="Z2049" s="132">
        <v>1.6742763615404232E-2</v>
      </c>
      <c r="AA2049" s="129">
        <v>1.669340514540707E-2</v>
      </c>
    </row>
    <row r="2050" spans="19:27" x14ac:dyDescent="0.2">
      <c r="S2050" s="1"/>
      <c r="T2050" s="109"/>
      <c r="W2050" s="130" t="str">
        <f t="shared" si="41"/>
        <v>1w</v>
      </c>
      <c r="X2050" s="128">
        <f>_xll.qlCalendarAdvance(Calendar,X2049,W2050,"f",FALSE)</f>
        <v>53624</v>
      </c>
      <c r="Y2050" s="131">
        <f>_xll.qlCalendarAdvance(Calendar,X2050,NDays&amp;"D")</f>
        <v>53626</v>
      </c>
      <c r="Z2050" s="132">
        <v>1.6744855860253944E-2</v>
      </c>
      <c r="AA2050" s="129">
        <v>1.6695676657185743E-2</v>
      </c>
    </row>
    <row r="2051" spans="19:27" x14ac:dyDescent="0.2">
      <c r="S2051" s="1"/>
      <c r="T2051" s="109"/>
      <c r="W2051" s="130" t="str">
        <f t="shared" si="41"/>
        <v>1w</v>
      </c>
      <c r="X2051" s="128">
        <f>_xll.qlCalendarAdvance(Calendar,X2050,W2051,"f",FALSE)</f>
        <v>53631</v>
      </c>
      <c r="Y2051" s="131">
        <f>_xll.qlCalendarAdvance(Calendar,X2051,NDays&amp;"D")</f>
        <v>53633</v>
      </c>
      <c r="Z2051" s="132">
        <v>1.6746919047657845E-2</v>
      </c>
      <c r="AA2051" s="129">
        <v>1.6697919232937508E-2</v>
      </c>
    </row>
    <row r="2052" spans="19:27" x14ac:dyDescent="0.2">
      <c r="S2052" s="1"/>
      <c r="T2052" s="109"/>
      <c r="W2052" s="130" t="str">
        <f t="shared" si="41"/>
        <v>1w</v>
      </c>
      <c r="X2052" s="128">
        <f>_xll.qlCalendarAdvance(Calendar,X2051,W2052,"f",FALSE)</f>
        <v>53638</v>
      </c>
      <c r="Y2052" s="131">
        <f>_xll.qlCalendarAdvance(Calendar,X2052,NDays&amp;"D")</f>
        <v>53640</v>
      </c>
      <c r="Z2052" s="132">
        <v>1.6748953177570865E-2</v>
      </c>
      <c r="AA2052" s="129">
        <v>1.670013287263572E-2</v>
      </c>
    </row>
    <row r="2053" spans="19:27" x14ac:dyDescent="0.2">
      <c r="S2053" s="1"/>
      <c r="T2053" s="109"/>
      <c r="W2053" s="130" t="str">
        <f t="shared" si="41"/>
        <v>1w</v>
      </c>
      <c r="X2053" s="128">
        <f>_xll.qlCalendarAdvance(Calendar,X2052,W2053,"f",FALSE)</f>
        <v>53645</v>
      </c>
      <c r="Y2053" s="131">
        <f>_xll.qlCalendarAdvance(Calendar,X2053,NDays&amp;"D")</f>
        <v>53647</v>
      </c>
      <c r="Z2053" s="132">
        <v>1.6750958249946234E-2</v>
      </c>
      <c r="AA2053" s="129">
        <v>1.6702317576253733E-2</v>
      </c>
    </row>
    <row r="2054" spans="19:27" x14ac:dyDescent="0.2">
      <c r="S2054" s="1"/>
      <c r="T2054" s="109"/>
      <c r="W2054" s="130" t="str">
        <f t="shared" si="41"/>
        <v>1w</v>
      </c>
      <c r="X2054" s="128">
        <f>_xll.qlCalendarAdvance(Calendar,X2053,W2054,"f",FALSE)</f>
        <v>53652</v>
      </c>
      <c r="Y2054" s="131">
        <f>_xll.qlCalendarAdvance(Calendar,X2054,NDays&amp;"D")</f>
        <v>53654</v>
      </c>
      <c r="Z2054" s="132">
        <v>1.6752934264738027E-2</v>
      </c>
      <c r="AA2054" s="129">
        <v>1.6704473343844839E-2</v>
      </c>
    </row>
    <row r="2055" spans="19:27" x14ac:dyDescent="0.2">
      <c r="S2055" s="1"/>
      <c r="T2055" s="109"/>
      <c r="W2055" s="130" t="str">
        <f t="shared" si="41"/>
        <v>1w</v>
      </c>
      <c r="X2055" s="128">
        <f>_xll.qlCalendarAdvance(Calendar,X2054,W2055,"f",FALSE)</f>
        <v>53659</v>
      </c>
      <c r="Y2055" s="131">
        <f>_xll.qlCalendarAdvance(Calendar,X2055,NDays&amp;"D")</f>
        <v>53661</v>
      </c>
      <c r="Z2055" s="132">
        <v>1.6752788975948896E-2</v>
      </c>
      <c r="AA2055" s="129">
        <v>1.6706600175382391E-2</v>
      </c>
    </row>
    <row r="2056" spans="19:27" x14ac:dyDescent="0.2">
      <c r="S2056" s="1"/>
      <c r="T2056" s="109"/>
      <c r="W2056" s="130" t="str">
        <f t="shared" si="41"/>
        <v>1w</v>
      </c>
      <c r="X2056" s="128">
        <f>_xll.qlCalendarAdvance(Calendar,X2055,W2056,"f",FALSE)</f>
        <v>53666</v>
      </c>
      <c r="Y2056" s="131">
        <f>_xll.qlCalendarAdvance(Calendar,X2056,NDays&amp;"D")</f>
        <v>53668</v>
      </c>
      <c r="Z2056" s="132">
        <v>1.6754714819860794E-2</v>
      </c>
      <c r="AA2056" s="129">
        <v>1.670869807086639E-2</v>
      </c>
    </row>
    <row r="2057" spans="19:27" x14ac:dyDescent="0.2">
      <c r="S2057" s="1"/>
      <c r="T2057" s="109"/>
      <c r="W2057" s="130" t="str">
        <f t="shared" si="41"/>
        <v>1w</v>
      </c>
      <c r="X2057" s="128">
        <f>_xll.qlCalendarAdvance(Calendar,X2056,W2057,"f",FALSE)</f>
        <v>53673</v>
      </c>
      <c r="Y2057" s="131">
        <f>_xll.qlCalendarAdvance(Calendar,X2057,NDays&amp;"D")</f>
        <v>53675</v>
      </c>
      <c r="Z2057" s="132">
        <v>1.6756611611429051E-2</v>
      </c>
      <c r="AA2057" s="129">
        <v>1.6710767030243545E-2</v>
      </c>
    </row>
    <row r="2058" spans="19:27" x14ac:dyDescent="0.2">
      <c r="S2058" s="1"/>
      <c r="T2058" s="109"/>
      <c r="W2058" s="130" t="str">
        <f t="shared" si="41"/>
        <v>1w</v>
      </c>
      <c r="X2058" s="128">
        <f>_xll.qlCalendarAdvance(Calendar,X2057,W2058,"f",FALSE)</f>
        <v>53680</v>
      </c>
      <c r="Y2058" s="131">
        <f>_xll.qlCalendarAdvance(Calendar,X2058,NDays&amp;"D")</f>
        <v>53682</v>
      </c>
      <c r="Z2058" s="132">
        <v>1.6758479350609257E-2</v>
      </c>
      <c r="AA2058" s="129">
        <v>1.6712807053593792E-2</v>
      </c>
    </row>
    <row r="2059" spans="19:27" x14ac:dyDescent="0.2">
      <c r="S2059" s="1"/>
      <c r="T2059" s="109"/>
      <c r="W2059" s="130" t="str">
        <f t="shared" si="41"/>
        <v>1w</v>
      </c>
      <c r="X2059" s="128">
        <f>_xll.qlCalendarAdvance(Calendar,X2058,W2059,"f",FALSE)</f>
        <v>53688</v>
      </c>
      <c r="Y2059" s="131">
        <f>_xll.qlCalendarAdvance(Calendar,X2059,NDays&amp;"D")</f>
        <v>53692</v>
      </c>
      <c r="Z2059" s="132">
        <v>1.6760067597163027E-2</v>
      </c>
      <c r="AA2059" s="129">
        <v>1.6715141452880999E-2</v>
      </c>
    </row>
    <row r="2060" spans="19:27" x14ac:dyDescent="0.2">
      <c r="S2060" s="1"/>
      <c r="T2060" s="109"/>
      <c r="W2060" s="130" t="str">
        <f t="shared" si="41"/>
        <v>1w</v>
      </c>
      <c r="X2060" s="128">
        <f>_xll.qlCalendarAdvance(Calendar,X2059,W2060,"f",FALSE)</f>
        <v>53695</v>
      </c>
      <c r="Y2060" s="131">
        <f>_xll.qlCalendarAdvance(Calendar,X2060,NDays&amp;"D")</f>
        <v>53699</v>
      </c>
      <c r="Z2060" s="132">
        <v>1.6763406860488311E-2</v>
      </c>
      <c r="AA2060" s="129">
        <v>1.6716585257077199E-2</v>
      </c>
    </row>
    <row r="2061" spans="19:27" x14ac:dyDescent="0.2">
      <c r="S2061" s="1"/>
      <c r="T2061" s="109"/>
      <c r="W2061" s="130" t="str">
        <f t="shared" si="41"/>
        <v>1w</v>
      </c>
      <c r="X2061" s="128">
        <f>_xll.qlCalendarAdvance(Calendar,X2060,W2061,"f",FALSE)</f>
        <v>53702</v>
      </c>
      <c r="Y2061" s="131">
        <f>_xll.qlCalendarAdvance(Calendar,X2061,NDays&amp;"D")</f>
        <v>53706</v>
      </c>
      <c r="Z2061" s="132">
        <v>1.6765683355508449E-2</v>
      </c>
      <c r="AA2061" s="129">
        <v>1.6718530024144584E-2</v>
      </c>
    </row>
    <row r="2062" spans="19:27" x14ac:dyDescent="0.2">
      <c r="S2062" s="1"/>
      <c r="T2062" s="109"/>
      <c r="W2062" s="130" t="str">
        <f t="shared" si="41"/>
        <v>1w</v>
      </c>
      <c r="X2062" s="128">
        <f>_xll.qlCalendarAdvance(Calendar,X2061,W2062,"f",FALSE)</f>
        <v>53709</v>
      </c>
      <c r="Y2062" s="131">
        <f>_xll.qlCalendarAdvance(Calendar,X2062,NDays&amp;"D")</f>
        <v>53713</v>
      </c>
      <c r="Z2062" s="132">
        <v>1.6766910081739861E-2</v>
      </c>
      <c r="AA2062" s="129">
        <v>1.6720445857876243E-2</v>
      </c>
    </row>
    <row r="2063" spans="19:27" x14ac:dyDescent="0.2">
      <c r="S2063" s="1"/>
      <c r="T2063" s="109"/>
      <c r="W2063" s="130" t="str">
        <f t="shared" si="41"/>
        <v>1w</v>
      </c>
      <c r="X2063" s="128">
        <f>_xll.qlCalendarAdvance(Calendar,X2062,W2063,"f",FALSE)</f>
        <v>53716</v>
      </c>
      <c r="Y2063" s="131">
        <f>_xll.qlCalendarAdvance(Calendar,X2063,NDays&amp;"D")</f>
        <v>53720</v>
      </c>
      <c r="Z2063" s="132">
        <v>1.6768618111468063E-2</v>
      </c>
      <c r="AA2063" s="129">
        <v>1.6722332758112302E-2</v>
      </c>
    </row>
    <row r="2064" spans="19:27" x14ac:dyDescent="0.2">
      <c r="S2064" s="1"/>
      <c r="T2064" s="109"/>
      <c r="W2064" s="130" t="str">
        <f t="shared" si="41"/>
        <v>1w</v>
      </c>
      <c r="X2064" s="128">
        <f>_xll.qlCalendarAdvance(Calendar,X2063,W2064,"f",FALSE)</f>
        <v>53723</v>
      </c>
      <c r="Y2064" s="131">
        <f>_xll.qlCalendarAdvance(Calendar,X2064,NDays&amp;"D")</f>
        <v>53727</v>
      </c>
      <c r="Z2064" s="132">
        <v>1.6770297087214187E-2</v>
      </c>
      <c r="AA2064" s="129">
        <v>1.6724190724932697E-2</v>
      </c>
    </row>
    <row r="2065" spans="19:27" x14ac:dyDescent="0.2">
      <c r="S2065" s="1"/>
      <c r="T2065" s="109"/>
      <c r="W2065" s="130" t="str">
        <f t="shared" si="41"/>
        <v>1w</v>
      </c>
      <c r="X2065" s="128">
        <f>_xll.qlCalendarAdvance(Calendar,X2064,W2065,"f",FALSE)</f>
        <v>53730</v>
      </c>
      <c r="Y2065" s="131">
        <f>_xll.qlCalendarAdvance(Calendar,X2065,NDays&amp;"D")</f>
        <v>53734</v>
      </c>
      <c r="Z2065" s="132">
        <v>1.6771947008942221E-2</v>
      </c>
      <c r="AA2065" s="129">
        <v>1.6726019758417365E-2</v>
      </c>
    </row>
    <row r="2066" spans="19:27" x14ac:dyDescent="0.2">
      <c r="S2066" s="1"/>
      <c r="T2066" s="109"/>
      <c r="W2066" s="130" t="str">
        <f t="shared" si="41"/>
        <v>1w</v>
      </c>
      <c r="X2066" s="128">
        <f>_xll.qlCalendarAdvance(Calendar,X2065,W2066,"f",FALSE)</f>
        <v>53737</v>
      </c>
      <c r="Y2066" s="131">
        <f>_xll.qlCalendarAdvance(Calendar,X2066,NDays&amp;"D")</f>
        <v>53741</v>
      </c>
      <c r="Z2066" s="132">
        <v>1.6773567876616147E-2</v>
      </c>
      <c r="AA2066" s="129">
        <v>1.6727819858566306E-2</v>
      </c>
    </row>
    <row r="2067" spans="19:27" x14ac:dyDescent="0.2">
      <c r="S2067" s="1"/>
      <c r="T2067" s="109"/>
      <c r="W2067" s="130" t="str">
        <f t="shared" si="41"/>
        <v>1w</v>
      </c>
      <c r="X2067" s="128">
        <f>_xll.qlCalendarAdvance(Calendar,X2066,W2067,"f",FALSE)</f>
        <v>53744</v>
      </c>
      <c r="Y2067" s="131">
        <f>_xll.qlCalendarAdvance(Calendar,X2067,NDays&amp;"D")</f>
        <v>53748</v>
      </c>
      <c r="Z2067" s="132">
        <v>1.6775159690200828E-2</v>
      </c>
      <c r="AA2067" s="129">
        <v>1.6729591025299584E-2</v>
      </c>
    </row>
    <row r="2068" spans="19:27" x14ac:dyDescent="0.2">
      <c r="S2068" s="1"/>
      <c r="T2068" s="109"/>
      <c r="W2068" s="130" t="str">
        <f t="shared" si="41"/>
        <v>1w</v>
      </c>
      <c r="X2068" s="128">
        <f>_xll.qlCalendarAdvance(Calendar,X2067,W2068,"f",FALSE)</f>
        <v>53751</v>
      </c>
      <c r="Y2068" s="131">
        <f>_xll.qlCalendarAdvance(Calendar,X2068,NDays&amp;"D")</f>
        <v>53755</v>
      </c>
      <c r="Z2068" s="132">
        <v>1.677721881631675E-2</v>
      </c>
      <c r="AA2068" s="129">
        <v>1.6731333258537262E-2</v>
      </c>
    </row>
    <row r="2069" spans="19:27" x14ac:dyDescent="0.2">
      <c r="S2069" s="1"/>
      <c r="T2069" s="109"/>
      <c r="W2069" s="130" t="str">
        <f t="shared" ref="W2069:W2132" si="42">W2068</f>
        <v>1w</v>
      </c>
      <c r="X2069" s="128">
        <f>_xll.qlCalendarAdvance(Calendar,X2068,W2069,"f",FALSE)</f>
        <v>53758</v>
      </c>
      <c r="Y2069" s="131">
        <f>_xll.qlCalendarAdvance(Calendar,X2069,NDays&amp;"D")</f>
        <v>53762</v>
      </c>
      <c r="Z2069" s="132">
        <v>1.6778750517546081E-2</v>
      </c>
      <c r="AA2069" s="129">
        <v>1.6733046558279341E-2</v>
      </c>
    </row>
    <row r="2070" spans="19:27" x14ac:dyDescent="0.2">
      <c r="S2070" s="1"/>
      <c r="T2070" s="109"/>
      <c r="W2070" s="130" t="str">
        <f t="shared" si="42"/>
        <v>1w</v>
      </c>
      <c r="X2070" s="128">
        <f>_xll.qlCalendarAdvance(Calendar,X2069,W2070,"f",FALSE)</f>
        <v>53765</v>
      </c>
      <c r="Y2070" s="131">
        <f>_xll.qlCalendarAdvance(Calendar,X2070,NDays&amp;"D")</f>
        <v>53769</v>
      </c>
      <c r="Z2070" s="132">
        <v>1.6780253163237436E-2</v>
      </c>
      <c r="AA2070" s="129">
        <v>1.6734730924765628E-2</v>
      </c>
    </row>
    <row r="2071" spans="19:27" x14ac:dyDescent="0.2">
      <c r="S2071" s="1"/>
      <c r="T2071" s="109"/>
      <c r="W2071" s="130" t="str">
        <f t="shared" si="42"/>
        <v>1w</v>
      </c>
      <c r="X2071" s="128">
        <f>_xll.qlCalendarAdvance(Calendar,X2070,W2071,"f",FALSE)</f>
        <v>53772</v>
      </c>
      <c r="Y2071" s="131">
        <f>_xll.qlCalendarAdvance(Calendar,X2071,NDays&amp;"D")</f>
        <v>53776</v>
      </c>
      <c r="Z2071" s="132">
        <v>1.6781726753355191E-2</v>
      </c>
      <c r="AA2071" s="129">
        <v>1.6736386357836253E-2</v>
      </c>
    </row>
    <row r="2072" spans="19:27" x14ac:dyDescent="0.2">
      <c r="S2072" s="1"/>
      <c r="T2072" s="109"/>
      <c r="W2072" s="130" t="str">
        <f t="shared" si="42"/>
        <v>1w</v>
      </c>
      <c r="X2072" s="128">
        <f>_xll.qlCalendarAdvance(Calendar,X2071,W2072,"f",FALSE)</f>
        <v>53779</v>
      </c>
      <c r="Y2072" s="131">
        <f>_xll.qlCalendarAdvance(Calendar,X2072,NDays&amp;"D")</f>
        <v>53783</v>
      </c>
      <c r="Z2072" s="132">
        <v>1.6782682945568079E-2</v>
      </c>
      <c r="AA2072" s="129">
        <v>1.6738012857331341E-2</v>
      </c>
    </row>
    <row r="2073" spans="19:27" x14ac:dyDescent="0.2">
      <c r="S2073" s="1"/>
      <c r="T2073" s="109"/>
      <c r="W2073" s="130" t="str">
        <f t="shared" si="42"/>
        <v>1w</v>
      </c>
      <c r="X2073" s="128">
        <f>_xll.qlCalendarAdvance(Calendar,X2072,W2073,"f",FALSE)</f>
        <v>53786</v>
      </c>
      <c r="Y2073" s="131">
        <f>_xll.qlCalendarAdvance(Calendar,X2073,NDays&amp;"D")</f>
        <v>53790</v>
      </c>
      <c r="Z2073" s="132">
        <v>1.6784100433900506E-2</v>
      </c>
      <c r="AA2073" s="129">
        <v>1.6739610423730511E-2</v>
      </c>
    </row>
    <row r="2074" spans="19:27" x14ac:dyDescent="0.2">
      <c r="S2074" s="1"/>
      <c r="T2074" s="109"/>
      <c r="W2074" s="130" t="str">
        <f t="shared" si="42"/>
        <v>1w</v>
      </c>
      <c r="X2074" s="128">
        <f>_xll.qlCalendarAdvance(Calendar,X2073,W2074,"f",FALSE)</f>
        <v>53793</v>
      </c>
      <c r="Y2074" s="131">
        <f>_xll.qlCalendarAdvance(Calendar,X2074,NDays&amp;"D")</f>
        <v>53799</v>
      </c>
      <c r="Z2074" s="132">
        <v>1.6785880226830682E-2</v>
      </c>
      <c r="AA2074" s="129">
        <v>1.6741621922937711E-2</v>
      </c>
    </row>
    <row r="2075" spans="19:27" x14ac:dyDescent="0.2">
      <c r="S2075" s="1"/>
      <c r="T2075" s="109"/>
      <c r="W2075" s="130" t="str">
        <f t="shared" si="42"/>
        <v>1w</v>
      </c>
      <c r="X2075" s="128">
        <f>_xll.qlCalendarAdvance(Calendar,X2074,W2075,"f",FALSE)</f>
        <v>53800</v>
      </c>
      <c r="Y2075" s="131">
        <f>_xll.qlCalendarAdvance(Calendar,X2075,NDays&amp;"D")</f>
        <v>53804</v>
      </c>
      <c r="Z2075" s="132">
        <v>1.6786848247571172E-2</v>
      </c>
      <c r="AA2075" s="129">
        <v>1.674271875588218E-2</v>
      </c>
    </row>
    <row r="2076" spans="19:27" x14ac:dyDescent="0.2">
      <c r="S2076" s="1"/>
      <c r="T2076" s="109"/>
      <c r="W2076" s="130" t="str">
        <f t="shared" si="42"/>
        <v>1w</v>
      </c>
      <c r="X2076" s="128">
        <f>_xll.qlCalendarAdvance(Calendar,X2075,W2076,"f",FALSE)</f>
        <v>53807</v>
      </c>
      <c r="Y2076" s="131">
        <f>_xll.qlCalendarAdvance(Calendar,X2076,NDays&amp;"D")</f>
        <v>53811</v>
      </c>
      <c r="Z2076" s="132">
        <v>1.6788178572848804E-2</v>
      </c>
      <c r="AA2076" s="129">
        <v>1.6744229521954423E-2</v>
      </c>
    </row>
    <row r="2077" spans="19:27" x14ac:dyDescent="0.2">
      <c r="S2077" s="1"/>
      <c r="T2077" s="109"/>
      <c r="W2077" s="130" t="str">
        <f t="shared" si="42"/>
        <v>1w</v>
      </c>
      <c r="X2077" s="128">
        <f>_xll.qlCalendarAdvance(Calendar,X2076,W2077,"f",FALSE)</f>
        <v>53814</v>
      </c>
      <c r="Y2077" s="131">
        <f>_xll.qlCalendarAdvance(Calendar,X2077,NDays&amp;"D")</f>
        <v>53818</v>
      </c>
      <c r="Z2077" s="132">
        <v>1.6789958125227131E-2</v>
      </c>
      <c r="AA2077" s="129">
        <v>1.6745711354611004E-2</v>
      </c>
    </row>
    <row r="2078" spans="19:27" x14ac:dyDescent="0.2">
      <c r="S2078" s="1"/>
      <c r="T2078" s="109"/>
      <c r="W2078" s="130" t="str">
        <f t="shared" si="42"/>
        <v>1w</v>
      </c>
      <c r="X2078" s="128">
        <f>_xll.qlCalendarAdvance(Calendar,X2077,W2078,"f",FALSE)</f>
        <v>53821</v>
      </c>
      <c r="Y2078" s="131">
        <f>_xll.qlCalendarAdvance(Calendar,X2078,NDays&amp;"D")</f>
        <v>53825</v>
      </c>
      <c r="Z2078" s="132">
        <v>1.6791228325449523E-2</v>
      </c>
      <c r="AA2078" s="129">
        <v>1.6747164253771984E-2</v>
      </c>
    </row>
    <row r="2079" spans="19:27" x14ac:dyDescent="0.2">
      <c r="S2079" s="1"/>
      <c r="T2079" s="109"/>
      <c r="W2079" s="130" t="str">
        <f t="shared" si="42"/>
        <v>1w</v>
      </c>
      <c r="X2079" s="128">
        <f>_xll.qlCalendarAdvance(Calendar,X2078,W2079,"f",FALSE)</f>
        <v>53828</v>
      </c>
      <c r="Y2079" s="131">
        <f>_xll.qlCalendarAdvance(Calendar,X2079,NDays&amp;"D")</f>
        <v>53832</v>
      </c>
      <c r="Z2079" s="132">
        <v>1.6792469469855905E-2</v>
      </c>
      <c r="AA2079" s="129">
        <v>1.6748588219517302E-2</v>
      </c>
    </row>
    <row r="2080" spans="19:27" x14ac:dyDescent="0.2">
      <c r="S2080" s="1"/>
      <c r="T2080" s="109"/>
      <c r="W2080" s="130" t="str">
        <f t="shared" si="42"/>
        <v>1w</v>
      </c>
      <c r="X2080" s="128">
        <f>_xll.qlCalendarAdvance(Calendar,X2079,W2080,"f",FALSE)</f>
        <v>53835</v>
      </c>
      <c r="Y2080" s="131">
        <f>_xll.qlCalendarAdvance(Calendar,X2080,NDays&amp;"D")</f>
        <v>53839</v>
      </c>
      <c r="Z2080" s="132">
        <v>1.6793681558416731E-2</v>
      </c>
      <c r="AA2080" s="129">
        <v>1.6749983251926892E-2</v>
      </c>
    </row>
    <row r="2081" spans="19:27" x14ac:dyDescent="0.2">
      <c r="S2081" s="1"/>
      <c r="T2081" s="109"/>
      <c r="W2081" s="130" t="str">
        <f t="shared" si="42"/>
        <v>1w</v>
      </c>
      <c r="X2081" s="128">
        <f>_xll.qlCalendarAdvance(Calendar,X2080,W2081,"f",FALSE)</f>
        <v>53842</v>
      </c>
      <c r="Y2081" s="131">
        <f>_xll.qlCalendarAdvance(Calendar,X2081,NDays&amp;"D")</f>
        <v>53846</v>
      </c>
      <c r="Z2081" s="132">
        <v>1.6794864591106802E-2</v>
      </c>
      <c r="AA2081" s="129">
        <v>1.6751349350840883E-2</v>
      </c>
    </row>
    <row r="2082" spans="19:27" x14ac:dyDescent="0.2">
      <c r="S2082" s="1"/>
      <c r="T2082" s="109"/>
      <c r="W2082" s="130" t="str">
        <f t="shared" si="42"/>
        <v>1w</v>
      </c>
      <c r="X2082" s="128">
        <f>_xll.qlCalendarAdvance(Calendar,X2081,W2082,"f",FALSE)</f>
        <v>53849</v>
      </c>
      <c r="Y2082" s="131">
        <f>_xll.qlCalendarAdvance(Calendar,X2082,NDays&amp;"D")</f>
        <v>53853</v>
      </c>
      <c r="Z2082" s="132">
        <v>1.6796018567899185E-2</v>
      </c>
      <c r="AA2082" s="129">
        <v>1.675268651633921E-2</v>
      </c>
    </row>
    <row r="2083" spans="19:27" x14ac:dyDescent="0.2">
      <c r="S2083" s="1"/>
      <c r="T2083" s="109"/>
      <c r="W2083" s="130" t="str">
        <f t="shared" si="42"/>
        <v>1w</v>
      </c>
      <c r="X2083" s="128">
        <f>_xll.qlCalendarAdvance(Calendar,X2082,W2083,"f",FALSE)</f>
        <v>53856</v>
      </c>
      <c r="Y2083" s="131">
        <f>_xll.qlCalendarAdvance(Calendar,X2083,NDays&amp;"D")</f>
        <v>53860</v>
      </c>
      <c r="Z2083" s="132">
        <v>1.6797143488769553E-2</v>
      </c>
      <c r="AA2083" s="129">
        <v>1.6753994748581746E-2</v>
      </c>
    </row>
    <row r="2084" spans="19:27" x14ac:dyDescent="0.2">
      <c r="S2084" s="1"/>
      <c r="T2084" s="109"/>
      <c r="W2084" s="130" t="str">
        <f t="shared" si="42"/>
        <v>1w</v>
      </c>
      <c r="X2084" s="128">
        <f>_xll.qlCalendarAdvance(Calendar,X2083,W2084,"f",FALSE)</f>
        <v>53863</v>
      </c>
      <c r="Y2084" s="131">
        <f>_xll.qlCalendarAdvance(Calendar,X2084,NDays&amp;"D")</f>
        <v>53867</v>
      </c>
      <c r="Z2084" s="132">
        <v>1.6798239353690101E-2</v>
      </c>
      <c r="AA2084" s="129">
        <v>1.6755274047328683E-2</v>
      </c>
    </row>
    <row r="2085" spans="19:27" x14ac:dyDescent="0.2">
      <c r="S2085" s="1"/>
      <c r="T2085" s="109"/>
      <c r="W2085" s="130" t="str">
        <f t="shared" si="42"/>
        <v>1w</v>
      </c>
      <c r="X2085" s="128">
        <f>_xll.qlCalendarAdvance(Calendar,X2084,W2085,"f",FALSE)</f>
        <v>53870</v>
      </c>
      <c r="Y2085" s="131">
        <f>_xll.qlCalendarAdvance(Calendar,X2085,NDays&amp;"D")</f>
        <v>53874</v>
      </c>
      <c r="Z2085" s="132">
        <v>1.6799306162638236E-2</v>
      </c>
      <c r="AA2085" s="129">
        <v>1.6756524412659957E-2</v>
      </c>
    </row>
    <row r="2086" spans="19:27" x14ac:dyDescent="0.2">
      <c r="S2086" s="1"/>
      <c r="T2086" s="109"/>
      <c r="W2086" s="130" t="str">
        <f t="shared" si="42"/>
        <v>1w</v>
      </c>
      <c r="X2086" s="128">
        <f>_xll.qlCalendarAdvance(Calendar,X2085,W2086,"f",FALSE)</f>
        <v>53877</v>
      </c>
      <c r="Y2086" s="131">
        <f>_xll.qlCalendarAdvance(Calendar,X2086,NDays&amp;"D")</f>
        <v>53881</v>
      </c>
      <c r="Z2086" s="132">
        <v>1.6800343915590505E-2</v>
      </c>
      <c r="AA2086" s="129">
        <v>1.6757745844575567E-2</v>
      </c>
    </row>
    <row r="2087" spans="19:27" x14ac:dyDescent="0.2">
      <c r="S2087" s="1"/>
      <c r="T2087" s="109"/>
      <c r="W2087" s="130" t="str">
        <f t="shared" si="42"/>
        <v>1w</v>
      </c>
      <c r="X2087" s="128">
        <f>_xll.qlCalendarAdvance(Calendar,X2086,W2087,"f",FALSE)</f>
        <v>53884</v>
      </c>
      <c r="Y2087" s="131">
        <f>_xll.qlCalendarAdvance(Calendar,X2087,NDays&amp;"D")</f>
        <v>53888</v>
      </c>
      <c r="Z2087" s="132">
        <v>1.6801352612524308E-2</v>
      </c>
      <c r="AA2087" s="129">
        <v>1.6758938342995577E-2</v>
      </c>
    </row>
    <row r="2088" spans="19:27" x14ac:dyDescent="0.2">
      <c r="S2088" s="1"/>
      <c r="T2088" s="109"/>
      <c r="W2088" s="130" t="str">
        <f t="shared" si="42"/>
        <v>1w</v>
      </c>
      <c r="X2088" s="128">
        <f>_xll.qlCalendarAdvance(Calendar,X2087,W2088,"f",FALSE)</f>
        <v>53891</v>
      </c>
      <c r="Y2088" s="131">
        <f>_xll.qlCalendarAdvance(Calendar,X2088,NDays&amp;"D")</f>
        <v>53895</v>
      </c>
      <c r="Z2088" s="132">
        <v>1.6802332253414456E-2</v>
      </c>
      <c r="AA2088" s="129">
        <v>1.6760101908239733E-2</v>
      </c>
    </row>
    <row r="2089" spans="19:27" x14ac:dyDescent="0.2">
      <c r="S2089" s="1"/>
      <c r="T2089" s="109"/>
      <c r="W2089" s="130" t="str">
        <f t="shared" si="42"/>
        <v>1w</v>
      </c>
      <c r="X2089" s="128">
        <f>_xll.qlCalendarAdvance(Calendar,X2088,W2089,"f",FALSE)</f>
        <v>53898</v>
      </c>
      <c r="Y2089" s="131">
        <f>_xll.qlCalendarAdvance(Calendar,X2089,NDays&amp;"D")</f>
        <v>53902</v>
      </c>
      <c r="Z2089" s="132">
        <v>1.68032828382427E-2</v>
      </c>
      <c r="AA2089" s="129">
        <v>1.6761236539908353E-2</v>
      </c>
    </row>
    <row r="2090" spans="19:27" x14ac:dyDescent="0.2">
      <c r="S2090" s="1"/>
      <c r="T2090" s="109"/>
      <c r="W2090" s="130" t="str">
        <f t="shared" si="42"/>
        <v>1w</v>
      </c>
      <c r="X2090" s="128">
        <f>_xll.qlCalendarAdvance(Calendar,X2089,W2090,"f",FALSE)</f>
        <v>53905</v>
      </c>
      <c r="Y2090" s="131">
        <f>_xll.qlCalendarAdvance(Calendar,X2090,NDays&amp;"D")</f>
        <v>53909</v>
      </c>
      <c r="Z2090" s="132">
        <v>1.680420436698558E-2</v>
      </c>
      <c r="AA2090" s="129">
        <v>1.6762342238081374E-2</v>
      </c>
    </row>
    <row r="2091" spans="19:27" x14ac:dyDescent="0.2">
      <c r="S2091" s="1"/>
      <c r="T2091" s="109"/>
      <c r="W2091" s="130" t="str">
        <f t="shared" si="42"/>
        <v>1w</v>
      </c>
      <c r="X2091" s="128">
        <f>_xll.qlCalendarAdvance(Calendar,X2090,W2091,"f",FALSE)</f>
        <v>53912</v>
      </c>
      <c r="Y2091" s="131">
        <f>_xll.qlCalendarAdvance(Calendar,X2091,NDays&amp;"D")</f>
        <v>53916</v>
      </c>
      <c r="Z2091" s="132">
        <v>1.6805096839626586E-2</v>
      </c>
      <c r="AA2091" s="129">
        <v>1.6763419002998603E-2</v>
      </c>
    </row>
    <row r="2092" spans="19:27" x14ac:dyDescent="0.2">
      <c r="S2092" s="1"/>
      <c r="T2092" s="109"/>
      <c r="W2092" s="130" t="str">
        <f t="shared" si="42"/>
        <v>1w</v>
      </c>
      <c r="X2092" s="128">
        <f>_xll.qlCalendarAdvance(Calendar,X2091,W2092,"f",FALSE)</f>
        <v>53919</v>
      </c>
      <c r="Y2092" s="131">
        <f>_xll.qlCalendarAdvance(Calendar,X2092,NDays&amp;"D")</f>
        <v>53923</v>
      </c>
      <c r="Z2092" s="132">
        <v>1.6805960256139656E-2</v>
      </c>
      <c r="AA2092" s="129">
        <v>1.6764466834340297E-2</v>
      </c>
    </row>
    <row r="2093" spans="19:27" x14ac:dyDescent="0.2">
      <c r="S2093" s="1"/>
      <c r="T2093" s="109"/>
      <c r="W2093" s="130" t="str">
        <f t="shared" si="42"/>
        <v>1w</v>
      </c>
      <c r="X2093" s="128">
        <f>_xll.qlCalendarAdvance(Calendar,X2092,W2093,"f",FALSE)</f>
        <v>53926</v>
      </c>
      <c r="Y2093" s="131">
        <f>_xll.qlCalendarAdvance(Calendar,X2093,NDays&amp;"D")</f>
        <v>53930</v>
      </c>
      <c r="Z2093" s="132">
        <v>1.6806794616510884E-2</v>
      </c>
      <c r="AA2093" s="129">
        <v>1.6765485732506136E-2</v>
      </c>
    </row>
    <row r="2094" spans="19:27" x14ac:dyDescent="0.2">
      <c r="S2094" s="1"/>
      <c r="T2094" s="109"/>
      <c r="W2094" s="130" t="str">
        <f t="shared" si="42"/>
        <v>1w</v>
      </c>
      <c r="X2094" s="128">
        <f>_xll.qlCalendarAdvance(Calendar,X2093,W2094,"f",FALSE)</f>
        <v>53933</v>
      </c>
      <c r="Y2094" s="131">
        <f>_xll.qlCalendarAdvance(Calendar,X2094,NDays&amp;"D")</f>
        <v>53937</v>
      </c>
      <c r="Z2094" s="132">
        <v>1.6807156098430569E-2</v>
      </c>
      <c r="AA2094" s="129">
        <v>1.6766475697096439E-2</v>
      </c>
    </row>
    <row r="2095" spans="19:27" x14ac:dyDescent="0.2">
      <c r="S2095" s="1"/>
      <c r="T2095" s="109"/>
      <c r="W2095" s="130" t="str">
        <f t="shared" si="42"/>
        <v>1w</v>
      </c>
      <c r="X2095" s="128">
        <f>_xll.qlCalendarAdvance(Calendar,X2094,W2095,"f",FALSE)</f>
        <v>53940</v>
      </c>
      <c r="Y2095" s="131">
        <f>_xll.qlCalendarAdvance(Calendar,X2095,NDays&amp;"D")</f>
        <v>53944</v>
      </c>
      <c r="Z2095" s="132">
        <v>1.6807934385641071E-2</v>
      </c>
      <c r="AA2095" s="129">
        <v>1.6767436728271079E-2</v>
      </c>
    </row>
    <row r="2096" spans="19:27" x14ac:dyDescent="0.2">
      <c r="S2096" s="1"/>
      <c r="T2096" s="109"/>
      <c r="W2096" s="130" t="str">
        <f t="shared" si="42"/>
        <v>1w</v>
      </c>
      <c r="X2096" s="128">
        <f>_xll.qlCalendarAdvance(Calendar,X2095,W2096,"f",FALSE)</f>
        <v>53947</v>
      </c>
      <c r="Y2096" s="131">
        <f>_xll.qlCalendarAdvance(Calendar,X2096,NDays&amp;"D")</f>
        <v>53951</v>
      </c>
      <c r="Z2096" s="132">
        <v>1.6808683618007771E-2</v>
      </c>
      <c r="AA2096" s="129">
        <v>1.6768368826109992E-2</v>
      </c>
    </row>
    <row r="2097" spans="19:27" x14ac:dyDescent="0.2">
      <c r="S2097" s="1"/>
      <c r="T2097" s="109"/>
      <c r="W2097" s="130" t="str">
        <f t="shared" si="42"/>
        <v>1w</v>
      </c>
      <c r="X2097" s="128">
        <f>_xll.qlCalendarAdvance(Calendar,X2096,W2097,"f",FALSE)</f>
        <v>53954</v>
      </c>
      <c r="Y2097" s="131">
        <f>_xll.qlCalendarAdvance(Calendar,X2097,NDays&amp;"D")</f>
        <v>53958</v>
      </c>
      <c r="Z2097" s="132">
        <v>1.6809403795514849E-2</v>
      </c>
      <c r="AA2097" s="129">
        <v>1.6769271990533241E-2</v>
      </c>
    </row>
    <row r="2098" spans="19:27" x14ac:dyDescent="0.2">
      <c r="S2098" s="1"/>
      <c r="T2098" s="109"/>
      <c r="W2098" s="130" t="str">
        <f t="shared" si="42"/>
        <v>1w</v>
      </c>
      <c r="X2098" s="128">
        <f>_xll.qlCalendarAdvance(Calendar,X2097,W2098,"f",FALSE)</f>
        <v>53961</v>
      </c>
      <c r="Y2098" s="131">
        <f>_xll.qlCalendarAdvance(Calendar,X2098,NDays&amp;"D")</f>
        <v>53965</v>
      </c>
      <c r="Z2098" s="132">
        <v>1.6810530575581684E-2</v>
      </c>
      <c r="AA2098" s="129">
        <v>1.6770146221460891E-2</v>
      </c>
    </row>
    <row r="2099" spans="19:27" x14ac:dyDescent="0.2">
      <c r="S2099" s="1"/>
      <c r="T2099" s="109"/>
      <c r="W2099" s="130" t="str">
        <f t="shared" si="42"/>
        <v>1w</v>
      </c>
      <c r="X2099" s="128">
        <f>_xll.qlCalendarAdvance(Calendar,X2098,W2099,"f",FALSE)</f>
        <v>53968</v>
      </c>
      <c r="Y2099" s="131">
        <f>_xll.qlCalendarAdvance(Calendar,X2099,NDays&amp;"D")</f>
        <v>53972</v>
      </c>
      <c r="Z2099" s="132">
        <v>1.6811190598723044E-2</v>
      </c>
      <c r="AA2099" s="129">
        <v>1.6770991519052814E-2</v>
      </c>
    </row>
    <row r="2100" spans="19:27" x14ac:dyDescent="0.2">
      <c r="S2100" s="1"/>
      <c r="T2100" s="109"/>
      <c r="W2100" s="130" t="str">
        <f t="shared" si="42"/>
        <v>1w</v>
      </c>
      <c r="X2100" s="128">
        <f>_xll.qlCalendarAdvance(Calendar,X2099,W2100,"f",FALSE)</f>
        <v>53975</v>
      </c>
      <c r="Y2100" s="131">
        <f>_xll.qlCalendarAdvance(Calendar,X2100,NDays&amp;"D")</f>
        <v>53979</v>
      </c>
      <c r="Z2100" s="132">
        <v>1.6811821565606132E-2</v>
      </c>
      <c r="AA2100" s="129">
        <v>1.6771807883229073E-2</v>
      </c>
    </row>
    <row r="2101" spans="19:27" x14ac:dyDescent="0.2">
      <c r="S2101" s="1"/>
      <c r="T2101" s="109"/>
      <c r="W2101" s="130" t="str">
        <f t="shared" si="42"/>
        <v>1w</v>
      </c>
      <c r="X2101" s="128">
        <f>_xll.qlCalendarAdvance(Calendar,X2100,W2101,"f",FALSE)</f>
        <v>53982</v>
      </c>
      <c r="Y2101" s="131">
        <f>_xll.qlCalendarAdvance(Calendar,X2101,NDays&amp;"D")</f>
        <v>53986</v>
      </c>
      <c r="Z2101" s="132">
        <v>1.6812423476214446E-2</v>
      </c>
      <c r="AA2101" s="129">
        <v>1.6772595313909733E-2</v>
      </c>
    </row>
    <row r="2102" spans="19:27" x14ac:dyDescent="0.2">
      <c r="S2102" s="1"/>
      <c r="T2102" s="109"/>
      <c r="W2102" s="130" t="str">
        <f t="shared" si="42"/>
        <v>1w</v>
      </c>
      <c r="X2102" s="128">
        <f>_xll.qlCalendarAdvance(Calendar,X2101,W2102,"f",FALSE)</f>
        <v>53989</v>
      </c>
      <c r="Y2102" s="131">
        <f>_xll.qlCalendarAdvance(Calendar,X2102,NDays&amp;"D")</f>
        <v>53993</v>
      </c>
      <c r="Z2102" s="132">
        <v>1.6812996330535814E-2</v>
      </c>
      <c r="AA2102" s="129">
        <v>1.6773353811254665E-2</v>
      </c>
    </row>
    <row r="2103" spans="19:27" x14ac:dyDescent="0.2">
      <c r="S2103" s="1"/>
      <c r="T2103" s="109"/>
      <c r="W2103" s="130" t="str">
        <f t="shared" si="42"/>
        <v>1w</v>
      </c>
      <c r="X2103" s="128">
        <f>_xll.qlCalendarAdvance(Calendar,X2102,W2103,"f",FALSE)</f>
        <v>53996</v>
      </c>
      <c r="Y2103" s="131">
        <f>_xll.qlCalendarAdvance(Calendar,X2103,NDays&amp;"D")</f>
        <v>54000</v>
      </c>
      <c r="Z2103" s="132">
        <v>1.6813540128556341E-2</v>
      </c>
      <c r="AA2103" s="129">
        <v>1.6774083375103999E-2</v>
      </c>
    </row>
    <row r="2104" spans="19:27" x14ac:dyDescent="0.2">
      <c r="S2104" s="1"/>
      <c r="T2104" s="109"/>
      <c r="W2104" s="130" t="str">
        <f t="shared" si="42"/>
        <v>1w</v>
      </c>
      <c r="X2104" s="128">
        <f>_xll.qlCalendarAdvance(Calendar,X2103,W2104,"f",FALSE)</f>
        <v>54003</v>
      </c>
      <c r="Y2104" s="131">
        <f>_xll.qlCalendarAdvance(Calendar,X2104,NDays&amp;"D")</f>
        <v>54007</v>
      </c>
      <c r="Z2104" s="132">
        <v>1.6814054870265598E-2</v>
      </c>
      <c r="AA2104" s="129">
        <v>1.6774784005697541E-2</v>
      </c>
    </row>
    <row r="2105" spans="19:27" x14ac:dyDescent="0.2">
      <c r="S2105" s="1"/>
      <c r="T2105" s="109"/>
      <c r="W2105" s="130" t="str">
        <f t="shared" si="42"/>
        <v>1w</v>
      </c>
      <c r="X2105" s="128">
        <f>_xll.qlCalendarAdvance(Calendar,X2104,W2105,"f",FALSE)</f>
        <v>54010</v>
      </c>
      <c r="Y2105" s="131">
        <f>_xll.qlCalendarAdvance(Calendar,X2105,NDays&amp;"D")</f>
        <v>54014</v>
      </c>
      <c r="Z2105" s="132">
        <v>1.6814540555652291E-2</v>
      </c>
      <c r="AA2105" s="129">
        <v>1.6775455702715547E-2</v>
      </c>
    </row>
    <row r="2106" spans="19:27" x14ac:dyDescent="0.2">
      <c r="S2106" s="1"/>
      <c r="T2106" s="109"/>
      <c r="W2106" s="130" t="str">
        <f t="shared" si="42"/>
        <v>1w</v>
      </c>
      <c r="X2106" s="128">
        <f>_xll.qlCalendarAdvance(Calendar,X2105,W2106,"f",FALSE)</f>
        <v>54017</v>
      </c>
      <c r="Y2106" s="131">
        <f>_xll.qlCalendarAdvance(Calendar,X2106,NDays&amp;"D")</f>
        <v>54021</v>
      </c>
      <c r="Z2106" s="132">
        <v>1.6814997184705121E-2</v>
      </c>
      <c r="AA2106" s="129">
        <v>1.6776098466397826E-2</v>
      </c>
    </row>
    <row r="2107" spans="19:27" x14ac:dyDescent="0.2">
      <c r="S2107" s="1"/>
      <c r="T2107" s="109"/>
      <c r="W2107" s="130" t="str">
        <f t="shared" si="42"/>
        <v>1w</v>
      </c>
      <c r="X2107" s="128">
        <f>_xll.qlCalendarAdvance(Calendar,X2106,W2107,"f",FALSE)</f>
        <v>54024</v>
      </c>
      <c r="Y2107" s="131">
        <f>_xll.qlCalendarAdvance(Calendar,X2107,NDays&amp;"D")</f>
        <v>54028</v>
      </c>
      <c r="Z2107" s="132">
        <v>1.681500755008555E-2</v>
      </c>
      <c r="AA2107" s="129">
        <v>1.6776712296584506E-2</v>
      </c>
    </row>
    <row r="2108" spans="19:27" x14ac:dyDescent="0.2">
      <c r="S2108" s="1"/>
      <c r="T2108" s="109"/>
      <c r="W2108" s="130" t="str">
        <f t="shared" si="42"/>
        <v>1w</v>
      </c>
      <c r="X2108" s="128">
        <f>_xll.qlCalendarAdvance(Calendar,X2107,W2108,"f",FALSE)</f>
        <v>54031</v>
      </c>
      <c r="Y2108" s="131">
        <f>_xll.qlCalendarAdvance(Calendar,X2108,NDays&amp;"D")</f>
        <v>54035</v>
      </c>
      <c r="Z2108" s="132">
        <v>1.681540812322329E-2</v>
      </c>
      <c r="AA2108" s="129">
        <v>1.6777297193435459E-2</v>
      </c>
    </row>
    <row r="2109" spans="19:27" x14ac:dyDescent="0.2">
      <c r="S2109" s="1"/>
      <c r="T2109" s="109"/>
      <c r="W2109" s="130" t="str">
        <f t="shared" si="42"/>
        <v>1w</v>
      </c>
      <c r="X2109" s="128">
        <f>_xll.qlCalendarAdvance(Calendar,X2108,W2109,"f",FALSE)</f>
        <v>54038</v>
      </c>
      <c r="Y2109" s="131">
        <f>_xll.qlCalendarAdvance(Calendar,X2109,NDays&amp;"D")</f>
        <v>54042</v>
      </c>
      <c r="Z2109" s="132">
        <v>1.6815779641352075E-2</v>
      </c>
      <c r="AA2109" s="129">
        <v>1.6777853156870748E-2</v>
      </c>
    </row>
    <row r="2110" spans="19:27" x14ac:dyDescent="0.2">
      <c r="S2110" s="1"/>
      <c r="T2110" s="109"/>
      <c r="W2110" s="130" t="str">
        <f t="shared" si="42"/>
        <v>1w</v>
      </c>
      <c r="X2110" s="128">
        <f>_xll.qlCalendarAdvance(Calendar,X2109,W2110,"f",FALSE)</f>
        <v>54045</v>
      </c>
      <c r="Y2110" s="131">
        <f>_xll.qlCalendarAdvance(Calendar,X2110,NDays&amp;"D")</f>
        <v>54049</v>
      </c>
      <c r="Z2110" s="132">
        <v>1.6816122104465769E-2</v>
      </c>
      <c r="AA2110" s="129">
        <v>1.6778380186810438E-2</v>
      </c>
    </row>
    <row r="2111" spans="19:27" x14ac:dyDescent="0.2">
      <c r="S2111" s="1"/>
      <c r="T2111" s="109"/>
      <c r="W2111" s="130" t="str">
        <f t="shared" si="42"/>
        <v>1w</v>
      </c>
      <c r="X2111" s="128">
        <f>_xll.qlCalendarAdvance(Calendar,X2110,W2111,"f",FALSE)</f>
        <v>54053</v>
      </c>
      <c r="Y2111" s="131">
        <f>_xll.qlCalendarAdvance(Calendar,X2111,NDays&amp;"D")</f>
        <v>54057</v>
      </c>
      <c r="Z2111" s="132">
        <v>1.6816477913299592E-2</v>
      </c>
      <c r="AA2111" s="129">
        <v>1.6779372200081966E-2</v>
      </c>
    </row>
    <row r="2112" spans="19:27" x14ac:dyDescent="0.2">
      <c r="S2112" s="1"/>
      <c r="T2112" s="109"/>
      <c r="W2112" s="130" t="str">
        <f t="shared" si="42"/>
        <v>1w</v>
      </c>
      <c r="X2112" s="128">
        <f>_xll.qlCalendarAdvance(Calendar,X2111,W2112,"f",FALSE)</f>
        <v>54060</v>
      </c>
      <c r="Y2112" s="131">
        <f>_xll.qlCalendarAdvance(Calendar,X2112,NDays&amp;"D")</f>
        <v>54064</v>
      </c>
      <c r="Z2112" s="132">
        <v>1.6816758115640044E-2</v>
      </c>
      <c r="AA2112" s="129">
        <v>1.6779412107998937E-2</v>
      </c>
    </row>
    <row r="2113" spans="19:27" x14ac:dyDescent="0.2">
      <c r="S2113" s="1"/>
      <c r="T2113" s="109"/>
      <c r="W2113" s="130" t="str">
        <f t="shared" si="42"/>
        <v>1w</v>
      </c>
      <c r="X2113" s="128">
        <f>_xll.qlCalendarAdvance(Calendar,X2112,W2113,"f",FALSE)</f>
        <v>54067</v>
      </c>
      <c r="Y2113" s="131">
        <f>_xll.qlCalendarAdvance(Calendar,X2113,NDays&amp;"D")</f>
        <v>54071</v>
      </c>
      <c r="Z2113" s="132">
        <v>1.681700926294168E-2</v>
      </c>
      <c r="AA2113" s="129">
        <v>1.6779848204357961E-2</v>
      </c>
    </row>
    <row r="2114" spans="19:27" x14ac:dyDescent="0.2">
      <c r="S2114" s="1"/>
      <c r="T2114" s="109"/>
      <c r="W2114" s="130" t="str">
        <f t="shared" si="42"/>
        <v>1w</v>
      </c>
      <c r="X2114" s="128">
        <f>_xll.qlCalendarAdvance(Calendar,X2113,W2114,"f",FALSE)</f>
        <v>54074</v>
      </c>
      <c r="Y2114" s="131">
        <f>_xll.qlCalendarAdvance(Calendar,X2114,NDays&amp;"D")</f>
        <v>54078</v>
      </c>
      <c r="Z2114" s="132">
        <v>1.6817231355200111E-2</v>
      </c>
      <c r="AA2114" s="129">
        <v>1.6780255367381258E-2</v>
      </c>
    </row>
    <row r="2115" spans="19:27" x14ac:dyDescent="0.2">
      <c r="S2115" s="1"/>
      <c r="T2115" s="109"/>
      <c r="W2115" s="130" t="str">
        <f t="shared" si="42"/>
        <v>1w</v>
      </c>
      <c r="X2115" s="128">
        <f>_xll.qlCalendarAdvance(Calendar,X2114,W2115,"f",FALSE)</f>
        <v>54081</v>
      </c>
      <c r="Y2115" s="131">
        <f>_xll.qlCalendarAdvance(Calendar,X2115,NDays&amp;"D")</f>
        <v>54085</v>
      </c>
      <c r="Z2115" s="132">
        <v>1.6817424392410942E-2</v>
      </c>
      <c r="AA2115" s="129">
        <v>1.678063359682902E-2</v>
      </c>
    </row>
    <row r="2116" spans="19:27" x14ac:dyDescent="0.2">
      <c r="S2116" s="1"/>
      <c r="T2116" s="109"/>
      <c r="W2116" s="130" t="str">
        <f t="shared" si="42"/>
        <v>1w</v>
      </c>
      <c r="X2116" s="128">
        <f>_xll.qlCalendarAdvance(Calendar,X2115,W2116,"f",FALSE)</f>
        <v>54088</v>
      </c>
      <c r="Y2116" s="131">
        <f>_xll.qlCalendarAdvance(Calendar,X2116,NDays&amp;"D")</f>
        <v>54092</v>
      </c>
      <c r="Z2116" s="132">
        <v>1.6817189837659896E-2</v>
      </c>
      <c r="AA2116" s="129">
        <v>1.6780982893100926E-2</v>
      </c>
    </row>
    <row r="2117" spans="19:27" x14ac:dyDescent="0.2">
      <c r="S2117" s="1"/>
      <c r="T2117" s="109"/>
      <c r="W2117" s="130" t="str">
        <f t="shared" si="42"/>
        <v>1w</v>
      </c>
      <c r="X2117" s="128">
        <f>_xll.qlCalendarAdvance(Calendar,X2116,W2117,"f",FALSE)</f>
        <v>54095</v>
      </c>
      <c r="Y2117" s="131">
        <f>_xll.qlCalendarAdvance(Calendar,X2117,NDays&amp;"D")</f>
        <v>54099</v>
      </c>
      <c r="Z2117" s="132">
        <v>1.6817326833738377E-2</v>
      </c>
      <c r="AA2117" s="129">
        <v>1.6781303255877233E-2</v>
      </c>
    </row>
    <row r="2118" spans="19:27" x14ac:dyDescent="0.2">
      <c r="S2118" s="1"/>
      <c r="T2118" s="109"/>
      <c r="W2118" s="130" t="str">
        <f t="shared" si="42"/>
        <v>1w</v>
      </c>
      <c r="X2118" s="128">
        <f>_xll.qlCalendarAdvance(Calendar,X2117,W2118,"f",FALSE)</f>
        <v>54102</v>
      </c>
      <c r="Y2118" s="131">
        <f>_xll.qlCalendarAdvance(Calendar,X2118,NDays&amp;"D")</f>
        <v>54106</v>
      </c>
      <c r="Z2118" s="132">
        <v>1.6817434776110751E-2</v>
      </c>
      <c r="AA2118" s="129">
        <v>1.6781594685157941E-2</v>
      </c>
    </row>
    <row r="2119" spans="19:27" x14ac:dyDescent="0.2">
      <c r="S2119" s="1"/>
      <c r="T2119" s="109"/>
      <c r="W2119" s="130" t="str">
        <f t="shared" si="42"/>
        <v>1w</v>
      </c>
      <c r="X2119" s="128">
        <f>_xll.qlCalendarAdvance(Calendar,X2118,W2119,"f",FALSE)</f>
        <v>54109</v>
      </c>
      <c r="Y2119" s="131">
        <f>_xll.qlCalendarAdvance(Calendar,X2119,NDays&amp;"D")</f>
        <v>54113</v>
      </c>
      <c r="Z2119" s="132">
        <v>1.6817513664777017E-2</v>
      </c>
      <c r="AA2119" s="129">
        <v>1.6781857181022986E-2</v>
      </c>
    </row>
    <row r="2120" spans="19:27" x14ac:dyDescent="0.2">
      <c r="S2120" s="1"/>
      <c r="T2120" s="109"/>
      <c r="W2120" s="130" t="str">
        <f t="shared" si="42"/>
        <v>1w</v>
      </c>
      <c r="X2120" s="128">
        <f>_xll.qlCalendarAdvance(Calendar,X2119,W2120,"f",FALSE)</f>
        <v>54116</v>
      </c>
      <c r="Y2120" s="131">
        <f>_xll.qlCalendarAdvance(Calendar,X2120,NDays&amp;"D")</f>
        <v>54120</v>
      </c>
      <c r="Z2120" s="132">
        <v>1.6818343819843699E-2</v>
      </c>
      <c r="AA2120" s="129">
        <v>1.6782090743552303E-2</v>
      </c>
    </row>
    <row r="2121" spans="19:27" x14ac:dyDescent="0.2">
      <c r="S2121" s="1"/>
      <c r="T2121" s="109"/>
      <c r="W2121" s="130" t="str">
        <f t="shared" si="42"/>
        <v>1w</v>
      </c>
      <c r="X2121" s="128">
        <f>_xll.qlCalendarAdvance(Calendar,X2120,W2121,"f",FALSE)</f>
        <v>54123</v>
      </c>
      <c r="Y2121" s="131">
        <f>_xll.qlCalendarAdvance(Calendar,X2121,NDays&amp;"D")</f>
        <v>54127</v>
      </c>
      <c r="Z2121" s="132">
        <v>1.6818360452113174E-2</v>
      </c>
      <c r="AA2121" s="129">
        <v>1.678229537258602E-2</v>
      </c>
    </row>
    <row r="2122" spans="19:27" x14ac:dyDescent="0.2">
      <c r="S2122" s="1"/>
      <c r="T2122" s="109"/>
      <c r="W2122" s="130" t="str">
        <f t="shared" si="42"/>
        <v>1w</v>
      </c>
      <c r="X2122" s="128">
        <f>_xll.qlCalendarAdvance(Calendar,X2121,W2122,"f",FALSE)</f>
        <v>54130</v>
      </c>
      <c r="Y2122" s="131">
        <f>_xll.qlCalendarAdvance(Calendar,X2122,NDays&amp;"D")</f>
        <v>54134</v>
      </c>
      <c r="Z2122" s="132">
        <v>1.6818348027962768E-2</v>
      </c>
      <c r="AA2122" s="129">
        <v>1.6782471068363947E-2</v>
      </c>
    </row>
    <row r="2123" spans="19:27" x14ac:dyDescent="0.2">
      <c r="S2123" s="1"/>
      <c r="T2123" s="109"/>
      <c r="W2123" s="130" t="str">
        <f t="shared" si="42"/>
        <v>1w</v>
      </c>
      <c r="X2123" s="128">
        <f>_xll.qlCalendarAdvance(Calendar,X2122,W2123,"f",FALSE)</f>
        <v>54137</v>
      </c>
      <c r="Y2123" s="131">
        <f>_xll.qlCalendarAdvance(Calendar,X2123,NDays&amp;"D")</f>
        <v>54141</v>
      </c>
      <c r="Z2123" s="132">
        <v>1.6818306547395093E-2</v>
      </c>
      <c r="AA2123" s="129">
        <v>1.6782617830566338E-2</v>
      </c>
    </row>
    <row r="2124" spans="19:27" x14ac:dyDescent="0.2">
      <c r="S2124" s="1"/>
      <c r="T2124" s="109"/>
      <c r="W2124" s="130" t="str">
        <f t="shared" si="42"/>
        <v>1w</v>
      </c>
      <c r="X2124" s="128">
        <f>_xll.qlCalendarAdvance(Calendar,X2123,W2124,"f",FALSE)</f>
        <v>54144</v>
      </c>
      <c r="Y2124" s="131">
        <f>_xll.qlCalendarAdvance(Calendar,X2124,NDays&amp;"D")</f>
        <v>54148</v>
      </c>
      <c r="Z2124" s="132">
        <v>1.6817854249655248E-2</v>
      </c>
      <c r="AA2124" s="129">
        <v>1.6782735659433001E-2</v>
      </c>
    </row>
    <row r="2125" spans="19:27" x14ac:dyDescent="0.2">
      <c r="S2125" s="1"/>
      <c r="T2125" s="109"/>
      <c r="W2125" s="130" t="str">
        <f t="shared" si="42"/>
        <v>1w</v>
      </c>
      <c r="X2125" s="128">
        <f>_xll.qlCalendarAdvance(Calendar,X2124,W2125,"f",FALSE)</f>
        <v>54155</v>
      </c>
      <c r="Y2125" s="131">
        <f>_xll.qlCalendarAdvance(Calendar,X2125,NDays&amp;"D")</f>
        <v>54157</v>
      </c>
      <c r="Z2125" s="132">
        <v>1.6817723538642245E-2</v>
      </c>
      <c r="AA2125" s="129">
        <v>1.6782844639138261E-2</v>
      </c>
    </row>
    <row r="2126" spans="19:27" x14ac:dyDescent="0.2">
      <c r="S2126" s="1"/>
      <c r="T2126" s="109"/>
      <c r="W2126" s="130" t="str">
        <f t="shared" si="42"/>
        <v>1w</v>
      </c>
      <c r="X2126" s="128">
        <f>_xll.qlCalendarAdvance(Calendar,X2125,W2126,"f",FALSE)</f>
        <v>54162</v>
      </c>
      <c r="Y2126" s="131">
        <f>_xll.qlCalendarAdvance(Calendar,X2126,NDays&amp;"D")</f>
        <v>54164</v>
      </c>
      <c r="Z2126" s="132">
        <v>1.6817588668739746E-2</v>
      </c>
      <c r="AA2126" s="129">
        <v>1.6782896334426312E-2</v>
      </c>
    </row>
    <row r="2127" spans="19:27" x14ac:dyDescent="0.2">
      <c r="S2127" s="1"/>
      <c r="T2127" s="109"/>
      <c r="W2127" s="130" t="str">
        <f t="shared" si="42"/>
        <v>1w</v>
      </c>
      <c r="X2127" s="128">
        <f>_xll.qlCalendarAdvance(Calendar,X2126,W2127,"f",FALSE)</f>
        <v>54169</v>
      </c>
      <c r="Y2127" s="131">
        <f>_xll.qlCalendarAdvance(Calendar,X2127,NDays&amp;"D")</f>
        <v>54171</v>
      </c>
      <c r="Z2127" s="132">
        <v>1.6817424743780864E-2</v>
      </c>
      <c r="AA2127" s="129">
        <v>1.6782919096298698E-2</v>
      </c>
    </row>
    <row r="2128" spans="19:27" x14ac:dyDescent="0.2">
      <c r="S2128" s="1"/>
      <c r="T2128" s="109"/>
      <c r="W2128" s="130" t="str">
        <f t="shared" si="42"/>
        <v>1w</v>
      </c>
      <c r="X2128" s="128">
        <f>_xll.qlCalendarAdvance(Calendar,X2127,W2128,"f",FALSE)</f>
        <v>54176</v>
      </c>
      <c r="Y2128" s="131">
        <f>_xll.qlCalendarAdvance(Calendar,X2128,NDays&amp;"D")</f>
        <v>54178</v>
      </c>
      <c r="Z2128" s="132">
        <v>1.6817604600686507E-2</v>
      </c>
      <c r="AA2128" s="129">
        <v>1.6784081113661031E-2</v>
      </c>
    </row>
    <row r="2129" spans="19:27" x14ac:dyDescent="0.2">
      <c r="S2129" s="1"/>
      <c r="T2129" s="109"/>
      <c r="W2129" s="130" t="str">
        <f t="shared" si="42"/>
        <v>1w</v>
      </c>
      <c r="X2129" s="128">
        <f>_xll.qlCalendarAdvance(Calendar,X2128,W2129,"f",FALSE)</f>
        <v>54183</v>
      </c>
      <c r="Y2129" s="131">
        <f>_xll.qlCalendarAdvance(Calendar,X2129,NDays&amp;"D")</f>
        <v>54185</v>
      </c>
      <c r="Z2129" s="132">
        <v>1.6817380479820294E-2</v>
      </c>
      <c r="AA2129" s="129">
        <v>1.6782877819876418E-2</v>
      </c>
    </row>
    <row r="2130" spans="19:27" x14ac:dyDescent="0.2">
      <c r="S2130" s="1"/>
      <c r="T2130" s="109"/>
      <c r="W2130" s="130" t="str">
        <f t="shared" si="42"/>
        <v>1w</v>
      </c>
      <c r="X2130" s="128">
        <f>_xll.qlCalendarAdvance(Calendar,X2129,W2130,"f",FALSE)</f>
        <v>54190</v>
      </c>
      <c r="Y2130" s="131">
        <f>_xll.qlCalendarAdvance(Calendar,X2130,NDays&amp;"D")</f>
        <v>54192</v>
      </c>
      <c r="Z2130" s="132">
        <v>1.6817127302556793E-2</v>
      </c>
      <c r="AA2130" s="129">
        <v>1.6782813781421879E-2</v>
      </c>
    </row>
    <row r="2131" spans="19:27" x14ac:dyDescent="0.2">
      <c r="S2131" s="1"/>
      <c r="T2131" s="109"/>
      <c r="W2131" s="130" t="str">
        <f t="shared" si="42"/>
        <v>1w</v>
      </c>
      <c r="X2131" s="128">
        <f>_xll.qlCalendarAdvance(Calendar,X2130,W2131,"f",FALSE)</f>
        <v>54197</v>
      </c>
      <c r="Y2131" s="131">
        <f>_xll.qlCalendarAdvance(Calendar,X2131,NDays&amp;"D")</f>
        <v>54199</v>
      </c>
      <c r="Z2131" s="132">
        <v>1.6816845068902082E-2</v>
      </c>
      <c r="AA2131" s="129">
        <v>1.6782720809631613E-2</v>
      </c>
    </row>
    <row r="2132" spans="19:27" x14ac:dyDescent="0.2">
      <c r="S2132" s="1"/>
      <c r="T2132" s="109"/>
      <c r="W2132" s="130" t="str">
        <f t="shared" si="42"/>
        <v>1w</v>
      </c>
      <c r="X2132" s="128">
        <f>_xll.qlCalendarAdvance(Calendar,X2131,W2132,"f",FALSE)</f>
        <v>54204</v>
      </c>
      <c r="Y2132" s="131">
        <f>_xll.qlCalendarAdvance(Calendar,X2132,NDays&amp;"D")</f>
        <v>54206</v>
      </c>
      <c r="Z2132" s="132">
        <v>1.6816533778862251E-2</v>
      </c>
      <c r="AA2132" s="129">
        <v>1.6782598904425683E-2</v>
      </c>
    </row>
    <row r="2133" spans="19:27" x14ac:dyDescent="0.2">
      <c r="S2133" s="1"/>
      <c r="T2133" s="109"/>
      <c r="W2133" s="130" t="str">
        <f t="shared" ref="W2133:W2196" si="43">W2132</f>
        <v>1w</v>
      </c>
      <c r="X2133" s="128">
        <f>_xll.qlCalendarAdvance(Calendar,X2132,W2133,"f",FALSE)</f>
        <v>54211</v>
      </c>
      <c r="Y2133" s="131">
        <f>_xll.qlCalendarAdvance(Calendar,X2133,NDays&amp;"D")</f>
        <v>54213</v>
      </c>
      <c r="Z2133" s="132">
        <v>1.681619343244338E-2</v>
      </c>
      <c r="AA2133" s="129">
        <v>1.6782448065884026E-2</v>
      </c>
    </row>
    <row r="2134" spans="19:27" x14ac:dyDescent="0.2">
      <c r="S2134" s="1"/>
      <c r="T2134" s="109"/>
      <c r="W2134" s="130" t="str">
        <f t="shared" si="43"/>
        <v>1w</v>
      </c>
      <c r="X2134" s="128">
        <f>_xll.qlCalendarAdvance(Calendar,X2133,W2134,"f",FALSE)</f>
        <v>54218</v>
      </c>
      <c r="Y2134" s="131">
        <f>_xll.qlCalendarAdvance(Calendar,X2134,NDays&amp;"D")</f>
        <v>54220</v>
      </c>
      <c r="Z2134" s="132">
        <v>1.6815824029655022E-2</v>
      </c>
      <c r="AA2134" s="129">
        <v>1.6782268293766833E-2</v>
      </c>
    </row>
    <row r="2135" spans="19:27" x14ac:dyDescent="0.2">
      <c r="S2135" s="1"/>
      <c r="T2135" s="109"/>
      <c r="W2135" s="130" t="str">
        <f t="shared" si="43"/>
        <v>1w</v>
      </c>
      <c r="X2135" s="128">
        <f>_xll.qlCalendarAdvance(Calendar,X2134,W2135,"f",FALSE)</f>
        <v>54225</v>
      </c>
      <c r="Y2135" s="131">
        <f>_xll.qlCalendarAdvance(Calendar,X2135,NDays&amp;"D")</f>
        <v>54227</v>
      </c>
      <c r="Z2135" s="132">
        <v>1.6815425570501523E-2</v>
      </c>
      <c r="AA2135" s="129">
        <v>1.6782059588313913E-2</v>
      </c>
    </row>
    <row r="2136" spans="19:27" x14ac:dyDescent="0.2">
      <c r="S2136" s="1"/>
      <c r="T2136" s="109"/>
      <c r="W2136" s="130" t="str">
        <f t="shared" si="43"/>
        <v>1w</v>
      </c>
      <c r="X2136" s="128">
        <f>_xll.qlCalendarAdvance(Calendar,X2135,W2136,"f",FALSE)</f>
        <v>54232</v>
      </c>
      <c r="Y2136" s="131">
        <f>_xll.qlCalendarAdvance(Calendar,X2136,NDays&amp;"D")</f>
        <v>54234</v>
      </c>
      <c r="Z2136" s="132">
        <v>1.6814998054995915E-2</v>
      </c>
      <c r="AA2136" s="129">
        <v>1.678182194944533E-2</v>
      </c>
    </row>
    <row r="2137" spans="19:27" x14ac:dyDescent="0.2">
      <c r="S2137" s="1"/>
      <c r="T2137" s="109"/>
      <c r="W2137" s="130" t="str">
        <f t="shared" si="43"/>
        <v>1w</v>
      </c>
      <c r="X2137" s="128">
        <f>_xll.qlCalendarAdvance(Calendar,X2136,W2137,"f",FALSE)</f>
        <v>54239</v>
      </c>
      <c r="Y2137" s="131">
        <f>_xll.qlCalendarAdvance(Calendar,X2137,NDays&amp;"D")</f>
        <v>54241</v>
      </c>
      <c r="Z2137" s="132">
        <v>1.6814541483146893E-2</v>
      </c>
      <c r="AA2137" s="129">
        <v>1.678155537724102E-2</v>
      </c>
    </row>
    <row r="2138" spans="19:27" x14ac:dyDescent="0.2">
      <c r="S2138" s="1"/>
      <c r="T2138" s="109"/>
      <c r="W2138" s="130" t="str">
        <f t="shared" si="43"/>
        <v>1w</v>
      </c>
      <c r="X2138" s="128">
        <f>_xll.qlCalendarAdvance(Calendar,X2137,W2138,"f",FALSE)</f>
        <v>54246</v>
      </c>
      <c r="Y2138" s="131">
        <f>_xll.qlCalendarAdvance(Calendar,X2138,NDays&amp;"D")</f>
        <v>54248</v>
      </c>
      <c r="Z2138" s="132">
        <v>1.681405585496314E-2</v>
      </c>
      <c r="AA2138" s="129">
        <v>1.6781259871461174E-2</v>
      </c>
    </row>
    <row r="2139" spans="19:27" x14ac:dyDescent="0.2">
      <c r="S2139" s="1"/>
      <c r="T2139" s="109"/>
      <c r="W2139" s="130" t="str">
        <f t="shared" si="43"/>
        <v>1w</v>
      </c>
      <c r="X2139" s="128">
        <f>_xll.qlCalendarAdvance(Calendar,X2138,W2139,"f",FALSE)</f>
        <v>54253</v>
      </c>
      <c r="Y2139" s="131">
        <f>_xll.qlCalendarAdvance(Calendar,X2139,NDays&amp;"D")</f>
        <v>54255</v>
      </c>
      <c r="Z2139" s="132">
        <v>1.6813541170455953E-2</v>
      </c>
      <c r="AA2139" s="129">
        <v>1.6780935432345601E-2</v>
      </c>
    </row>
    <row r="2140" spans="19:27" x14ac:dyDescent="0.2">
      <c r="S2140" s="1"/>
      <c r="T2140" s="109"/>
      <c r="W2140" s="130" t="str">
        <f t="shared" si="43"/>
        <v>1w</v>
      </c>
      <c r="X2140" s="128">
        <f>_xll.qlCalendarAdvance(Calendar,X2139,W2140,"f",FALSE)</f>
        <v>54260</v>
      </c>
      <c r="Y2140" s="131">
        <f>_xll.qlCalendarAdvance(Calendar,X2140,NDays&amp;"D")</f>
        <v>54262</v>
      </c>
      <c r="Z2140" s="132">
        <v>1.6812997429635757E-2</v>
      </c>
      <c r="AA2140" s="129">
        <v>1.6780582059734428E-2</v>
      </c>
    </row>
    <row r="2141" spans="19:27" x14ac:dyDescent="0.2">
      <c r="S2141" s="1"/>
      <c r="T2141" s="109"/>
      <c r="W2141" s="130" t="str">
        <f t="shared" si="43"/>
        <v>1w</v>
      </c>
      <c r="X2141" s="128">
        <f>_xll.qlCalendarAdvance(Calendar,X2140,W2141,"f",FALSE)</f>
        <v>54267</v>
      </c>
      <c r="Y2141" s="131">
        <f>_xll.qlCalendarAdvance(Calendar,X2141,NDays&amp;"D")</f>
        <v>54269</v>
      </c>
      <c r="Z2141" s="132">
        <v>1.6812424632517326E-2</v>
      </c>
      <c r="AA2141" s="129">
        <v>1.6780199753867464E-2</v>
      </c>
    </row>
    <row r="2142" spans="19:27" x14ac:dyDescent="0.2">
      <c r="S2142" s="1"/>
      <c r="T2142" s="109"/>
      <c r="W2142" s="130" t="str">
        <f t="shared" si="43"/>
        <v>1w</v>
      </c>
      <c r="X2142" s="128">
        <f>_xll.qlCalendarAdvance(Calendar,X2141,W2142,"f",FALSE)</f>
        <v>54274</v>
      </c>
      <c r="Y2142" s="131">
        <f>_xll.qlCalendarAdvance(Calendar,X2142,NDays&amp;"D")</f>
        <v>54276</v>
      </c>
      <c r="Z2142" s="132">
        <v>1.6811822779111949E-2</v>
      </c>
      <c r="AA2142" s="129">
        <v>1.6779788514424965E-2</v>
      </c>
    </row>
    <row r="2143" spans="19:27" x14ac:dyDescent="0.2">
      <c r="S2143" s="1"/>
      <c r="T2143" s="109"/>
      <c r="W2143" s="130" t="str">
        <f t="shared" si="43"/>
        <v>1w</v>
      </c>
      <c r="X2143" s="128">
        <f>_xll.qlCalendarAdvance(Calendar,X2142,W2143,"f",FALSE)</f>
        <v>54281</v>
      </c>
      <c r="Y2143" s="131">
        <f>_xll.qlCalendarAdvance(Calendar,X2143,NDays&amp;"D")</f>
        <v>54283</v>
      </c>
      <c r="Z2143" s="132">
        <v>1.681119186943093E-2</v>
      </c>
      <c r="AA2143" s="129">
        <v>1.6779348341726674E-2</v>
      </c>
    </row>
    <row r="2144" spans="19:27" x14ac:dyDescent="0.2">
      <c r="S2144" s="1"/>
      <c r="T2144" s="109"/>
      <c r="W2144" s="130" t="str">
        <f t="shared" si="43"/>
        <v>1w</v>
      </c>
      <c r="X2144" s="128">
        <f>_xll.qlCalendarAdvance(Calendar,X2143,W2144,"f",FALSE)</f>
        <v>54288</v>
      </c>
      <c r="Y2144" s="131">
        <f>_xll.qlCalendarAdvance(Calendar,X2144,NDays&amp;"D")</f>
        <v>54290</v>
      </c>
      <c r="Z2144" s="132">
        <v>1.6810531903491639E-2</v>
      </c>
      <c r="AA2144" s="129">
        <v>1.6778879235452848E-2</v>
      </c>
    </row>
    <row r="2145" spans="19:27" x14ac:dyDescent="0.2">
      <c r="S2145" s="1"/>
      <c r="T2145" s="109"/>
      <c r="W2145" s="130" t="str">
        <f t="shared" si="43"/>
        <v>1w</v>
      </c>
      <c r="X2145" s="128">
        <f>_xll.qlCalendarAdvance(Calendar,X2144,W2145,"f",FALSE)</f>
        <v>54295</v>
      </c>
      <c r="Y2145" s="131">
        <f>_xll.qlCalendarAdvance(Calendar,X2145,NDays&amp;"D")</f>
        <v>54297</v>
      </c>
      <c r="Z2145" s="132">
        <v>1.6809842881306245E-2</v>
      </c>
      <c r="AA2145" s="129">
        <v>1.6778381195843295E-2</v>
      </c>
    </row>
    <row r="2146" spans="19:27" x14ac:dyDescent="0.2">
      <c r="S2146" s="1"/>
      <c r="T2146" s="109"/>
      <c r="W2146" s="130" t="str">
        <f t="shared" si="43"/>
        <v>1w</v>
      </c>
      <c r="X2146" s="128">
        <f>_xll.qlCalendarAdvance(Calendar,X2145,W2146,"f",FALSE)</f>
        <v>54302</v>
      </c>
      <c r="Y2146" s="131">
        <f>_xll.qlCalendarAdvance(Calendar,X2146,NDays&amp;"D")</f>
        <v>54304</v>
      </c>
      <c r="Z2146" s="132">
        <v>1.6808789717539567E-2</v>
      </c>
      <c r="AA2146" s="129">
        <v>1.6777854222818078E-2</v>
      </c>
    </row>
    <row r="2147" spans="19:27" x14ac:dyDescent="0.2">
      <c r="S2147" s="1"/>
      <c r="T2147" s="109"/>
      <c r="W2147" s="130" t="str">
        <f t="shared" si="43"/>
        <v>1w</v>
      </c>
      <c r="X2147" s="128">
        <f>_xll.qlCalendarAdvance(Calendar,X2146,W2147,"f",FALSE)</f>
        <v>54309</v>
      </c>
      <c r="Y2147" s="131">
        <f>_xll.qlCalendarAdvance(Calendar,X2147,NDays&amp;"D")</f>
        <v>54311</v>
      </c>
      <c r="Z2147" s="132">
        <v>1.6808044693066685E-2</v>
      </c>
      <c r="AA2147" s="129">
        <v>1.6777298316457134E-2</v>
      </c>
    </row>
    <row r="2148" spans="19:27" x14ac:dyDescent="0.2">
      <c r="S2148" s="1"/>
      <c r="T2148" s="109"/>
      <c r="W2148" s="130" t="str">
        <f t="shared" si="43"/>
        <v>1w</v>
      </c>
      <c r="X2148" s="128">
        <f>_xll.qlCalendarAdvance(Calendar,X2147,W2148,"f",FALSE)</f>
        <v>54316</v>
      </c>
      <c r="Y2148" s="131">
        <f>_xll.qlCalendarAdvance(Calendar,X2148,NDays&amp;"D")</f>
        <v>54318</v>
      </c>
      <c r="Z2148" s="132">
        <v>1.6807270613744724E-2</v>
      </c>
      <c r="AA2148" s="129">
        <v>1.6776713476440719E-2</v>
      </c>
    </row>
    <row r="2149" spans="19:27" x14ac:dyDescent="0.2">
      <c r="S2149" s="1"/>
      <c r="T2149" s="109"/>
      <c r="W2149" s="130" t="str">
        <f t="shared" si="43"/>
        <v>1w</v>
      </c>
      <c r="X2149" s="128">
        <f>_xll.qlCalendarAdvance(Calendar,X2148,W2149,"f",FALSE)</f>
        <v>54323</v>
      </c>
      <c r="Y2149" s="131">
        <f>_xll.qlCalendarAdvance(Calendar,X2149,NDays&amp;"D")</f>
        <v>54325</v>
      </c>
      <c r="Z2149" s="132">
        <v>1.680646747959565E-2</v>
      </c>
      <c r="AA2149" s="129">
        <v>1.6776099703248448E-2</v>
      </c>
    </row>
    <row r="2150" spans="19:27" x14ac:dyDescent="0.2">
      <c r="S2150" s="1"/>
      <c r="T2150" s="109"/>
      <c r="W2150" s="130" t="str">
        <f t="shared" si="43"/>
        <v>1w</v>
      </c>
      <c r="X2150" s="128">
        <f>_xll.qlCalendarAdvance(Calendar,X2149,W2150,"f",FALSE)</f>
        <v>54330</v>
      </c>
      <c r="Y2150" s="131">
        <f>_xll.qlCalendarAdvance(Calendar,X2150,NDays&amp;"D")</f>
        <v>54332</v>
      </c>
      <c r="Z2150" s="132">
        <v>1.6806940687653916E-2</v>
      </c>
      <c r="AA2150" s="129">
        <v>1.6775456996480642E-2</v>
      </c>
    </row>
    <row r="2151" spans="19:27" x14ac:dyDescent="0.2">
      <c r="S2151" s="1"/>
      <c r="T2151" s="109"/>
      <c r="W2151" s="130" t="str">
        <f t="shared" si="43"/>
        <v>1w</v>
      </c>
      <c r="X2151" s="128">
        <f>_xll.qlCalendarAdvance(Calendar,X2150,W2151,"f",FALSE)</f>
        <v>54337</v>
      </c>
      <c r="Y2151" s="131">
        <f>_xll.qlCalendarAdvance(Calendar,X2151,NDays&amp;"D")</f>
        <v>54339</v>
      </c>
      <c r="Z2151" s="132">
        <v>1.6805098567949289E-2</v>
      </c>
      <c r="AA2151" s="129">
        <v>1.6774785356457045E-2</v>
      </c>
    </row>
    <row r="2152" spans="19:27" x14ac:dyDescent="0.2">
      <c r="S2152" s="1"/>
      <c r="T2152" s="109"/>
      <c r="W2152" s="130" t="str">
        <f t="shared" si="43"/>
        <v>1w</v>
      </c>
      <c r="X2152" s="128">
        <f>_xll.qlCalendarAdvance(Calendar,X2151,W2152,"f",FALSE)</f>
        <v>54344</v>
      </c>
      <c r="Y2152" s="131">
        <f>_xll.qlCalendarAdvance(Calendar,X2152,NDays&amp;"D")</f>
        <v>54346</v>
      </c>
      <c r="Z2152" s="132">
        <v>1.6804206152511221E-2</v>
      </c>
      <c r="AA2152" s="129">
        <v>1.6774084782857912E-2</v>
      </c>
    </row>
    <row r="2153" spans="19:27" x14ac:dyDescent="0.2">
      <c r="S2153" s="1"/>
      <c r="T2153" s="109"/>
      <c r="W2153" s="130" t="str">
        <f t="shared" si="43"/>
        <v>1w</v>
      </c>
      <c r="X2153" s="128">
        <f>_xll.qlCalendarAdvance(Calendar,X2152,W2153,"f",FALSE)</f>
        <v>54351</v>
      </c>
      <c r="Y2153" s="131">
        <f>_xll.qlCalendarAdvance(Calendar,X2153,NDays&amp;"D")</f>
        <v>54353</v>
      </c>
      <c r="Z2153" s="132">
        <v>1.680328468097041E-2</v>
      </c>
      <c r="AA2153" s="129">
        <v>1.6773355275923052E-2</v>
      </c>
    </row>
    <row r="2154" spans="19:27" x14ac:dyDescent="0.2">
      <c r="S2154" s="1"/>
      <c r="T2154" s="109"/>
      <c r="W2154" s="130" t="str">
        <f t="shared" si="43"/>
        <v>1w</v>
      </c>
      <c r="X2154" s="128">
        <f>_xll.qlCalendarAdvance(Calendar,X2153,W2154,"f",FALSE)</f>
        <v>54358</v>
      </c>
      <c r="Y2154" s="131">
        <f>_xll.qlCalendarAdvance(Calendar,X2154,NDays&amp;"D")</f>
        <v>54360</v>
      </c>
      <c r="Z2154" s="132">
        <v>1.6802334153342497E-2</v>
      </c>
      <c r="AA2154" s="129">
        <v>1.6772596835572529E-2</v>
      </c>
    </row>
    <row r="2155" spans="19:27" x14ac:dyDescent="0.2">
      <c r="S2155" s="1"/>
      <c r="T2155" s="109"/>
      <c r="W2155" s="130" t="str">
        <f t="shared" si="43"/>
        <v>1w</v>
      </c>
      <c r="X2155" s="128">
        <f>_xll.qlCalendarAdvance(Calendar,X2154,W2155,"f",FALSE)</f>
        <v>54365</v>
      </c>
      <c r="Y2155" s="131">
        <f>_xll.qlCalendarAdvance(Calendar,X2155,NDays&amp;"D")</f>
        <v>54367</v>
      </c>
      <c r="Z2155" s="132">
        <v>1.6801354569654418E-2</v>
      </c>
      <c r="AA2155" s="129">
        <v>1.6771809461886278E-2</v>
      </c>
    </row>
    <row r="2156" spans="19:27" x14ac:dyDescent="0.2">
      <c r="S2156" s="1"/>
      <c r="T2156" s="109"/>
      <c r="W2156" s="130" t="str">
        <f t="shared" si="43"/>
        <v>1w</v>
      </c>
      <c r="X2156" s="128">
        <f>_xll.qlCalendarAdvance(Calendar,X2155,W2156,"f",FALSE)</f>
        <v>54372</v>
      </c>
      <c r="Y2156" s="131">
        <f>_xll.qlCalendarAdvance(Calendar,X2156,NDays&amp;"D")</f>
        <v>54374</v>
      </c>
      <c r="Z2156" s="132">
        <v>1.6800345929922682E-2</v>
      </c>
      <c r="AA2156" s="129">
        <v>1.6770993154544556E-2</v>
      </c>
    </row>
    <row r="2157" spans="19:27" x14ac:dyDescent="0.2">
      <c r="S2157" s="1"/>
      <c r="T2157" s="109"/>
      <c r="W2157" s="130" t="str">
        <f t="shared" si="43"/>
        <v>1w</v>
      </c>
      <c r="X2157" s="128">
        <f>_xll.qlCalendarAdvance(Calendar,X2156,W2157,"f",FALSE)</f>
        <v>54379</v>
      </c>
      <c r="Y2157" s="131">
        <f>_xll.qlCalendarAdvance(Calendar,X2157,NDays&amp;"D")</f>
        <v>54381</v>
      </c>
      <c r="Z2157" s="132">
        <v>1.6799308234171615E-2</v>
      </c>
      <c r="AA2157" s="129">
        <v>1.6770147914026978E-2</v>
      </c>
    </row>
    <row r="2158" spans="19:27" x14ac:dyDescent="0.2">
      <c r="S2158" s="1"/>
      <c r="T2158" s="109"/>
      <c r="W2158" s="130" t="str">
        <f t="shared" si="43"/>
        <v>1w</v>
      </c>
      <c r="X2158" s="128">
        <f>_xll.qlCalendarAdvance(Calendar,X2157,W2158,"f",FALSE)</f>
        <v>54386</v>
      </c>
      <c r="Y2158" s="131">
        <f>_xll.qlCalendarAdvance(Calendar,X2158,NDays&amp;"D")</f>
        <v>54388</v>
      </c>
      <c r="Z2158" s="132">
        <v>1.6798241482424679E-2</v>
      </c>
      <c r="AA2158" s="129">
        <v>1.6769273740013801E-2</v>
      </c>
    </row>
    <row r="2159" spans="19:27" x14ac:dyDescent="0.2">
      <c r="S2159" s="1"/>
      <c r="T2159" s="109"/>
      <c r="W2159" s="130" t="str">
        <f t="shared" si="43"/>
        <v>1w</v>
      </c>
      <c r="X2159" s="128">
        <f>_xll.qlCalendarAdvance(Calendar,X2158,W2159,"f",FALSE)</f>
        <v>54393</v>
      </c>
      <c r="Y2159" s="131">
        <f>_xll.qlCalendarAdvance(Calendar,X2159,NDays&amp;"D")</f>
        <v>54395</v>
      </c>
      <c r="Z2159" s="132">
        <v>1.6796530385327024E-2</v>
      </c>
      <c r="AA2159" s="129">
        <v>1.6768370632584961E-2</v>
      </c>
    </row>
    <row r="2160" spans="19:27" x14ac:dyDescent="0.2">
      <c r="S2160" s="1"/>
      <c r="T2160" s="109"/>
      <c r="W2160" s="130" t="str">
        <f t="shared" si="43"/>
        <v>1w</v>
      </c>
      <c r="X2160" s="128">
        <f>_xll.qlCalendarAdvance(Calendar,X2159,W2160,"f",FALSE)</f>
        <v>54400</v>
      </c>
      <c r="Y2160" s="131">
        <f>_xll.qlCalendarAdvance(Calendar,X2160,NDays&amp;"D")</f>
        <v>54402</v>
      </c>
      <c r="Z2160" s="132">
        <v>1.6795409776854342E-2</v>
      </c>
      <c r="AA2160" s="129">
        <v>1.6767438591740458E-2</v>
      </c>
    </row>
    <row r="2161" spans="19:27" x14ac:dyDescent="0.2">
      <c r="S2161" s="1"/>
      <c r="T2161" s="109"/>
      <c r="W2161" s="130" t="str">
        <f t="shared" si="43"/>
        <v>1w</v>
      </c>
      <c r="X2161" s="128">
        <f>_xll.qlCalendarAdvance(Calendar,X2160,W2161,"f",FALSE)</f>
        <v>54407</v>
      </c>
      <c r="Y2161" s="131">
        <f>_xll.qlCalendarAdvance(Calendar,X2161,NDays&amp;"D")</f>
        <v>54409</v>
      </c>
      <c r="Z2161" s="132">
        <v>1.6794260115156057E-2</v>
      </c>
      <c r="AA2161" s="129">
        <v>1.6766477617480291E-2</v>
      </c>
    </row>
    <row r="2162" spans="19:27" x14ac:dyDescent="0.2">
      <c r="S2162" s="1"/>
      <c r="T2162" s="109"/>
      <c r="W2162" s="130" t="str">
        <f t="shared" si="43"/>
        <v>1w</v>
      </c>
      <c r="X2162" s="128">
        <f>_xll.qlCalendarAdvance(Calendar,X2161,W2162,"f",FALSE)</f>
        <v>54414</v>
      </c>
      <c r="Y2162" s="131">
        <f>_xll.qlCalendarAdvance(Calendar,X2162,NDays&amp;"D")</f>
        <v>54416</v>
      </c>
      <c r="Z2162" s="132">
        <v>1.6793081400251708E-2</v>
      </c>
      <c r="AA2162" s="129">
        <v>1.6766442632805134E-2</v>
      </c>
    </row>
    <row r="2163" spans="19:27" x14ac:dyDescent="0.2">
      <c r="S2163" s="1"/>
      <c r="T2163" s="109"/>
      <c r="W2163" s="130" t="str">
        <f t="shared" si="43"/>
        <v>1w</v>
      </c>
      <c r="X2163" s="128">
        <f>_xll.qlCalendarAdvance(Calendar,X2162,W2163,"f",FALSE)</f>
        <v>54421</v>
      </c>
      <c r="Y2163" s="131">
        <f>_xll.qlCalendarAdvance(Calendar,X2163,NDays&amp;"D")</f>
        <v>54423</v>
      </c>
      <c r="Z2163" s="132">
        <v>1.6791873632170606E-2</v>
      </c>
      <c r="AA2163" s="129">
        <v>1.676541744850768E-2</v>
      </c>
    </row>
    <row r="2164" spans="19:27" x14ac:dyDescent="0.2">
      <c r="S2164" s="1"/>
      <c r="T2164" s="109"/>
      <c r="W2164" s="130" t="str">
        <f t="shared" si="43"/>
        <v>1w</v>
      </c>
      <c r="X2164" s="128">
        <f>_xll.qlCalendarAdvance(Calendar,X2163,W2164,"f",FALSE)</f>
        <v>54428</v>
      </c>
      <c r="Y2164" s="131">
        <f>_xll.qlCalendarAdvance(Calendar,X2164,NDays&amp;"D")</f>
        <v>54430</v>
      </c>
      <c r="Z2164" s="132">
        <v>1.6790636810935844E-2</v>
      </c>
      <c r="AA2164" s="129">
        <v>1.6763421094285746E-2</v>
      </c>
    </row>
    <row r="2165" spans="19:27" x14ac:dyDescent="0.2">
      <c r="S2165" s="1"/>
      <c r="T2165" s="109"/>
      <c r="W2165" s="130" t="str">
        <f t="shared" si="43"/>
        <v>1w</v>
      </c>
      <c r="X2165" s="128">
        <f>_xll.qlCalendarAdvance(Calendar,X2164,W2165,"f",FALSE)</f>
        <v>54435</v>
      </c>
      <c r="Y2165" s="131">
        <f>_xll.qlCalendarAdvance(Calendar,X2165,NDays&amp;"D")</f>
        <v>54437</v>
      </c>
      <c r="Z2165" s="132">
        <v>1.6789370936577619E-2</v>
      </c>
      <c r="AA2165" s="129">
        <v>1.6762344386362926E-2</v>
      </c>
    </row>
    <row r="2166" spans="19:27" x14ac:dyDescent="0.2">
      <c r="S2166" s="1"/>
      <c r="T2166" s="109"/>
      <c r="W2166" s="130" t="str">
        <f t="shared" si="43"/>
        <v>1w</v>
      </c>
      <c r="X2166" s="128">
        <f>_xll.qlCalendarAdvance(Calendar,X2165,W2166,"f",FALSE)</f>
        <v>54442</v>
      </c>
      <c r="Y2166" s="131">
        <f>_xll.qlCalendarAdvance(Calendar,X2166,NDays&amp;"D")</f>
        <v>54444</v>
      </c>
      <c r="Z2166" s="132">
        <v>1.67880760091208E-2</v>
      </c>
      <c r="AA2166" s="129">
        <v>1.6761238745104379E-2</v>
      </c>
    </row>
    <row r="2167" spans="19:27" x14ac:dyDescent="0.2">
      <c r="S2167" s="1"/>
      <c r="T2167" s="109"/>
      <c r="W2167" s="130" t="str">
        <f t="shared" si="43"/>
        <v>1w</v>
      </c>
      <c r="X2167" s="128">
        <f>_xll.qlCalendarAdvance(Calendar,X2166,W2167,"f",FALSE)</f>
        <v>54449</v>
      </c>
      <c r="Y2167" s="131">
        <f>_xll.qlCalendarAdvance(Calendar,X2167,NDays&amp;"D")</f>
        <v>54451</v>
      </c>
      <c r="Z2167" s="132">
        <v>1.6786752028594698E-2</v>
      </c>
      <c r="AA2167" s="129">
        <v>1.6760104170270296E-2</v>
      </c>
    </row>
    <row r="2168" spans="19:27" x14ac:dyDescent="0.2">
      <c r="S2168" s="1"/>
      <c r="T2168" s="109"/>
      <c r="W2168" s="130" t="str">
        <f t="shared" si="43"/>
        <v>1w</v>
      </c>
      <c r="X2168" s="128">
        <f>_xll.qlCalendarAdvance(Calendar,X2167,W2168,"f",FALSE)</f>
        <v>54456</v>
      </c>
      <c r="Y2168" s="131">
        <f>_xll.qlCalendarAdvance(Calendar,X2168,NDays&amp;"D")</f>
        <v>54458</v>
      </c>
      <c r="Z2168" s="132">
        <v>1.6785110254654578E-2</v>
      </c>
      <c r="AA2168" s="129">
        <v>1.6758940662180422E-2</v>
      </c>
    </row>
    <row r="2169" spans="19:27" x14ac:dyDescent="0.2">
      <c r="S2169" s="1"/>
      <c r="T2169" s="109"/>
      <c r="W2169" s="130" t="str">
        <f t="shared" si="43"/>
        <v>1w</v>
      </c>
      <c r="X2169" s="128">
        <f>_xll.qlCalendarAdvance(Calendar,X2168,W2169,"f",FALSE)</f>
        <v>54463</v>
      </c>
      <c r="Y2169" s="131">
        <f>_xll.qlCalendarAdvance(Calendar,X2169,NDays&amp;"D")</f>
        <v>54465</v>
      </c>
      <c r="Z2169" s="132">
        <v>1.6783730307494891E-2</v>
      </c>
      <c r="AA2169" s="129">
        <v>1.6757748220674884E-2</v>
      </c>
    </row>
    <row r="2170" spans="19:27" x14ac:dyDescent="0.2">
      <c r="S2170" s="1"/>
      <c r="T2170" s="109"/>
      <c r="W2170" s="130" t="str">
        <f t="shared" si="43"/>
        <v>1w</v>
      </c>
      <c r="X2170" s="128">
        <f>_xll.qlCalendarAdvance(Calendar,X2169,W2170,"f",FALSE)</f>
        <v>54470</v>
      </c>
      <c r="Y2170" s="131">
        <f>_xll.qlCalendarAdvance(Calendar,X2170,NDays&amp;"D")</f>
        <v>54472</v>
      </c>
      <c r="Z2170" s="132">
        <v>1.6782321308696807E-2</v>
      </c>
      <c r="AA2170" s="129">
        <v>1.6756526845753683E-2</v>
      </c>
    </row>
    <row r="2171" spans="19:27" x14ac:dyDescent="0.2">
      <c r="S2171" s="1"/>
      <c r="T2171" s="109"/>
      <c r="W2171" s="130" t="str">
        <f t="shared" si="43"/>
        <v>1w</v>
      </c>
      <c r="X2171" s="128">
        <f>_xll.qlCalendarAdvance(Calendar,X2170,W2171,"f",FALSE)</f>
        <v>54477</v>
      </c>
      <c r="Y2171" s="131">
        <f>_xll.qlCalendarAdvance(Calendar,X2171,NDays&amp;"D")</f>
        <v>54479</v>
      </c>
      <c r="Z2171" s="132">
        <v>1.6780883258290861E-2</v>
      </c>
      <c r="AA2171" s="129">
        <v>1.6755276537177011E-2</v>
      </c>
    </row>
    <row r="2172" spans="19:27" x14ac:dyDescent="0.2">
      <c r="S2172" s="1"/>
      <c r="T2172" s="109"/>
      <c r="W2172" s="130" t="str">
        <f t="shared" si="43"/>
        <v>1w</v>
      </c>
      <c r="X2172" s="128">
        <f>_xll.qlCalendarAdvance(Calendar,X2171,W2172,"f",FALSE)</f>
        <v>54484</v>
      </c>
      <c r="Y2172" s="131">
        <f>_xll.qlCalendarAdvance(Calendar,X2172,NDays&amp;"D")</f>
        <v>54486</v>
      </c>
      <c r="Z2172" s="132">
        <v>1.6780256092787951E-2</v>
      </c>
      <c r="AA2172" s="129">
        <v>1.6753997295504419E-2</v>
      </c>
    </row>
    <row r="2173" spans="19:27" x14ac:dyDescent="0.2">
      <c r="S2173" s="1"/>
      <c r="T2173" s="109"/>
      <c r="W2173" s="130" t="str">
        <f t="shared" si="43"/>
        <v>1w</v>
      </c>
      <c r="X2173" s="128">
        <f>_xll.qlCalendarAdvance(Calendar,X2172,W2173,"f",FALSE)</f>
        <v>54491</v>
      </c>
      <c r="Y2173" s="131">
        <f>_xll.qlCalendarAdvance(Calendar,X2173,NDays&amp;"D")</f>
        <v>54493</v>
      </c>
      <c r="Z2173" s="132">
        <v>1.6778753504297798E-2</v>
      </c>
      <c r="AA2173" s="129">
        <v>1.6752689120336228E-2</v>
      </c>
    </row>
    <row r="2174" spans="19:27" x14ac:dyDescent="0.2">
      <c r="S2174" s="1"/>
      <c r="T2174" s="109"/>
      <c r="W2174" s="130" t="str">
        <f t="shared" si="43"/>
        <v>1w</v>
      </c>
      <c r="X2174" s="128">
        <f>_xll.qlCalendarAdvance(Calendar,X2173,W2174,"f",FALSE)</f>
        <v>54498</v>
      </c>
      <c r="Y2174" s="131">
        <f>_xll.qlCalendarAdvance(Calendar,X2174,NDays&amp;"D")</f>
        <v>54500</v>
      </c>
      <c r="Z2174" s="132">
        <v>1.6777221860268799E-2</v>
      </c>
      <c r="AA2174" s="129">
        <v>1.6751352011752374E-2</v>
      </c>
    </row>
    <row r="2175" spans="19:27" x14ac:dyDescent="0.2">
      <c r="S2175" s="1"/>
      <c r="T2175" s="109"/>
      <c r="W2175" s="130" t="str">
        <f t="shared" si="43"/>
        <v>1w</v>
      </c>
      <c r="X2175" s="128">
        <f>_xll.qlCalendarAdvance(Calendar,X2174,W2175,"f",FALSE)</f>
        <v>54505</v>
      </c>
      <c r="Y2175" s="131">
        <f>_xll.qlCalendarAdvance(Calendar,X2175,NDays&amp;"D")</f>
        <v>54507</v>
      </c>
      <c r="Z2175" s="132">
        <v>1.6775661160732234E-2</v>
      </c>
      <c r="AA2175" s="129">
        <v>1.6749985969752856E-2</v>
      </c>
    </row>
    <row r="2176" spans="19:27" x14ac:dyDescent="0.2">
      <c r="S2176" s="1"/>
      <c r="T2176" s="109"/>
      <c r="W2176" s="130" t="str">
        <f t="shared" si="43"/>
        <v>1w</v>
      </c>
      <c r="X2176" s="128">
        <f>_xll.qlCalendarAdvance(Calendar,X2175,W2176,"f",FALSE)</f>
        <v>54512</v>
      </c>
      <c r="Y2176" s="131">
        <f>_xll.qlCalendarAdvance(Calendar,X2176,NDays&amp;"D")</f>
        <v>54514</v>
      </c>
      <c r="Z2176" s="132">
        <v>1.6773800211500666E-2</v>
      </c>
      <c r="AA2176" s="129">
        <v>1.6748590994257739E-2</v>
      </c>
    </row>
    <row r="2177" spans="19:27" x14ac:dyDescent="0.2">
      <c r="S2177" s="1"/>
      <c r="T2177" s="109"/>
      <c r="W2177" s="130" t="str">
        <f t="shared" si="43"/>
        <v>1w</v>
      </c>
      <c r="X2177" s="128">
        <f>_xll.qlCalendarAdvance(Calendar,X2176,W2177,"f",FALSE)</f>
        <v>54519</v>
      </c>
      <c r="Y2177" s="131">
        <f>_xll.qlCalendarAdvance(Calendar,X2177,NDays&amp;"D")</f>
        <v>54521</v>
      </c>
      <c r="Z2177" s="132">
        <v>1.6772183551606357E-2</v>
      </c>
      <c r="AA2177" s="129">
        <v>1.6747167085506831E-2</v>
      </c>
    </row>
    <row r="2178" spans="19:27" x14ac:dyDescent="0.2">
      <c r="S2178" s="1"/>
      <c r="T2178" s="109"/>
      <c r="W2178" s="130" t="str">
        <f t="shared" si="43"/>
        <v>1w</v>
      </c>
      <c r="X2178" s="128">
        <f>_xll.qlCalendarAdvance(Calendar,X2177,W2178,"f",FALSE)</f>
        <v>54526</v>
      </c>
      <c r="Y2178" s="131">
        <f>_xll.qlCalendarAdvance(Calendar,X2178,NDays&amp;"D")</f>
        <v>54528</v>
      </c>
      <c r="Z2178" s="132">
        <v>1.6770537837652675E-2</v>
      </c>
      <c r="AA2178" s="129">
        <v>1.6746851117854789E-2</v>
      </c>
    </row>
    <row r="2179" spans="19:27" x14ac:dyDescent="0.2">
      <c r="S2179" s="1"/>
      <c r="T2179" s="109"/>
      <c r="W2179" s="130" t="str">
        <f t="shared" si="43"/>
        <v>1w</v>
      </c>
      <c r="X2179" s="128">
        <f>_xll.qlCalendarAdvance(Calendar,X2178,W2179,"f",FALSE)</f>
        <v>54533</v>
      </c>
      <c r="Y2179" s="131">
        <f>_xll.qlCalendarAdvance(Calendar,X2179,NDays&amp;"D")</f>
        <v>54535</v>
      </c>
      <c r="Z2179" s="132">
        <v>1.6768863069675628E-2</v>
      </c>
      <c r="AA2179" s="129">
        <v>1.6744232467518216E-2</v>
      </c>
    </row>
    <row r="2180" spans="19:27" x14ac:dyDescent="0.2">
      <c r="S2180" s="1"/>
      <c r="T2180" s="109"/>
      <c r="W2180" s="130" t="str">
        <f t="shared" si="43"/>
        <v>1w</v>
      </c>
      <c r="X2180" s="128">
        <f>_xll.qlCalendarAdvance(Calendar,X2179,W2180,"f",FALSE)</f>
        <v>54540</v>
      </c>
      <c r="Y2180" s="131">
        <f>_xll.qlCalendarAdvance(Calendar,X2180,NDays&amp;"D")</f>
        <v>54542</v>
      </c>
      <c r="Z2180" s="132">
        <v>1.676715924771123E-2</v>
      </c>
      <c r="AA2180" s="129">
        <v>1.6742721758600254E-2</v>
      </c>
    </row>
    <row r="2181" spans="19:27" x14ac:dyDescent="0.2">
      <c r="S2181" s="1"/>
      <c r="T2181" s="109"/>
      <c r="W2181" s="130" t="str">
        <f t="shared" si="43"/>
        <v>1w</v>
      </c>
      <c r="X2181" s="128">
        <f>_xll.qlCalendarAdvance(Calendar,X2180,W2181,"f",FALSE)</f>
        <v>54547</v>
      </c>
      <c r="Y2181" s="131">
        <f>_xll.qlCalendarAdvance(Calendar,X2181,NDays&amp;"D")</f>
        <v>54549</v>
      </c>
      <c r="Z2181" s="132">
        <v>1.6765686799865422E-2</v>
      </c>
      <c r="AA2181" s="129">
        <v>1.6741182116106756E-2</v>
      </c>
    </row>
    <row r="2182" spans="19:27" x14ac:dyDescent="0.2">
      <c r="S2182" s="1"/>
      <c r="T2182" s="109"/>
      <c r="W2182" s="130" t="str">
        <f t="shared" si="43"/>
        <v>1w</v>
      </c>
      <c r="X2182" s="128">
        <f>_xll.qlCalendarAdvance(Calendar,X2181,W2182,"f",FALSE)</f>
        <v>54554</v>
      </c>
      <c r="Y2182" s="131">
        <f>_xll.qlCalendarAdvance(Calendar,X2182,NDays&amp;"D")</f>
        <v>54556</v>
      </c>
      <c r="Z2182" s="132">
        <v>1.6763922712788135E-2</v>
      </c>
      <c r="AA2182" s="129">
        <v>1.6739613540197595E-2</v>
      </c>
    </row>
    <row r="2183" spans="19:27" x14ac:dyDescent="0.2">
      <c r="S2183" s="1"/>
      <c r="T2183" s="109"/>
      <c r="W2183" s="130" t="str">
        <f t="shared" si="43"/>
        <v>1w</v>
      </c>
      <c r="X2183" s="128">
        <f>_xll.qlCalendarAdvance(Calendar,X2182,W2183,"f",FALSE)</f>
        <v>54561</v>
      </c>
      <c r="Y2183" s="131">
        <f>_xll.qlCalendarAdvance(Calendar,X2183,NDays&amp;"D")</f>
        <v>54563</v>
      </c>
      <c r="Z2183" s="132">
        <v>1.6762129570501307E-2</v>
      </c>
      <c r="AA2183" s="129">
        <v>1.6738016030952707E-2</v>
      </c>
    </row>
    <row r="2184" spans="19:27" x14ac:dyDescent="0.2">
      <c r="S2184" s="1"/>
      <c r="T2184" s="109"/>
      <c r="W2184" s="130" t="str">
        <f t="shared" si="43"/>
        <v>1w</v>
      </c>
      <c r="X2184" s="128">
        <f>_xll.qlCalendarAdvance(Calendar,X2183,W2184,"f",FALSE)</f>
        <v>54568</v>
      </c>
      <c r="Y2184" s="131">
        <f>_xll.qlCalendarAdvance(Calendar,X2184,NDays&amp;"D")</f>
        <v>54570</v>
      </c>
      <c r="Z2184" s="132">
        <v>1.6760307373044035E-2</v>
      </c>
      <c r="AA2184" s="129">
        <v>1.6736389588292155E-2</v>
      </c>
    </row>
    <row r="2185" spans="19:27" x14ac:dyDescent="0.2">
      <c r="S2185" s="1"/>
      <c r="T2185" s="109"/>
      <c r="W2185" s="130" t="str">
        <f t="shared" si="43"/>
        <v>1w</v>
      </c>
      <c r="X2185" s="128">
        <f>_xll.qlCalendarAdvance(Calendar,X2184,W2185,"f",FALSE)</f>
        <v>54575</v>
      </c>
      <c r="Y2185" s="131">
        <f>_xll.qlCalendarAdvance(Calendar,X2185,NDays&amp;"D")</f>
        <v>54577</v>
      </c>
      <c r="Z2185" s="132">
        <v>1.6758456120454551E-2</v>
      </c>
      <c r="AA2185" s="129">
        <v>1.6734734212136004E-2</v>
      </c>
    </row>
    <row r="2186" spans="19:27" x14ac:dyDescent="0.2">
      <c r="S2186" s="1"/>
      <c r="T2186" s="109"/>
      <c r="W2186" s="130" t="str">
        <f t="shared" si="43"/>
        <v>1w</v>
      </c>
      <c r="X2186" s="128">
        <f>_xll.qlCalendarAdvance(Calendar,X2185,W2186,"f",FALSE)</f>
        <v>54582</v>
      </c>
      <c r="Y2186" s="131">
        <f>_xll.qlCalendarAdvance(Calendar,X2186,NDays&amp;"D")</f>
        <v>54584</v>
      </c>
      <c r="Z2186" s="132">
        <v>1.6756575812773688E-2</v>
      </c>
      <c r="AA2186" s="129">
        <v>1.6733049902644126E-2</v>
      </c>
    </row>
    <row r="2187" spans="19:27" x14ac:dyDescent="0.2">
      <c r="S2187" s="1"/>
      <c r="T2187" s="109"/>
      <c r="W2187" s="130" t="str">
        <f t="shared" si="43"/>
        <v>1w</v>
      </c>
      <c r="X2187" s="128">
        <f>_xll.qlCalendarAdvance(Calendar,X2186,W2187,"f",FALSE)</f>
        <v>54589</v>
      </c>
      <c r="Y2187" s="131">
        <f>_xll.qlCalendarAdvance(Calendar,X2187,NDays&amp;"D")</f>
        <v>54591</v>
      </c>
      <c r="Z2187" s="132">
        <v>1.6754666450045762E-2</v>
      </c>
      <c r="AA2187" s="129">
        <v>1.6731336659896456E-2</v>
      </c>
    </row>
    <row r="2188" spans="19:27" x14ac:dyDescent="0.2">
      <c r="S2188" s="1"/>
      <c r="T2188" s="109"/>
      <c r="W2188" s="130" t="str">
        <f t="shared" si="43"/>
        <v>1w</v>
      </c>
      <c r="X2188" s="128">
        <f>_xll.qlCalendarAdvance(Calendar,X2187,W2188,"f",FALSE)</f>
        <v>54596</v>
      </c>
      <c r="Y2188" s="131">
        <f>_xll.qlCalendarAdvance(Calendar,X2188,NDays&amp;"D")</f>
        <v>54598</v>
      </c>
      <c r="Z2188" s="132">
        <v>1.675272803231161E-2</v>
      </c>
      <c r="AA2188" s="129">
        <v>1.6729594483493315E-2</v>
      </c>
    </row>
    <row r="2189" spans="19:27" x14ac:dyDescent="0.2">
      <c r="S2189" s="1"/>
      <c r="T2189" s="109"/>
      <c r="W2189" s="130" t="str">
        <f t="shared" si="43"/>
        <v>1w</v>
      </c>
      <c r="X2189" s="128">
        <f>_xll.qlCalendarAdvance(Calendar,X2188,W2189,"f",FALSE)</f>
        <v>54603</v>
      </c>
      <c r="Y2189" s="131">
        <f>_xll.qlCalendarAdvance(Calendar,X2189,NDays&amp;"D")</f>
        <v>54605</v>
      </c>
      <c r="Z2189" s="132">
        <v>1.6750760559615545E-2</v>
      </c>
      <c r="AA2189" s="129">
        <v>1.6727823373754447E-2</v>
      </c>
    </row>
    <row r="2190" spans="19:27" x14ac:dyDescent="0.2">
      <c r="S2190" s="1"/>
      <c r="T2190" s="109"/>
      <c r="W2190" s="130" t="str">
        <f t="shared" si="43"/>
        <v>1w</v>
      </c>
      <c r="X2190" s="128">
        <f>_xll.qlCalendarAdvance(Calendar,X2189,W2190,"f",FALSE)</f>
        <v>54610</v>
      </c>
      <c r="Y2190" s="131">
        <f>_xll.qlCalendarAdvance(Calendar,X2190,NDays&amp;"D")</f>
        <v>54612</v>
      </c>
      <c r="Z2190" s="132">
        <v>1.6748764031999267E-2</v>
      </c>
      <c r="AA2190" s="129">
        <v>1.6726023330759787E-2</v>
      </c>
    </row>
    <row r="2191" spans="19:27" x14ac:dyDescent="0.2">
      <c r="S2191" s="1"/>
      <c r="T2191" s="109"/>
      <c r="W2191" s="130" t="str">
        <f t="shared" si="43"/>
        <v>1w</v>
      </c>
      <c r="X2191" s="128">
        <f>_xll.qlCalendarAdvance(Calendar,X2190,W2191,"f",FALSE)</f>
        <v>54617</v>
      </c>
      <c r="Y2191" s="131">
        <f>_xll.qlCalendarAdvance(Calendar,X2191,NDays&amp;"D")</f>
        <v>54619</v>
      </c>
      <c r="Z2191" s="132">
        <v>1.6746738449507963E-2</v>
      </c>
      <c r="AA2191" s="129">
        <v>1.6724194354269528E-2</v>
      </c>
    </row>
    <row r="2192" spans="19:27" x14ac:dyDescent="0.2">
      <c r="S2192" s="1"/>
      <c r="T2192" s="109"/>
      <c r="W2192" s="130" t="str">
        <f t="shared" si="43"/>
        <v>1w</v>
      </c>
      <c r="X2192" s="128">
        <f>_xll.qlCalendarAdvance(Calendar,X2191,W2192,"f",FALSE)</f>
        <v>54624</v>
      </c>
      <c r="Y2192" s="131">
        <f>_xll.qlCalendarAdvance(Calendar,X2192,NDays&amp;"D")</f>
        <v>54626</v>
      </c>
      <c r="Z2192" s="132">
        <v>1.6744683812185943E-2</v>
      </c>
      <c r="AA2192" s="129">
        <v>1.6722336444203734E-2</v>
      </c>
    </row>
    <row r="2193" spans="19:27" x14ac:dyDescent="0.2">
      <c r="S2193" s="1"/>
      <c r="T2193" s="109"/>
      <c r="W2193" s="130" t="str">
        <f t="shared" si="43"/>
        <v>1w</v>
      </c>
      <c r="X2193" s="128">
        <f>_xll.qlCalendarAdvance(Calendar,X2192,W2193,"f",FALSE)</f>
        <v>54631</v>
      </c>
      <c r="Y2193" s="131">
        <f>_xll.qlCalendarAdvance(Calendar,X2193,NDays&amp;"D")</f>
        <v>54633</v>
      </c>
      <c r="Z2193" s="132">
        <v>1.6742600120080997E-2</v>
      </c>
      <c r="AA2193" s="129">
        <v>1.6720449600962084E-2</v>
      </c>
    </row>
    <row r="2194" spans="19:27" x14ac:dyDescent="0.2">
      <c r="S2194" s="1"/>
      <c r="T2194" s="109"/>
      <c r="W2194" s="130" t="str">
        <f t="shared" si="43"/>
        <v>1w</v>
      </c>
      <c r="X2194" s="128">
        <f>_xll.qlCalendarAdvance(Calendar,X2193,W2194,"f",FALSE)</f>
        <v>54638</v>
      </c>
      <c r="Y2194" s="131">
        <f>_xll.qlCalendarAdvance(Calendar,X2194,NDays&amp;"D")</f>
        <v>54640</v>
      </c>
      <c r="Z2194" s="132">
        <v>1.674048737323483E-2</v>
      </c>
      <c r="AA2194" s="129">
        <v>1.6718533824304771E-2</v>
      </c>
    </row>
    <row r="2195" spans="19:27" x14ac:dyDescent="0.2">
      <c r="S2195" s="1"/>
      <c r="T2195" s="109"/>
      <c r="W2195" s="130" t="str">
        <f t="shared" si="43"/>
        <v>1w</v>
      </c>
      <c r="X2195" s="128">
        <f>_xll.qlCalendarAdvance(Calendar,X2194,W2195,"f",FALSE)</f>
        <v>54645</v>
      </c>
      <c r="Y2195" s="131">
        <f>_xll.qlCalendarAdvance(Calendar,X2195,NDays&amp;"D")</f>
        <v>54647</v>
      </c>
      <c r="Z2195" s="132">
        <v>1.6738345571699571E-2</v>
      </c>
      <c r="AA2195" s="129">
        <v>1.6716589114151859E-2</v>
      </c>
    </row>
    <row r="2196" spans="19:27" x14ac:dyDescent="0.2">
      <c r="S2196" s="1"/>
      <c r="T2196" s="109"/>
      <c r="W2196" s="130" t="str">
        <f t="shared" si="43"/>
        <v>1w</v>
      </c>
      <c r="X2196" s="128">
        <f>_xll.qlCalendarAdvance(Calendar,X2195,W2196,"f",FALSE)</f>
        <v>54652</v>
      </c>
      <c r="Y2196" s="131">
        <f>_xll.qlCalendarAdvance(Calendar,X2196,NDays&amp;"D")</f>
        <v>54654</v>
      </c>
      <c r="Z2196" s="132">
        <v>1.6736174715519539E-2</v>
      </c>
      <c r="AA2196" s="129">
        <v>1.6714615470583283E-2</v>
      </c>
    </row>
    <row r="2197" spans="19:27" x14ac:dyDescent="0.2">
      <c r="S2197" s="1"/>
      <c r="T2197" s="109"/>
      <c r="W2197" s="130" t="str">
        <f t="shared" ref="W2197:W2260" si="44">W2196</f>
        <v>1w</v>
      </c>
      <c r="X2197" s="128">
        <f>_xll.qlCalendarAdvance(Calendar,X2196,W2197,"f",FALSE)</f>
        <v>54659</v>
      </c>
      <c r="Y2197" s="131">
        <f>_xll.qlCalendarAdvance(Calendar,X2197,NDays&amp;"D")</f>
        <v>54661</v>
      </c>
      <c r="Z2197" s="132">
        <v>1.6733974804743385E-2</v>
      </c>
      <c r="AA2197" s="129">
        <v>1.6712612893758916E-2</v>
      </c>
    </row>
    <row r="2198" spans="19:27" x14ac:dyDescent="0.2">
      <c r="S2198" s="1"/>
      <c r="T2198" s="109"/>
      <c r="W2198" s="130" t="str">
        <f t="shared" si="44"/>
        <v>1w</v>
      </c>
      <c r="X2198" s="128">
        <f>_xll.qlCalendarAdvance(Calendar,X2197,W2198,"f",FALSE)</f>
        <v>54666</v>
      </c>
      <c r="Y2198" s="131">
        <f>_xll.qlCalendarAdvance(Calendar,X2198,NDays&amp;"D")</f>
        <v>54668</v>
      </c>
      <c r="Z2198" s="132">
        <v>1.673152226630055E-2</v>
      </c>
      <c r="AA2198" s="129">
        <v>1.6710581383438949E-2</v>
      </c>
    </row>
    <row r="2199" spans="19:27" x14ac:dyDescent="0.2">
      <c r="S2199" s="1"/>
      <c r="T2199" s="109"/>
      <c r="W2199" s="130" t="str">
        <f t="shared" si="44"/>
        <v>1w</v>
      </c>
      <c r="X2199" s="128">
        <f>_xll.qlCalendarAdvance(Calendar,X2198,W2199,"f",FALSE)</f>
        <v>54673</v>
      </c>
      <c r="Y2199" s="131">
        <f>_xll.qlCalendarAdvance(Calendar,X2199,NDays&amp;"D")</f>
        <v>54675</v>
      </c>
      <c r="Z2199" s="132">
        <v>1.6729266426414671E-2</v>
      </c>
      <c r="AA2199" s="129">
        <v>1.6708520939623384E-2</v>
      </c>
    </row>
    <row r="2200" spans="19:27" x14ac:dyDescent="0.2">
      <c r="S2200" s="1"/>
      <c r="T2200" s="109"/>
      <c r="W2200" s="130" t="str">
        <f t="shared" si="44"/>
        <v>1w</v>
      </c>
      <c r="X2200" s="128">
        <f>_xll.qlCalendarAdvance(Calendar,X2199,W2200,"f",FALSE)</f>
        <v>54680</v>
      </c>
      <c r="Y2200" s="131">
        <f>_xll.qlCalendarAdvance(Calendar,X2200,NDays&amp;"D")</f>
        <v>54682</v>
      </c>
      <c r="Z2200" s="132">
        <v>1.67269815334102E-2</v>
      </c>
      <c r="AA2200" s="129">
        <v>1.6706431562392154E-2</v>
      </c>
    </row>
    <row r="2201" spans="19:27" x14ac:dyDescent="0.2">
      <c r="S2201" s="1"/>
      <c r="T2201" s="109"/>
      <c r="W2201" s="130" t="str">
        <f t="shared" si="44"/>
        <v>1w</v>
      </c>
      <c r="X2201" s="128">
        <f>_xll.qlCalendarAdvance(Calendar,X2200,W2201,"f",FALSE)</f>
        <v>54687</v>
      </c>
      <c r="Y2201" s="131">
        <f>_xll.qlCalendarAdvance(Calendar,X2201,NDays&amp;"D")</f>
        <v>54689</v>
      </c>
      <c r="Z2201" s="132">
        <v>1.6724667587338964E-2</v>
      </c>
      <c r="AA2201" s="129">
        <v>1.670431325198507E-2</v>
      </c>
    </row>
    <row r="2202" spans="19:27" x14ac:dyDescent="0.2">
      <c r="S2202" s="1"/>
      <c r="T2202" s="109"/>
      <c r="W2202" s="130" t="str">
        <f t="shared" si="44"/>
        <v>1w</v>
      </c>
      <c r="X2202" s="128">
        <f>_xll.qlCalendarAdvance(Calendar,X2201,W2202,"f",FALSE)</f>
        <v>54694</v>
      </c>
      <c r="Y2202" s="131">
        <f>_xll.qlCalendarAdvance(Calendar,X2202,NDays&amp;"D")</f>
        <v>54696</v>
      </c>
      <c r="Z2202" s="132">
        <v>1.6722539433655939E-2</v>
      </c>
      <c r="AA2202" s="129">
        <v>1.6702166008162322E-2</v>
      </c>
    </row>
    <row r="2203" spans="19:27" x14ac:dyDescent="0.2">
      <c r="S2203" s="1"/>
      <c r="T2203" s="109"/>
      <c r="W2203" s="130" t="str">
        <f t="shared" si="44"/>
        <v>1w</v>
      </c>
      <c r="X2203" s="128">
        <f>_xll.qlCalendarAdvance(Calendar,X2202,W2203,"f",FALSE)</f>
        <v>54701</v>
      </c>
      <c r="Y2203" s="131">
        <f>_xll.qlCalendarAdvance(Calendar,X2203,NDays&amp;"D")</f>
        <v>54703</v>
      </c>
      <c r="Z2203" s="132">
        <v>1.6720165196353526E-2</v>
      </c>
      <c r="AA2203" s="129">
        <v>1.6699989830843975E-2</v>
      </c>
    </row>
    <row r="2204" spans="19:27" x14ac:dyDescent="0.2">
      <c r="S2204" s="1"/>
      <c r="T2204" s="109"/>
      <c r="W2204" s="130" t="str">
        <f t="shared" si="44"/>
        <v>1w</v>
      </c>
      <c r="X2204" s="128">
        <f>_xll.qlCalendarAdvance(Calendar,X2203,W2204,"f",FALSE)</f>
        <v>54708</v>
      </c>
      <c r="Y2204" s="131">
        <f>_xll.qlCalendarAdvance(Calendar,X2204,NDays&amp;"D")</f>
        <v>54710</v>
      </c>
      <c r="Z2204" s="132">
        <v>1.6717761904808622E-2</v>
      </c>
      <c r="AA2204" s="129">
        <v>1.6697784720109965E-2</v>
      </c>
    </row>
    <row r="2205" spans="19:27" x14ac:dyDescent="0.2">
      <c r="S2205" s="1"/>
      <c r="T2205" s="109"/>
      <c r="W2205" s="130" t="str">
        <f t="shared" si="44"/>
        <v>1w</v>
      </c>
      <c r="X2205" s="128">
        <f>_xll.qlCalendarAdvance(Calendar,X2204,W2205,"f",FALSE)</f>
        <v>54715</v>
      </c>
      <c r="Y2205" s="131">
        <f>_xll.qlCalendarAdvance(Calendar,X2205,NDays&amp;"D")</f>
        <v>54717</v>
      </c>
      <c r="Z2205" s="132">
        <v>1.6715329559076838E-2</v>
      </c>
      <c r="AA2205" s="129">
        <v>1.6695550675960291E-2</v>
      </c>
    </row>
    <row r="2206" spans="19:27" x14ac:dyDescent="0.2">
      <c r="S2206" s="1"/>
      <c r="T2206" s="109"/>
      <c r="W2206" s="130" t="str">
        <f t="shared" si="44"/>
        <v>1w</v>
      </c>
      <c r="X2206" s="128">
        <f>_xll.qlCalendarAdvance(Calendar,X2205,W2206,"f",FALSE)</f>
        <v>54722</v>
      </c>
      <c r="Y2206" s="131">
        <f>_xll.qlCalendarAdvance(Calendar,X2206,NDays&amp;"D")</f>
        <v>54724</v>
      </c>
      <c r="Z2206" s="132">
        <v>1.6712868159210303E-2</v>
      </c>
      <c r="AA2206" s="129">
        <v>1.669328769847489E-2</v>
      </c>
    </row>
    <row r="2207" spans="19:27" x14ac:dyDescent="0.2">
      <c r="S2207" s="1"/>
      <c r="T2207" s="109"/>
      <c r="W2207" s="130" t="str">
        <f t="shared" si="44"/>
        <v>1w</v>
      </c>
      <c r="X2207" s="128">
        <f>_xll.qlCalendarAdvance(Calendar,X2206,W2207,"f",FALSE)</f>
        <v>54729</v>
      </c>
      <c r="Y2207" s="131">
        <f>_xll.qlCalendarAdvance(Calendar,X2207,NDays&amp;"D")</f>
        <v>54731</v>
      </c>
      <c r="Z2207" s="132">
        <v>1.6710377705267232E-2</v>
      </c>
      <c r="AA2207" s="129">
        <v>1.6690995787653762E-2</v>
      </c>
    </row>
    <row r="2208" spans="19:27" x14ac:dyDescent="0.2">
      <c r="S2208" s="1"/>
      <c r="T2208" s="109"/>
      <c r="W2208" s="130" t="str">
        <f t="shared" si="44"/>
        <v>1w</v>
      </c>
      <c r="X2208" s="128">
        <f>_xll.qlCalendarAdvance(Calendar,X2207,W2208,"f",FALSE)</f>
        <v>54736</v>
      </c>
      <c r="Y2208" s="131">
        <f>_xll.qlCalendarAdvance(Calendar,X2208,NDays&amp;"D")</f>
        <v>54738</v>
      </c>
      <c r="Z2208" s="132">
        <v>1.6707858197298017E-2</v>
      </c>
      <c r="AA2208" s="129">
        <v>1.6688674943257098E-2</v>
      </c>
    </row>
    <row r="2209" spans="19:27" x14ac:dyDescent="0.2">
      <c r="S2209" s="1"/>
      <c r="T2209" s="109"/>
      <c r="W2209" s="130" t="str">
        <f t="shared" si="44"/>
        <v>1w</v>
      </c>
      <c r="X2209" s="128">
        <f>_xll.qlCalendarAdvance(Calendar,X2208,W2209,"f",FALSE)</f>
        <v>54743</v>
      </c>
      <c r="Y2209" s="131">
        <f>_xll.qlCalendarAdvance(Calendar,X2209,NDays&amp;"D")</f>
        <v>54745</v>
      </c>
      <c r="Z2209" s="132">
        <v>1.6705309635362615E-2</v>
      </c>
      <c r="AA2209" s="129">
        <v>1.6686325165604643E-2</v>
      </c>
    </row>
    <row r="2210" spans="19:27" x14ac:dyDescent="0.2">
      <c r="S2210" s="1"/>
      <c r="T2210" s="109"/>
      <c r="W2210" s="130" t="str">
        <f t="shared" si="44"/>
        <v>1w</v>
      </c>
      <c r="X2210" s="128">
        <f>_xll.qlCalendarAdvance(Calendar,X2209,W2210,"f",FALSE)</f>
        <v>54750</v>
      </c>
      <c r="Y2210" s="131">
        <f>_xll.qlCalendarAdvance(Calendar,X2210,NDays&amp;"D")</f>
        <v>54752</v>
      </c>
      <c r="Z2210" s="132">
        <v>1.6702732019515762E-2</v>
      </c>
      <c r="AA2210" s="129">
        <v>1.6683946454536525E-2</v>
      </c>
    </row>
    <row r="2211" spans="19:27" x14ac:dyDescent="0.2">
      <c r="S2211" s="1"/>
      <c r="T2211" s="109"/>
      <c r="W2211" s="130" t="str">
        <f t="shared" si="44"/>
        <v>1w</v>
      </c>
      <c r="X2211" s="128">
        <f>_xll.qlCalendarAdvance(Calendar,X2210,W2211,"f",FALSE)</f>
        <v>54757</v>
      </c>
      <c r="Y2211" s="131">
        <f>_xll.qlCalendarAdvance(Calendar,X2211,NDays&amp;"D")</f>
        <v>54759</v>
      </c>
      <c r="Z2211" s="132">
        <v>1.6699734885478712E-2</v>
      </c>
      <c r="AA2211" s="129">
        <v>1.6681538810052743E-2</v>
      </c>
    </row>
    <row r="2212" spans="19:27" x14ac:dyDescent="0.2">
      <c r="S2212" s="1"/>
      <c r="T2212" s="109"/>
      <c r="W2212" s="130" t="str">
        <f t="shared" si="44"/>
        <v>1w</v>
      </c>
      <c r="X2212" s="128">
        <f>_xll.qlCalendarAdvance(Calendar,X2211,W2212,"f",FALSE)</f>
        <v>54764</v>
      </c>
      <c r="Y2212" s="131">
        <f>_xll.qlCalendarAdvance(Calendar,X2212,NDays&amp;"D")</f>
        <v>54766</v>
      </c>
      <c r="Z2212" s="132">
        <v>1.6697103556124304E-2</v>
      </c>
      <c r="AA2212" s="129">
        <v>1.6679102232233234E-2</v>
      </c>
    </row>
    <row r="2213" spans="19:27" x14ac:dyDescent="0.2">
      <c r="S2213" s="1"/>
      <c r="T2213" s="109"/>
      <c r="W2213" s="130" t="str">
        <f t="shared" si="44"/>
        <v>1w</v>
      </c>
      <c r="X2213" s="128">
        <f>_xll.qlCalendarAdvance(Calendar,X2212,W2213,"f",FALSE)</f>
        <v>54771</v>
      </c>
      <c r="Y2213" s="131">
        <f>_xll.qlCalendarAdvance(Calendar,X2213,NDays&amp;"D")</f>
        <v>54773</v>
      </c>
      <c r="Z2213" s="132">
        <v>1.6694443175672369E-2</v>
      </c>
      <c r="AA2213" s="129">
        <v>1.6676636720998061E-2</v>
      </c>
    </row>
    <row r="2214" spans="19:27" x14ac:dyDescent="0.2">
      <c r="S2214" s="1"/>
      <c r="T2214" s="109"/>
      <c r="W2214" s="130" t="str">
        <f t="shared" si="44"/>
        <v>1w</v>
      </c>
      <c r="X2214" s="128">
        <f>_xll.qlCalendarAdvance(Calendar,X2213,W2214,"f",FALSE)</f>
        <v>54778</v>
      </c>
      <c r="Y2214" s="131">
        <f>_xll.qlCalendarAdvance(Calendar,X2214,NDays&amp;"D")</f>
        <v>54780</v>
      </c>
      <c r="Z2214" s="132">
        <v>1.6691753744182414E-2</v>
      </c>
      <c r="AA2214" s="129">
        <v>1.6674142276347226E-2</v>
      </c>
    </row>
    <row r="2215" spans="19:27" x14ac:dyDescent="0.2">
      <c r="S2215" s="1"/>
      <c r="T2215" s="109"/>
      <c r="W2215" s="130" t="str">
        <f t="shared" si="44"/>
        <v>1w</v>
      </c>
      <c r="X2215" s="128">
        <f>_xll.qlCalendarAdvance(Calendar,X2214,W2215,"f",FALSE)</f>
        <v>54785</v>
      </c>
      <c r="Y2215" s="131">
        <f>_xll.qlCalendarAdvance(Calendar,X2215,NDays&amp;"D")</f>
        <v>54787</v>
      </c>
      <c r="Z2215" s="132">
        <v>1.6689035261714835E-2</v>
      </c>
      <c r="AA2215" s="129">
        <v>1.6671618898200791E-2</v>
      </c>
    </row>
    <row r="2216" spans="19:27" x14ac:dyDescent="0.2">
      <c r="S2216" s="1"/>
      <c r="T2216" s="109"/>
      <c r="W2216" s="130" t="str">
        <f t="shared" si="44"/>
        <v>1w</v>
      </c>
      <c r="X2216" s="128">
        <f>_xll.qlCalendarAdvance(Calendar,X2215,W2216,"f",FALSE)</f>
        <v>54792</v>
      </c>
      <c r="Y2216" s="131">
        <f>_xll.qlCalendarAdvance(Calendar,X2216,NDays&amp;"D")</f>
        <v>54794</v>
      </c>
      <c r="Z2216" s="132">
        <v>1.6686287728325588E-2</v>
      </c>
      <c r="AA2216" s="129">
        <v>1.66690665868785E-2</v>
      </c>
    </row>
    <row r="2217" spans="19:27" x14ac:dyDescent="0.2">
      <c r="S2217" s="1"/>
      <c r="T2217" s="109"/>
      <c r="W2217" s="130" t="str">
        <f t="shared" si="44"/>
        <v>1w</v>
      </c>
      <c r="X2217" s="128">
        <f>_xll.qlCalendarAdvance(Calendar,X2216,W2217,"f",FALSE)</f>
        <v>54799</v>
      </c>
      <c r="Y2217" s="131">
        <f>_xll.qlCalendarAdvance(Calendar,X2217,NDays&amp;"D")</f>
        <v>54801</v>
      </c>
      <c r="Z2217" s="132">
        <v>1.6683511144075958E-2</v>
      </c>
      <c r="AA2217" s="129">
        <v>1.6666485342060611E-2</v>
      </c>
    </row>
    <row r="2218" spans="19:27" x14ac:dyDescent="0.2">
      <c r="S2218" s="1"/>
      <c r="T2218" s="109"/>
      <c r="W2218" s="130" t="str">
        <f t="shared" si="44"/>
        <v>1w</v>
      </c>
      <c r="X2218" s="128">
        <f>_xll.qlCalendarAdvance(Calendar,X2217,W2218,"f",FALSE)</f>
        <v>54806</v>
      </c>
      <c r="Y2218" s="131">
        <f>_xll.qlCalendarAdvance(Calendar,X2218,NDays&amp;"D")</f>
        <v>54808</v>
      </c>
      <c r="Z2218" s="132">
        <v>1.6680705509025451E-2</v>
      </c>
      <c r="AA2218" s="129">
        <v>1.6663875163827058E-2</v>
      </c>
    </row>
    <row r="2219" spans="19:27" x14ac:dyDescent="0.2">
      <c r="S2219" s="1"/>
      <c r="T2219" s="109"/>
      <c r="W2219" s="130" t="str">
        <f t="shared" si="44"/>
        <v>1w</v>
      </c>
      <c r="X2219" s="128">
        <f>_xll.qlCalendarAdvance(Calendar,X2218,W2219,"f",FALSE)</f>
        <v>54813</v>
      </c>
      <c r="Y2219" s="131">
        <f>_xll.qlCalendarAdvance(Calendar,X2219,NDays&amp;"D")</f>
        <v>54815</v>
      </c>
      <c r="Z2219" s="132">
        <v>1.6677870823232688E-2</v>
      </c>
      <c r="AA2219" s="129">
        <v>1.6661236052097905E-2</v>
      </c>
    </row>
    <row r="2220" spans="19:27" x14ac:dyDescent="0.2">
      <c r="S2220" s="1"/>
      <c r="T2220" s="109"/>
      <c r="W2220" s="130" t="str">
        <f t="shared" si="44"/>
        <v>1w</v>
      </c>
      <c r="X2220" s="128">
        <f>_xll.qlCalendarAdvance(Calendar,X2219,W2220,"f",FALSE)</f>
        <v>54820</v>
      </c>
      <c r="Y2220" s="131">
        <f>_xll.qlCalendarAdvance(Calendar,X2220,NDays&amp;"D")</f>
        <v>54822</v>
      </c>
      <c r="Z2220" s="132">
        <v>1.6674831367986705E-2</v>
      </c>
      <c r="AA2220" s="129">
        <v>1.6658568007192898E-2</v>
      </c>
    </row>
    <row r="2221" spans="19:27" x14ac:dyDescent="0.2">
      <c r="S2221" s="1"/>
      <c r="T2221" s="109"/>
      <c r="W2221" s="130" t="str">
        <f t="shared" si="44"/>
        <v>1w</v>
      </c>
      <c r="X2221" s="128">
        <f>_xll.qlCalendarAdvance(Calendar,X2220,W2221,"f",FALSE)</f>
        <v>54827</v>
      </c>
      <c r="Y2221" s="131">
        <f>_xll.qlCalendarAdvance(Calendar,X2221,NDays&amp;"D")</f>
        <v>54829</v>
      </c>
      <c r="Z2221" s="132">
        <v>1.6671940789545828E-2</v>
      </c>
      <c r="AA2221" s="129">
        <v>1.6655871028872227E-2</v>
      </c>
    </row>
    <row r="2222" spans="19:27" x14ac:dyDescent="0.2">
      <c r="S2222" s="1"/>
      <c r="T2222" s="109"/>
      <c r="W2222" s="130" t="str">
        <f t="shared" si="44"/>
        <v>1w</v>
      </c>
      <c r="X2222" s="128">
        <f>_xll.qlCalendarAdvance(Calendar,X2221,W2222,"f",FALSE)</f>
        <v>54834</v>
      </c>
      <c r="Y2222" s="131">
        <f>_xll.qlCalendarAdvance(Calendar,X2222,NDays&amp;"D")</f>
        <v>54836</v>
      </c>
      <c r="Z2222" s="132">
        <v>1.6669021161864635E-2</v>
      </c>
      <c r="AA2222" s="129">
        <v>1.6653145117055956E-2</v>
      </c>
    </row>
    <row r="2223" spans="19:27" x14ac:dyDescent="0.2">
      <c r="S2223" s="1"/>
      <c r="T2223" s="109"/>
      <c r="W2223" s="130" t="str">
        <f t="shared" si="44"/>
        <v>1w</v>
      </c>
      <c r="X2223" s="128">
        <f>_xll.qlCalendarAdvance(Calendar,X2222,W2223,"f",FALSE)</f>
        <v>54841</v>
      </c>
      <c r="Y2223" s="131">
        <f>_xll.qlCalendarAdvance(Calendar,X2223,NDays&amp;"D")</f>
        <v>54843</v>
      </c>
      <c r="Z2223" s="132">
        <v>1.6666072485008693E-2</v>
      </c>
      <c r="AA2223" s="129">
        <v>1.6650390271983895E-2</v>
      </c>
    </row>
    <row r="2224" spans="19:27" x14ac:dyDescent="0.2">
      <c r="S2224" s="1"/>
      <c r="T2224" s="109"/>
      <c r="W2224" s="130" t="str">
        <f t="shared" si="44"/>
        <v>1w</v>
      </c>
      <c r="X2224" s="128">
        <f>_xll.qlCalendarAdvance(Calendar,X2223,W2224,"f",FALSE)</f>
        <v>54848</v>
      </c>
      <c r="Y2224" s="131">
        <f>_xll.qlCalendarAdvance(Calendar,X2224,NDays&amp;"D")</f>
        <v>54850</v>
      </c>
      <c r="Z2224" s="132">
        <v>1.6663594770167465E-2</v>
      </c>
      <c r="AA2224" s="129">
        <v>1.6647606493416234E-2</v>
      </c>
    </row>
    <row r="2225" spans="19:27" x14ac:dyDescent="0.2">
      <c r="S2225" s="1"/>
      <c r="T2225" s="109"/>
      <c r="W2225" s="130" t="str">
        <f t="shared" si="44"/>
        <v>1w</v>
      </c>
      <c r="X2225" s="128">
        <f>_xll.qlCalendarAdvance(Calendar,X2224,W2225,"f",FALSE)</f>
        <v>54855</v>
      </c>
      <c r="Y2225" s="131">
        <f>_xll.qlCalendarAdvance(Calendar,X2225,NDays&amp;"D")</f>
        <v>54857</v>
      </c>
      <c r="Z2225" s="132">
        <v>1.6660581352874376E-2</v>
      </c>
      <c r="AA2225" s="129">
        <v>1.6644793781672718E-2</v>
      </c>
    </row>
    <row r="2226" spans="19:27" x14ac:dyDescent="0.2">
      <c r="S2226" s="1"/>
      <c r="T2226" s="109"/>
      <c r="W2226" s="130" t="str">
        <f t="shared" si="44"/>
        <v>1w</v>
      </c>
      <c r="X2226" s="128">
        <f>_xll.qlCalendarAdvance(Calendar,X2225,W2226,"f",FALSE)</f>
        <v>54862</v>
      </c>
      <c r="Y2226" s="131">
        <f>_xll.qlCalendarAdvance(Calendar,X2226,NDays&amp;"D")</f>
        <v>54864</v>
      </c>
      <c r="Z2226" s="132">
        <v>1.6657538882661218E-2</v>
      </c>
      <c r="AA2226" s="129">
        <v>1.664195213627373E-2</v>
      </c>
    </row>
    <row r="2227" spans="19:27" x14ac:dyDescent="0.2">
      <c r="S2227" s="1"/>
      <c r="T2227" s="109"/>
      <c r="W2227" s="130" t="str">
        <f t="shared" si="44"/>
        <v>1w</v>
      </c>
      <c r="X2227" s="128">
        <f>_xll.qlCalendarAdvance(Calendar,X2226,W2227,"f",FALSE)</f>
        <v>54869</v>
      </c>
      <c r="Y2227" s="131">
        <f>_xll.qlCalendarAdvance(Calendar,X2227,NDays&amp;"D")</f>
        <v>54871</v>
      </c>
      <c r="Z2227" s="132">
        <v>1.6654467359595766E-2</v>
      </c>
      <c r="AA2227" s="129">
        <v>1.6639081557618951E-2</v>
      </c>
    </row>
    <row r="2228" spans="19:27" x14ac:dyDescent="0.2">
      <c r="S2228" s="1"/>
      <c r="T2228" s="109"/>
      <c r="W2228" s="130" t="str">
        <f t="shared" si="44"/>
        <v>1w</v>
      </c>
      <c r="X2228" s="128">
        <f>_xll.qlCalendarAdvance(Calendar,X2227,W2228,"f",FALSE)</f>
        <v>54876</v>
      </c>
      <c r="Y2228" s="131">
        <f>_xll.qlCalendarAdvance(Calendar,X2228,NDays&amp;"D")</f>
        <v>54878</v>
      </c>
      <c r="Z2228" s="132">
        <v>1.6651209184333694E-2</v>
      </c>
      <c r="AA2228" s="129">
        <v>1.6636182045628445E-2</v>
      </c>
    </row>
    <row r="2229" spans="19:27" x14ac:dyDescent="0.2">
      <c r="S2229" s="1"/>
      <c r="T2229" s="109"/>
      <c r="W2229" s="130" t="str">
        <f t="shared" si="44"/>
        <v>1w</v>
      </c>
      <c r="X2229" s="128">
        <f>_xll.qlCalendarAdvance(Calendar,X2228,W2229,"f",FALSE)</f>
        <v>54883</v>
      </c>
      <c r="Y2229" s="131">
        <f>_xll.qlCalendarAdvance(Calendar,X2229,NDays&amp;"D")</f>
        <v>54885</v>
      </c>
      <c r="Z2229" s="132">
        <v>1.664808177529602E-2</v>
      </c>
      <c r="AA2229" s="129">
        <v>1.6633947940343674E-2</v>
      </c>
    </row>
    <row r="2230" spans="19:27" x14ac:dyDescent="0.2">
      <c r="S2230" s="1"/>
      <c r="T2230" s="109"/>
      <c r="W2230" s="130" t="str">
        <f t="shared" si="44"/>
        <v>1w</v>
      </c>
      <c r="X2230" s="128">
        <f>_xll.qlCalendarAdvance(Calendar,X2229,W2230,"f",FALSE)</f>
        <v>54890</v>
      </c>
      <c r="Y2230" s="131">
        <f>_xll.qlCalendarAdvance(Calendar,X2230,NDays&amp;"D")</f>
        <v>54892</v>
      </c>
      <c r="Z2230" s="132">
        <v>1.6644925314924702E-2</v>
      </c>
      <c r="AA2230" s="129">
        <v>1.663029622124057E-2</v>
      </c>
    </row>
    <row r="2231" spans="19:27" x14ac:dyDescent="0.2">
      <c r="S2231" s="1"/>
      <c r="T2231" s="109"/>
      <c r="W2231" s="130" t="str">
        <f t="shared" si="44"/>
        <v>1w</v>
      </c>
      <c r="X2231" s="128">
        <f>_xll.qlCalendarAdvance(Calendar,X2230,W2231,"f",FALSE)</f>
        <v>54897</v>
      </c>
      <c r="Y2231" s="131">
        <f>_xll.qlCalendarAdvance(Calendar,X2231,NDays&amp;"D")</f>
        <v>54899</v>
      </c>
      <c r="Z2231" s="132">
        <v>1.6641739803284736E-2</v>
      </c>
      <c r="AA2231" s="129">
        <v>1.662730990908301E-2</v>
      </c>
    </row>
    <row r="2232" spans="19:27" x14ac:dyDescent="0.2">
      <c r="S2232" s="1"/>
      <c r="T2232" s="109"/>
      <c r="W2232" s="130" t="str">
        <f t="shared" si="44"/>
        <v>1w</v>
      </c>
      <c r="X2232" s="128">
        <f>_xll.qlCalendarAdvance(Calendar,X2231,W2232,"f",FALSE)</f>
        <v>54904</v>
      </c>
      <c r="Y2232" s="131">
        <f>_xll.qlCalendarAdvance(Calendar,X2232,NDays&amp;"D")</f>
        <v>54906</v>
      </c>
      <c r="Z2232" s="132">
        <v>1.6638525240447281E-2</v>
      </c>
      <c r="AA2232" s="129">
        <v>1.6624294663509787E-2</v>
      </c>
    </row>
    <row r="2233" spans="19:27" x14ac:dyDescent="0.2">
      <c r="S2233" s="1"/>
      <c r="T2233" s="109"/>
      <c r="W2233" s="130" t="str">
        <f t="shared" si="44"/>
        <v>1w</v>
      </c>
      <c r="X2233" s="128">
        <f>_xll.qlCalendarAdvance(Calendar,X2232,W2233,"f",FALSE)</f>
        <v>54911</v>
      </c>
      <c r="Y2233" s="131">
        <f>_xll.qlCalendarAdvance(Calendar,X2233,NDays&amp;"D")</f>
        <v>54913</v>
      </c>
      <c r="Z2233" s="132">
        <v>1.6635428115183416E-2</v>
      </c>
      <c r="AA2233" s="129">
        <v>1.66212504845209E-2</v>
      </c>
    </row>
    <row r="2234" spans="19:27" x14ac:dyDescent="0.2">
      <c r="S2234" s="1"/>
      <c r="T2234" s="109"/>
      <c r="W2234" s="130" t="str">
        <f t="shared" si="44"/>
        <v>1w</v>
      </c>
      <c r="X2234" s="128">
        <f>_xll.qlCalendarAdvance(Calendar,X2233,W2234,"f",FALSE)</f>
        <v>54918</v>
      </c>
      <c r="Y2234" s="131">
        <f>_xll.qlCalendarAdvance(Calendar,X2234,NDays&amp;"D")</f>
        <v>54920</v>
      </c>
      <c r="Z2234" s="132">
        <v>1.6632153224100752E-2</v>
      </c>
      <c r="AA2234" s="129">
        <v>1.6618177372116349E-2</v>
      </c>
    </row>
    <row r="2235" spans="19:27" x14ac:dyDescent="0.2">
      <c r="S2235" s="1"/>
      <c r="T2235" s="109"/>
      <c r="W2235" s="130" t="str">
        <f t="shared" si="44"/>
        <v>1w</v>
      </c>
      <c r="X2235" s="128">
        <f>_xll.qlCalendarAdvance(Calendar,X2234,W2235,"f",FALSE)</f>
        <v>54925</v>
      </c>
      <c r="Y2235" s="131">
        <f>_xll.qlCalendarAdvance(Calendar,X2235,NDays&amp;"D")</f>
        <v>54927</v>
      </c>
      <c r="Z2235" s="132">
        <v>1.6628849280729687E-2</v>
      </c>
      <c r="AA2235" s="129">
        <v>1.6615075326456008E-2</v>
      </c>
    </row>
    <row r="2236" spans="19:27" x14ac:dyDescent="0.2">
      <c r="S2236" s="1"/>
      <c r="T2236" s="109"/>
      <c r="W2236" s="130" t="str">
        <f t="shared" si="44"/>
        <v>1w</v>
      </c>
      <c r="X2236" s="128">
        <f>_xll.qlCalendarAdvance(Calendar,X2235,W2236,"f",FALSE)</f>
        <v>54932</v>
      </c>
      <c r="Y2236" s="131">
        <f>_xll.qlCalendarAdvance(Calendar,X2236,NDays&amp;"D")</f>
        <v>54934</v>
      </c>
      <c r="Z2236" s="132">
        <v>1.6625516285143204E-2</v>
      </c>
      <c r="AA2236" s="129">
        <v>1.6611944347380003E-2</v>
      </c>
    </row>
    <row r="2237" spans="19:27" x14ac:dyDescent="0.2">
      <c r="S2237" s="1"/>
      <c r="T2237" s="109"/>
      <c r="W2237" s="130" t="str">
        <f t="shared" si="44"/>
        <v>1w</v>
      </c>
      <c r="X2237" s="128">
        <f>_xll.qlCalendarAdvance(Calendar,X2236,W2237,"f",FALSE)</f>
        <v>54939</v>
      </c>
      <c r="Y2237" s="131">
        <f>_xll.qlCalendarAdvance(Calendar,X2237,NDays&amp;"D")</f>
        <v>54941</v>
      </c>
      <c r="Z2237" s="132">
        <v>1.6622154237415161E-2</v>
      </c>
      <c r="AA2237" s="129">
        <v>1.6608784434888335E-2</v>
      </c>
    </row>
    <row r="2238" spans="19:27" x14ac:dyDescent="0.2">
      <c r="S2238" s="1"/>
      <c r="T2238" s="109"/>
      <c r="W2238" s="130" t="str">
        <f t="shared" si="44"/>
        <v>1w</v>
      </c>
      <c r="X2238" s="128">
        <f>_xll.qlCalendarAdvance(Calendar,X2237,W2238,"f",FALSE)</f>
        <v>54946</v>
      </c>
      <c r="Y2238" s="131">
        <f>_xll.qlCalendarAdvance(Calendar,X2238,NDays&amp;"D")</f>
        <v>54948</v>
      </c>
      <c r="Z2238" s="132">
        <v>1.6618763137620278E-2</v>
      </c>
      <c r="AA2238" s="129">
        <v>1.660559558906094E-2</v>
      </c>
    </row>
    <row r="2239" spans="19:27" x14ac:dyDescent="0.2">
      <c r="S2239" s="1"/>
      <c r="T2239" s="109"/>
      <c r="W2239" s="130" t="str">
        <f t="shared" si="44"/>
        <v>1w</v>
      </c>
      <c r="X2239" s="128">
        <f>_xll.qlCalendarAdvance(Calendar,X2238,W2239,"f",FALSE)</f>
        <v>54953</v>
      </c>
      <c r="Y2239" s="131">
        <f>_xll.qlCalendarAdvance(Calendar,X2239,NDays&amp;"D")</f>
        <v>54955</v>
      </c>
      <c r="Z2239" s="132">
        <v>1.6615342985835019E-2</v>
      </c>
      <c r="AA2239" s="129">
        <v>1.6602377809897817E-2</v>
      </c>
    </row>
    <row r="2240" spans="19:27" x14ac:dyDescent="0.2">
      <c r="S2240" s="1"/>
      <c r="T2240" s="109"/>
      <c r="W2240" s="130" t="str">
        <f t="shared" si="44"/>
        <v>1w</v>
      </c>
      <c r="X2240" s="128">
        <f>_xll.qlCalendarAdvance(Calendar,X2239,W2240,"f",FALSE)</f>
        <v>54960</v>
      </c>
      <c r="Y2240" s="131">
        <f>_xll.qlCalendarAdvance(Calendar,X2240,NDays&amp;"D")</f>
        <v>54962</v>
      </c>
      <c r="Z2240" s="132">
        <v>1.6611893782132365E-2</v>
      </c>
      <c r="AA2240" s="129">
        <v>1.6599131097159159E-2</v>
      </c>
    </row>
    <row r="2241" spans="19:27" x14ac:dyDescent="0.2">
      <c r="S2241" s="1"/>
      <c r="T2241" s="109"/>
      <c r="W2241" s="130" t="str">
        <f t="shared" si="44"/>
        <v>1w</v>
      </c>
      <c r="X2241" s="128">
        <f>_xll.qlCalendarAdvance(Calendar,X2240,W2241,"f",FALSE)</f>
        <v>54967</v>
      </c>
      <c r="Y2241" s="131">
        <f>_xll.qlCalendarAdvance(Calendar,X2241,NDays&amp;"D")</f>
        <v>54969</v>
      </c>
      <c r="Z2241" s="132">
        <v>1.6608415526591383E-2</v>
      </c>
      <c r="AA2241" s="129">
        <v>1.6595855451244645E-2</v>
      </c>
    </row>
    <row r="2242" spans="19:27" x14ac:dyDescent="0.2">
      <c r="S2242" s="1"/>
      <c r="T2242" s="109"/>
      <c r="W2242" s="130" t="str">
        <f t="shared" si="44"/>
        <v>1w</v>
      </c>
      <c r="X2242" s="128">
        <f>_xll.qlCalendarAdvance(Calendar,X2241,W2242,"f",FALSE)</f>
        <v>54974</v>
      </c>
      <c r="Y2242" s="131">
        <f>_xll.qlCalendarAdvance(Calendar,X2242,NDays&amp;"D")</f>
        <v>54976</v>
      </c>
      <c r="Z2242" s="132">
        <v>1.6604908219288537E-2</v>
      </c>
      <c r="AA2242" s="129">
        <v>1.6592550871994405E-2</v>
      </c>
    </row>
    <row r="2243" spans="19:27" x14ac:dyDescent="0.2">
      <c r="S2243" s="1"/>
      <c r="T2243" s="109"/>
      <c r="W2243" s="130" t="str">
        <f t="shared" si="44"/>
        <v>1w</v>
      </c>
      <c r="X2243" s="128">
        <f>_xll.qlCalendarAdvance(Calendar,X2242,W2243,"f",FALSE)</f>
        <v>54981</v>
      </c>
      <c r="Y2243" s="131">
        <f>_xll.qlCalendarAdvance(Calendar,X2243,NDays&amp;"D")</f>
        <v>54983</v>
      </c>
      <c r="Z2243" s="132">
        <v>1.6601371860302021E-2</v>
      </c>
      <c r="AA2243" s="129">
        <v>1.6589217359248565E-2</v>
      </c>
    </row>
    <row r="2244" spans="19:27" x14ac:dyDescent="0.2">
      <c r="S2244" s="1"/>
      <c r="T2244" s="109"/>
      <c r="W2244" s="130" t="str">
        <f t="shared" si="44"/>
        <v>1w</v>
      </c>
      <c r="X2244" s="128">
        <f>_xll.qlCalendarAdvance(Calendar,X2243,W2244,"f",FALSE)</f>
        <v>54988</v>
      </c>
      <c r="Y2244" s="131">
        <f>_xll.qlCalendarAdvance(Calendar,X2244,NDays&amp;"D")</f>
        <v>54990</v>
      </c>
      <c r="Z2244" s="132">
        <v>1.6597806449708302E-2</v>
      </c>
      <c r="AA2244" s="129">
        <v>1.6585854913166997E-2</v>
      </c>
    </row>
    <row r="2245" spans="19:27" x14ac:dyDescent="0.2">
      <c r="S2245" s="1"/>
      <c r="T2245" s="109"/>
      <c r="W2245" s="130" t="str">
        <f t="shared" si="44"/>
        <v>1w</v>
      </c>
      <c r="X2245" s="128">
        <f>_xll.qlCalendarAdvance(Calendar,X2244,W2245,"f",FALSE)</f>
        <v>54995</v>
      </c>
      <c r="Y2245" s="131">
        <f>_xll.qlCalendarAdvance(Calendar,X2245,NDays&amp;"D")</f>
        <v>54997</v>
      </c>
      <c r="Z2245" s="132">
        <v>1.6594211987587308E-2</v>
      </c>
      <c r="AA2245" s="129">
        <v>1.6582463533669767E-2</v>
      </c>
    </row>
    <row r="2246" spans="19:27" x14ac:dyDescent="0.2">
      <c r="S2246" s="1"/>
      <c r="T2246" s="109"/>
      <c r="W2246" s="130" t="str">
        <f t="shared" si="44"/>
        <v>1w</v>
      </c>
      <c r="X2246" s="128">
        <f>_xll.qlCalendarAdvance(Calendar,X2245,W2246,"f",FALSE)</f>
        <v>55002</v>
      </c>
      <c r="Y2246" s="131">
        <f>_xll.qlCalendarAdvance(Calendar,X2246,NDays&amp;"D")</f>
        <v>55004</v>
      </c>
      <c r="Z2246" s="132">
        <v>1.6590588474019851E-2</v>
      </c>
      <c r="AA2246" s="129">
        <v>1.6579043220836809E-2</v>
      </c>
    </row>
    <row r="2247" spans="19:27" x14ac:dyDescent="0.2">
      <c r="S2247" s="1"/>
      <c r="T2247" s="109"/>
      <c r="W2247" s="130" t="str">
        <f t="shared" si="44"/>
        <v>1w</v>
      </c>
      <c r="X2247" s="128">
        <f>_xll.qlCalendarAdvance(Calendar,X2246,W2247,"f",FALSE)</f>
        <v>55009</v>
      </c>
      <c r="Y2247" s="131">
        <f>_xll.qlCalendarAdvance(Calendar,X2247,NDays&amp;"D")</f>
        <v>55011</v>
      </c>
      <c r="Z2247" s="132">
        <v>1.6586935909087601E-2</v>
      </c>
      <c r="AA2247" s="129">
        <v>1.6575593974827996E-2</v>
      </c>
    </row>
    <row r="2248" spans="19:27" x14ac:dyDescent="0.2">
      <c r="S2248" s="1"/>
      <c r="T2248" s="109"/>
      <c r="W2248" s="130" t="str">
        <f t="shared" si="44"/>
        <v>1w</v>
      </c>
      <c r="X2248" s="128">
        <f>_xll.qlCalendarAdvance(Calendar,X2247,W2248,"f",FALSE)</f>
        <v>55016</v>
      </c>
      <c r="Y2248" s="131">
        <f>_xll.qlCalendarAdvance(Calendar,X2248,NDays&amp;"D")</f>
        <v>55018</v>
      </c>
      <c r="Z2248" s="132">
        <v>1.6583254292867888E-2</v>
      </c>
      <c r="AA2248" s="129">
        <v>1.6572115795243647E-2</v>
      </c>
    </row>
    <row r="2249" spans="19:27" x14ac:dyDescent="0.2">
      <c r="S2249" s="1"/>
      <c r="T2249" s="109"/>
      <c r="W2249" s="130" t="str">
        <f t="shared" si="44"/>
        <v>1w</v>
      </c>
      <c r="X2249" s="128">
        <f>_xll.qlCalendarAdvance(Calendar,X2248,W2249,"f",FALSE)</f>
        <v>55023</v>
      </c>
      <c r="Y2249" s="131">
        <f>_xll.qlCalendarAdvance(Calendar,X2249,NDays&amp;"D")</f>
        <v>55025</v>
      </c>
      <c r="Z2249" s="132">
        <v>1.6579543625444997E-2</v>
      </c>
      <c r="AA2249" s="129">
        <v>1.6568608682403507E-2</v>
      </c>
    </row>
    <row r="2250" spans="19:27" x14ac:dyDescent="0.2">
      <c r="S2250" s="1"/>
      <c r="T2250" s="109"/>
      <c r="W2250" s="130" t="str">
        <f t="shared" si="44"/>
        <v>1w</v>
      </c>
      <c r="X2250" s="128">
        <f>_xll.qlCalendarAdvance(Calendar,X2249,W2250,"f",FALSE)</f>
        <v>55030</v>
      </c>
      <c r="Y2250" s="131">
        <f>_xll.qlCalendarAdvance(Calendar,X2250,NDays&amp;"D")</f>
        <v>55032</v>
      </c>
      <c r="Z2250" s="132">
        <v>1.6575695438019251E-2</v>
      </c>
      <c r="AA2250" s="129">
        <v>1.6565072635987832E-2</v>
      </c>
    </row>
    <row r="2251" spans="19:27" x14ac:dyDescent="0.2">
      <c r="S2251" s="1"/>
      <c r="T2251" s="109"/>
      <c r="W2251" s="130" t="str">
        <f t="shared" si="44"/>
        <v>1w</v>
      </c>
      <c r="X2251" s="128">
        <f>_xll.qlCalendarAdvance(Calendar,X2250,W2251,"f",FALSE)</f>
        <v>55037</v>
      </c>
      <c r="Y2251" s="131">
        <f>_xll.qlCalendarAdvance(Calendar,X2251,NDays&amp;"D")</f>
        <v>55039</v>
      </c>
      <c r="Z2251" s="132">
        <v>1.6571928916548271E-2</v>
      </c>
      <c r="AA2251" s="129">
        <v>1.6561507656396302E-2</v>
      </c>
    </row>
    <row r="2252" spans="19:27" x14ac:dyDescent="0.2">
      <c r="S2252" s="1"/>
      <c r="T2252" s="109"/>
      <c r="W2252" s="130" t="str">
        <f t="shared" si="44"/>
        <v>1w</v>
      </c>
      <c r="X2252" s="128">
        <f>_xll.qlCalendarAdvance(Calendar,X2251,W2252,"f",FALSE)</f>
        <v>55044</v>
      </c>
      <c r="Y2252" s="131">
        <f>_xll.qlCalendarAdvance(Calendar,X2252,NDays&amp;"D")</f>
        <v>55046</v>
      </c>
      <c r="Z2252" s="132">
        <v>1.6568133345411764E-2</v>
      </c>
      <c r="AA2252" s="129">
        <v>1.6557913743389108E-2</v>
      </c>
    </row>
    <row r="2253" spans="19:27" x14ac:dyDescent="0.2">
      <c r="S2253" s="1"/>
      <c r="T2253" s="109"/>
      <c r="W2253" s="130" t="str">
        <f t="shared" si="44"/>
        <v>1w</v>
      </c>
      <c r="X2253" s="128">
        <f>_xll.qlCalendarAdvance(Calendar,X2252,W2253,"f",FALSE)</f>
        <v>55051</v>
      </c>
      <c r="Y2253" s="131">
        <f>_xll.qlCalendarAdvance(Calendar,X2253,NDays&amp;"D")</f>
        <v>55053</v>
      </c>
      <c r="Z2253" s="132">
        <v>1.6564308724692292E-2</v>
      </c>
      <c r="AA2253" s="129">
        <v>1.6554290896966251E-2</v>
      </c>
    </row>
    <row r="2254" spans="19:27" x14ac:dyDescent="0.2">
      <c r="S2254" s="1"/>
      <c r="T2254" s="109"/>
      <c r="W2254" s="130" t="str">
        <f t="shared" si="44"/>
        <v>1w</v>
      </c>
      <c r="X2254" s="128">
        <f>_xll.qlCalendarAdvance(Calendar,X2253,W2254,"f",FALSE)</f>
        <v>55058</v>
      </c>
      <c r="Y2254" s="131">
        <f>_xll.qlCalendarAdvance(Calendar,X2254,NDays&amp;"D")</f>
        <v>55060</v>
      </c>
      <c r="Z2254" s="132">
        <v>1.6560455054475072E-2</v>
      </c>
      <c r="AA2254" s="129">
        <v>1.6550639117367538E-2</v>
      </c>
    </row>
    <row r="2255" spans="19:27" x14ac:dyDescent="0.2">
      <c r="S2255" s="1"/>
      <c r="T2255" s="109"/>
      <c r="W2255" s="130" t="str">
        <f t="shared" si="44"/>
        <v>1w</v>
      </c>
      <c r="X2255" s="128">
        <f>_xll.qlCalendarAdvance(Calendar,X2254,W2255,"f",FALSE)</f>
        <v>55065</v>
      </c>
      <c r="Y2255" s="131">
        <f>_xll.qlCalendarAdvance(Calendar,X2255,NDays&amp;"D")</f>
        <v>55067</v>
      </c>
      <c r="Z2255" s="132">
        <v>1.6556669550275356E-2</v>
      </c>
      <c r="AA2255" s="129">
        <v>1.6546958404113354E-2</v>
      </c>
    </row>
    <row r="2256" spans="19:27" x14ac:dyDescent="0.2">
      <c r="S2256" s="1"/>
      <c r="T2256" s="109"/>
      <c r="W2256" s="130" t="str">
        <f t="shared" si="44"/>
        <v>1w</v>
      </c>
      <c r="X2256" s="128">
        <f>_xll.qlCalendarAdvance(Calendar,X2255,W2256,"f",FALSE)</f>
        <v>55072</v>
      </c>
      <c r="Y2256" s="131">
        <f>_xll.qlCalendarAdvance(Calendar,X2256,NDays&amp;"D")</f>
        <v>55074</v>
      </c>
      <c r="Z2256" s="132">
        <v>1.6552755526763101E-2</v>
      </c>
      <c r="AA2256" s="129">
        <v>1.6543248757763251E-2</v>
      </c>
    </row>
    <row r="2257" spans="19:27" x14ac:dyDescent="0.2">
      <c r="S2257" s="1"/>
      <c r="T2257" s="109"/>
      <c r="W2257" s="130" t="str">
        <f t="shared" si="44"/>
        <v>1w</v>
      </c>
      <c r="X2257" s="128">
        <f>_xll.qlCalendarAdvance(Calendar,X2256,W2257,"f",FALSE)</f>
        <v>55079</v>
      </c>
      <c r="Y2257" s="131">
        <f>_xll.qlCalendarAdvance(Calendar,X2257,NDays&amp;"D")</f>
        <v>55081</v>
      </c>
      <c r="Z2257" s="132">
        <v>1.6548812452726252E-2</v>
      </c>
      <c r="AA2257" s="129">
        <v>1.6539510177997485E-2</v>
      </c>
    </row>
    <row r="2258" spans="19:27" x14ac:dyDescent="0.2">
      <c r="S2258" s="1"/>
      <c r="T2258" s="109"/>
      <c r="W2258" s="130" t="str">
        <f t="shared" si="44"/>
        <v>1w</v>
      </c>
      <c r="X2258" s="128">
        <f>_xll.qlCalendarAdvance(Calendar,X2257,W2258,"f",FALSE)</f>
        <v>55086</v>
      </c>
      <c r="Y2258" s="131">
        <f>_xll.qlCalendarAdvance(Calendar,X2258,NDays&amp;"D")</f>
        <v>55088</v>
      </c>
      <c r="Z2258" s="132">
        <v>1.6544840328248222E-2</v>
      </c>
      <c r="AA2258" s="129">
        <v>1.6535742664736119E-2</v>
      </c>
    </row>
    <row r="2259" spans="19:27" x14ac:dyDescent="0.2">
      <c r="S2259" s="1"/>
      <c r="T2259" s="109"/>
      <c r="W2259" s="130" t="str">
        <f t="shared" si="44"/>
        <v>1w</v>
      </c>
      <c r="X2259" s="128">
        <f>_xll.qlCalendarAdvance(Calendar,X2258,W2259,"f",FALSE)</f>
        <v>55093</v>
      </c>
      <c r="Y2259" s="131">
        <f>_xll.qlCalendarAdvance(Calendar,X2259,NDays&amp;"D")</f>
        <v>55095</v>
      </c>
      <c r="Z2259" s="132">
        <v>1.6540839153416764E-2</v>
      </c>
      <c r="AA2259" s="129">
        <v>1.6531946218139026E-2</v>
      </c>
    </row>
    <row r="2260" spans="19:27" x14ac:dyDescent="0.2">
      <c r="S2260" s="1"/>
      <c r="T2260" s="109"/>
      <c r="W2260" s="130" t="str">
        <f t="shared" si="44"/>
        <v>1w</v>
      </c>
      <c r="X2260" s="128">
        <f>_xll.qlCalendarAdvance(Calendar,X2259,W2260,"f",FALSE)</f>
        <v>55100</v>
      </c>
      <c r="Y2260" s="131">
        <f>_xll.qlCalendarAdvance(Calendar,X2260,NDays&amp;"D")</f>
        <v>55102</v>
      </c>
      <c r="Z2260" s="132">
        <v>1.653680892832398E-2</v>
      </c>
      <c r="AA2260" s="129">
        <v>1.6528120838286142E-2</v>
      </c>
    </row>
    <row r="2261" spans="19:27" x14ac:dyDescent="0.2">
      <c r="S2261" s="1"/>
      <c r="T2261" s="109"/>
      <c r="W2261" s="130" t="str">
        <f t="shared" ref="W2261:W2324" si="45">W2260</f>
        <v>1w</v>
      </c>
      <c r="X2261" s="128">
        <f>_xll.qlCalendarAdvance(Calendar,X2260,W2261,"f",FALSE)</f>
        <v>55107</v>
      </c>
      <c r="Y2261" s="131">
        <f>_xll.qlCalendarAdvance(Calendar,X2261,NDays&amp;"D")</f>
        <v>55109</v>
      </c>
      <c r="Z2261" s="132">
        <v>1.6532749653058492E-2</v>
      </c>
      <c r="AA2261" s="129">
        <v>1.6524266525177467E-2</v>
      </c>
    </row>
    <row r="2262" spans="19:27" x14ac:dyDescent="0.2">
      <c r="S2262" s="1"/>
      <c r="T2262" s="109"/>
      <c r="W2262" s="130" t="str">
        <f t="shared" si="45"/>
        <v>1w</v>
      </c>
      <c r="X2262" s="128">
        <f>_xll.qlCalendarAdvance(Calendar,X2261,W2262,"f",FALSE)</f>
        <v>55114</v>
      </c>
      <c r="Y2262" s="131">
        <f>_xll.qlCalendarAdvance(Calendar,X2262,NDays&amp;"D")</f>
        <v>55116</v>
      </c>
      <c r="Z2262" s="132">
        <v>1.6528661327707188E-2</v>
      </c>
      <c r="AA2262" s="129">
        <v>1.6520383278573192E-2</v>
      </c>
    </row>
    <row r="2263" spans="19:27" x14ac:dyDescent="0.2">
      <c r="S2263" s="1"/>
      <c r="T2263" s="109"/>
      <c r="W2263" s="130" t="str">
        <f t="shared" si="45"/>
        <v>1w</v>
      </c>
      <c r="X2263" s="128">
        <f>_xll.qlCalendarAdvance(Calendar,X2262,W2263,"f",FALSE)</f>
        <v>55121</v>
      </c>
      <c r="Y2263" s="131">
        <f>_xll.qlCalendarAdvance(Calendar,X2263,NDays&amp;"D")</f>
        <v>55123</v>
      </c>
      <c r="Z2263" s="132">
        <v>1.6524385452575174E-2</v>
      </c>
      <c r="AA2263" s="129">
        <v>1.6516471098553254E-2</v>
      </c>
    </row>
    <row r="2264" spans="19:27" x14ac:dyDescent="0.2">
      <c r="S2264" s="1"/>
      <c r="T2264" s="109"/>
      <c r="W2264" s="130" t="str">
        <f t="shared" si="45"/>
        <v>1w</v>
      </c>
      <c r="X2264" s="128">
        <f>_xll.qlCalendarAdvance(Calendar,X2263,W2264,"f",FALSE)</f>
        <v>55128</v>
      </c>
      <c r="Y2264" s="131">
        <f>_xll.qlCalendarAdvance(Calendar,X2264,NDays&amp;"D")</f>
        <v>55130</v>
      </c>
      <c r="Z2264" s="132">
        <v>1.6520243556722214E-2</v>
      </c>
      <c r="AA2264" s="129">
        <v>1.6512529985277524E-2</v>
      </c>
    </row>
    <row r="2265" spans="19:27" x14ac:dyDescent="0.2">
      <c r="S2265" s="1"/>
      <c r="T2265" s="109"/>
      <c r="W2265" s="130" t="str">
        <f t="shared" si="45"/>
        <v>1w</v>
      </c>
      <c r="X2265" s="128">
        <f>_xll.qlCalendarAdvance(Calendar,X2264,W2265,"f",FALSE)</f>
        <v>55135</v>
      </c>
      <c r="Y2265" s="131">
        <f>_xll.qlCalendarAdvance(Calendar,X2265,NDays&amp;"D")</f>
        <v>55137</v>
      </c>
      <c r="Z2265" s="132">
        <v>1.6516072613610433E-2</v>
      </c>
      <c r="AA2265" s="129">
        <v>1.6508559938666068E-2</v>
      </c>
    </row>
    <row r="2266" spans="19:27" x14ac:dyDescent="0.2">
      <c r="S2266" s="1"/>
      <c r="T2266" s="109"/>
      <c r="W2266" s="130" t="str">
        <f t="shared" si="45"/>
        <v>1w</v>
      </c>
      <c r="X2266" s="128">
        <f>_xll.qlCalendarAdvance(Calendar,X2265,W2266,"f",FALSE)</f>
        <v>55142</v>
      </c>
      <c r="Y2266" s="131">
        <f>_xll.qlCalendarAdvance(Calendar,X2266,NDays&amp;"D")</f>
        <v>55144</v>
      </c>
      <c r="Z2266" s="132">
        <v>1.6511872623331314E-2</v>
      </c>
      <c r="AA2266" s="129">
        <v>1.6504560958638947E-2</v>
      </c>
    </row>
    <row r="2267" spans="19:27" x14ac:dyDescent="0.2">
      <c r="S2267" s="1"/>
      <c r="T2267" s="109"/>
      <c r="W2267" s="130" t="str">
        <f t="shared" si="45"/>
        <v>1w</v>
      </c>
      <c r="X2267" s="128">
        <f>_xll.qlCalendarAdvance(Calendar,X2266,W2267,"f",FALSE)</f>
        <v>55149</v>
      </c>
      <c r="Y2267" s="131">
        <f>_xll.qlCalendarAdvance(Calendar,X2267,NDays&amp;"D")</f>
        <v>55151</v>
      </c>
      <c r="Z2267" s="132">
        <v>1.6507643585975451E-2</v>
      </c>
      <c r="AA2267" s="129">
        <v>1.6500533045196164E-2</v>
      </c>
    </row>
    <row r="2268" spans="19:27" x14ac:dyDescent="0.2">
      <c r="S2268" s="1"/>
      <c r="T2268" s="109"/>
      <c r="W2268" s="130" t="str">
        <f t="shared" si="45"/>
        <v>1w</v>
      </c>
      <c r="X2268" s="128">
        <f>_xll.qlCalendarAdvance(Calendar,X2267,W2268,"f",FALSE)</f>
        <v>55156</v>
      </c>
      <c r="Y2268" s="131">
        <f>_xll.qlCalendarAdvance(Calendar,X2268,NDays&amp;"D")</f>
        <v>55158</v>
      </c>
      <c r="Z2268" s="132">
        <v>1.6503385501636103E-2</v>
      </c>
      <c r="AA2268" s="129">
        <v>1.6496476198577525E-2</v>
      </c>
    </row>
    <row r="2269" spans="19:27" x14ac:dyDescent="0.2">
      <c r="S2269" s="1"/>
      <c r="T2269" s="109"/>
      <c r="W2269" s="130" t="str">
        <f t="shared" si="45"/>
        <v>1w</v>
      </c>
      <c r="X2269" s="128">
        <f>_xll.qlCalendarAdvance(Calendar,X2268,W2269,"f",FALSE)</f>
        <v>55163</v>
      </c>
      <c r="Y2269" s="131">
        <f>_xll.qlCalendarAdvance(Calendar,X2269,NDays&amp;"D")</f>
        <v>55165</v>
      </c>
      <c r="Z2269" s="132">
        <v>1.6499098370403864E-2</v>
      </c>
      <c r="AA2269" s="129">
        <v>1.6492390418463287E-2</v>
      </c>
    </row>
    <row r="2270" spans="19:27" x14ac:dyDescent="0.2">
      <c r="S2270" s="1"/>
      <c r="T2270" s="109"/>
      <c r="W2270" s="130" t="str">
        <f t="shared" si="45"/>
        <v>1w</v>
      </c>
      <c r="X2270" s="128">
        <f>_xll.qlCalendarAdvance(Calendar,X2269,W2270,"f",FALSE)</f>
        <v>55170</v>
      </c>
      <c r="Y2270" s="131">
        <f>_xll.qlCalendarAdvance(Calendar,X2270,NDays&amp;"D")</f>
        <v>55172</v>
      </c>
      <c r="Z2270" s="132">
        <v>1.6494782192371993E-2</v>
      </c>
      <c r="AA2270" s="129">
        <v>1.6488275705093258E-2</v>
      </c>
    </row>
    <row r="2271" spans="19:27" x14ac:dyDescent="0.2">
      <c r="S2271" s="1"/>
      <c r="T2271" s="109"/>
      <c r="W2271" s="130" t="str">
        <f t="shared" si="45"/>
        <v>1w</v>
      </c>
      <c r="X2271" s="128">
        <f>_xll.qlCalendarAdvance(Calendar,X2270,W2271,"f",FALSE)</f>
        <v>55177</v>
      </c>
      <c r="Y2271" s="131">
        <f>_xll.qlCalendarAdvance(Calendar,X2271,NDays&amp;"D")</f>
        <v>55179</v>
      </c>
      <c r="Z2271" s="132">
        <v>1.6490436967634636E-2</v>
      </c>
      <c r="AA2271" s="129">
        <v>1.6484132058387502E-2</v>
      </c>
    </row>
    <row r="2272" spans="19:27" x14ac:dyDescent="0.2">
      <c r="S2272" s="1"/>
      <c r="T2272" s="109"/>
      <c r="W2272" s="130" t="str">
        <f t="shared" si="45"/>
        <v>1w</v>
      </c>
      <c r="X2272" s="128">
        <f>_xll.qlCalendarAdvance(Calendar,X2271,W2272,"f",FALSE)</f>
        <v>55184</v>
      </c>
      <c r="Y2272" s="131">
        <f>_xll.qlCalendarAdvance(Calendar,X2272,NDays&amp;"D")</f>
        <v>55186</v>
      </c>
      <c r="Z2272" s="132">
        <v>1.6486003551727128E-2</v>
      </c>
      <c r="AA2272" s="129">
        <v>1.6479959478266082E-2</v>
      </c>
    </row>
    <row r="2273" spans="19:27" x14ac:dyDescent="0.2">
      <c r="S2273" s="1"/>
      <c r="T2273" s="109"/>
      <c r="W2273" s="130" t="str">
        <f t="shared" si="45"/>
        <v>1w</v>
      </c>
      <c r="X2273" s="128">
        <f>_xll.qlCalendarAdvance(Calendar,X2272,W2273,"f",FALSE)</f>
        <v>55191</v>
      </c>
      <c r="Y2273" s="131">
        <f>_xll.qlCalendarAdvance(Calendar,X2273,NDays&amp;"D")</f>
        <v>55193</v>
      </c>
      <c r="Z2273" s="132">
        <v>1.6481602509716302E-2</v>
      </c>
      <c r="AA2273" s="129">
        <v>1.6475757964808935E-2</v>
      </c>
    </row>
    <row r="2274" spans="19:27" x14ac:dyDescent="0.2">
      <c r="S2274" s="1"/>
      <c r="T2274" s="109"/>
      <c r="W2274" s="130" t="str">
        <f t="shared" si="45"/>
        <v>1w</v>
      </c>
      <c r="X2274" s="128">
        <f>_xll.qlCalendarAdvance(Calendar,X2273,W2274,"f",FALSE)</f>
        <v>55198</v>
      </c>
      <c r="Y2274" s="131">
        <f>_xll.qlCalendarAdvance(Calendar,X2274,NDays&amp;"D")</f>
        <v>55200</v>
      </c>
      <c r="Z2274" s="132">
        <v>1.6477172422551777E-2</v>
      </c>
      <c r="AA2274" s="129">
        <v>1.6471527518175932E-2</v>
      </c>
    </row>
    <row r="2275" spans="19:27" x14ac:dyDescent="0.2">
      <c r="S2275" s="1"/>
      <c r="T2275" s="109"/>
      <c r="W2275" s="130" t="str">
        <f t="shared" si="45"/>
        <v>1w</v>
      </c>
      <c r="X2275" s="128">
        <f>_xll.qlCalendarAdvance(Calendar,X2274,W2275,"f",FALSE)</f>
        <v>55205</v>
      </c>
      <c r="Y2275" s="131">
        <f>_xll.qlCalendarAdvance(Calendar,X2275,NDays&amp;"D")</f>
        <v>55207</v>
      </c>
      <c r="Z2275" s="132">
        <v>1.6472713290326964E-2</v>
      </c>
      <c r="AA2275" s="129">
        <v>1.6467268138047331E-2</v>
      </c>
    </row>
    <row r="2276" spans="19:27" x14ac:dyDescent="0.2">
      <c r="S2276" s="1"/>
      <c r="T2276" s="109"/>
      <c r="W2276" s="130" t="str">
        <f t="shared" si="45"/>
        <v>1w</v>
      </c>
      <c r="X2276" s="128">
        <f>_xll.qlCalendarAdvance(Calendar,X2275,W2276,"f",FALSE)</f>
        <v>55212</v>
      </c>
      <c r="Y2276" s="131">
        <f>_xll.qlCalendarAdvance(Calendar,X2276,NDays&amp;"D")</f>
        <v>55214</v>
      </c>
      <c r="Z2276" s="132">
        <v>1.6468374565951412E-2</v>
      </c>
      <c r="AA2276" s="129">
        <v>1.6462979824503066E-2</v>
      </c>
    </row>
    <row r="2277" spans="19:27" x14ac:dyDescent="0.2">
      <c r="S2277" s="1"/>
      <c r="T2277" s="109"/>
      <c r="W2277" s="130" t="str">
        <f t="shared" si="45"/>
        <v>1w</v>
      </c>
      <c r="X2277" s="128">
        <f>_xll.qlCalendarAdvance(Calendar,X2276,W2277,"f",FALSE)</f>
        <v>55219</v>
      </c>
      <c r="Y2277" s="131">
        <f>_xll.qlCalendarAdvance(Calendar,X2277,NDays&amp;"D")</f>
        <v>55221</v>
      </c>
      <c r="Z2277" s="132">
        <v>1.6463850500585603E-2</v>
      </c>
      <c r="AA2277" s="129">
        <v>1.6458662577703009E-2</v>
      </c>
    </row>
    <row r="2278" spans="19:27" x14ac:dyDescent="0.2">
      <c r="S2278" s="1"/>
      <c r="T2278" s="109"/>
      <c r="W2278" s="130" t="str">
        <f t="shared" si="45"/>
        <v>1w</v>
      </c>
      <c r="X2278" s="128">
        <f>_xll.qlCalendarAdvance(Calendar,X2277,W2278,"f",FALSE)</f>
        <v>55226</v>
      </c>
      <c r="Y2278" s="131">
        <f>_xll.qlCalendarAdvance(Calendar,X2278,NDays&amp;"D")</f>
        <v>55228</v>
      </c>
      <c r="Z2278" s="132">
        <v>1.6459297386665798E-2</v>
      </c>
      <c r="AA2278" s="129">
        <v>1.6454316397647162E-2</v>
      </c>
    </row>
    <row r="2279" spans="19:27" x14ac:dyDescent="0.2">
      <c r="S2279" s="1"/>
      <c r="T2279" s="109"/>
      <c r="W2279" s="130" t="str">
        <f t="shared" si="45"/>
        <v>1w</v>
      </c>
      <c r="X2279" s="128">
        <f>_xll.qlCalendarAdvance(Calendar,X2278,W2279,"f",FALSE)</f>
        <v>55233</v>
      </c>
      <c r="Y2279" s="131">
        <f>_xll.qlCalendarAdvance(Calendar,X2279,NDays&amp;"D")</f>
        <v>55235</v>
      </c>
      <c r="Z2279" s="132">
        <v>1.6454715224290178E-2</v>
      </c>
      <c r="AA2279" s="129">
        <v>1.6449941284095715E-2</v>
      </c>
    </row>
    <row r="2280" spans="19:27" x14ac:dyDescent="0.2">
      <c r="S2280" s="1"/>
      <c r="T2280" s="109"/>
      <c r="W2280" s="130" t="str">
        <f t="shared" si="45"/>
        <v>1w</v>
      </c>
      <c r="X2280" s="128">
        <f>_xll.qlCalendarAdvance(Calendar,X2279,W2280,"f",FALSE)</f>
        <v>55240</v>
      </c>
      <c r="Y2280" s="131">
        <f>_xll.qlCalendarAdvance(Calendar,X2280,NDays&amp;"D")</f>
        <v>55242</v>
      </c>
      <c r="Z2280" s="132">
        <v>1.6450104013562141E-2</v>
      </c>
      <c r="AA2280" s="129">
        <v>1.6445775402743834E-2</v>
      </c>
    </row>
    <row r="2281" spans="19:27" x14ac:dyDescent="0.2">
      <c r="S2281" s="1"/>
      <c r="T2281" s="109"/>
      <c r="W2281" s="130" t="str">
        <f t="shared" si="45"/>
        <v>1w</v>
      </c>
      <c r="X2281" s="128">
        <f>_xll.qlCalendarAdvance(Calendar,X2280,W2281,"f",FALSE)</f>
        <v>55247</v>
      </c>
      <c r="Y2281" s="131">
        <f>_xll.qlCalendarAdvance(Calendar,X2281,NDays&amp;"D")</f>
        <v>55249</v>
      </c>
      <c r="Z2281" s="132">
        <v>1.6445425572000471E-2</v>
      </c>
      <c r="AA2281" s="129">
        <v>1.6441104257145511E-2</v>
      </c>
    </row>
    <row r="2282" spans="19:27" x14ac:dyDescent="0.2">
      <c r="S2282" s="1"/>
      <c r="T2282" s="109"/>
      <c r="W2282" s="130" t="str">
        <f t="shared" si="45"/>
        <v>1w</v>
      </c>
      <c r="X2282" s="128">
        <f>_xll.qlCalendarAdvance(Calendar,X2281,W2282,"f",FALSE)</f>
        <v>55254</v>
      </c>
      <c r="Y2282" s="131">
        <f>_xll.qlCalendarAdvance(Calendar,X2282,NDays&amp;"D")</f>
        <v>55256</v>
      </c>
      <c r="Z2282" s="132">
        <v>1.6440758552463047E-2</v>
      </c>
      <c r="AA2282" s="129">
        <v>1.6436642343666819E-2</v>
      </c>
    </row>
    <row r="2283" spans="19:27" x14ac:dyDescent="0.2">
      <c r="S2283" s="1"/>
      <c r="T2283" s="109"/>
      <c r="W2283" s="130" t="str">
        <f t="shared" si="45"/>
        <v>1w</v>
      </c>
      <c r="X2283" s="128">
        <f>_xll.qlCalendarAdvance(Calendar,X2282,W2283,"f",FALSE)</f>
        <v>55261</v>
      </c>
      <c r="Y2283" s="131">
        <f>_xll.qlCalendarAdvance(Calendar,X2283,NDays&amp;"D")</f>
        <v>55263</v>
      </c>
      <c r="Z2283" s="132">
        <v>1.6436062486137794E-2</v>
      </c>
      <c r="AA2283" s="129">
        <v>1.6432151496852399E-2</v>
      </c>
    </row>
    <row r="2284" spans="19:27" x14ac:dyDescent="0.2">
      <c r="S2284" s="1"/>
      <c r="T2284" s="109"/>
      <c r="W2284" s="130" t="str">
        <f t="shared" si="45"/>
        <v>1w</v>
      </c>
      <c r="X2284" s="128">
        <f>_xll.qlCalendarAdvance(Calendar,X2283,W2284,"f",FALSE)</f>
        <v>55268</v>
      </c>
      <c r="Y2284" s="131">
        <f>_xll.qlCalendarAdvance(Calendar,X2284,NDays&amp;"D")</f>
        <v>55270</v>
      </c>
      <c r="Z2284" s="132">
        <v>1.6431337373125725E-2</v>
      </c>
      <c r="AA2284" s="129">
        <v>1.6427631716702251E-2</v>
      </c>
    </row>
    <row r="2285" spans="19:27" x14ac:dyDescent="0.2">
      <c r="S2285" s="1"/>
      <c r="T2285" s="109"/>
      <c r="W2285" s="130" t="str">
        <f t="shared" si="45"/>
        <v>1w</v>
      </c>
      <c r="X2285" s="128">
        <f>_xll.qlCalendarAdvance(Calendar,X2284,W2285,"f",FALSE)</f>
        <v>55275</v>
      </c>
      <c r="Y2285" s="131">
        <f>_xll.qlCalendarAdvance(Calendar,X2285,NDays&amp;"D")</f>
        <v>55277</v>
      </c>
      <c r="Z2285" s="132">
        <v>1.6426612238228437E-2</v>
      </c>
      <c r="AA2285" s="129">
        <v>1.6423083003296313E-2</v>
      </c>
    </row>
    <row r="2286" spans="19:27" x14ac:dyDescent="0.2">
      <c r="S2286" s="1"/>
      <c r="T2286" s="109"/>
      <c r="W2286" s="130" t="str">
        <f t="shared" si="45"/>
        <v>1w</v>
      </c>
      <c r="X2286" s="128">
        <f>_xll.qlCalendarAdvance(Calendar,X2285,W2286,"f",FALSE)</f>
        <v>55282</v>
      </c>
      <c r="Y2286" s="131">
        <f>_xll.qlCalendarAdvance(Calendar,X2286,NDays&amp;"D")</f>
        <v>55284</v>
      </c>
      <c r="Z2286" s="132">
        <v>1.6421826739552847E-2</v>
      </c>
      <c r="AA2286" s="129">
        <v>1.6418505356554647E-2</v>
      </c>
    </row>
    <row r="2287" spans="19:27" x14ac:dyDescent="0.2">
      <c r="S2287" s="1"/>
      <c r="T2287" s="109"/>
      <c r="W2287" s="130" t="str">
        <f t="shared" si="45"/>
        <v>1w</v>
      </c>
      <c r="X2287" s="128">
        <f>_xll.qlCalendarAdvance(Calendar,X2286,W2287,"f",FALSE)</f>
        <v>55289</v>
      </c>
      <c r="Y2287" s="131">
        <f>_xll.qlCalendarAdvance(Calendar,X2287,NDays&amp;"D")</f>
        <v>55291</v>
      </c>
      <c r="Z2287" s="132">
        <v>1.641701219325295E-2</v>
      </c>
      <c r="AA2287" s="129">
        <v>1.6413898776317382E-2</v>
      </c>
    </row>
    <row r="2288" spans="19:27" x14ac:dyDescent="0.2">
      <c r="S2288" s="1"/>
      <c r="T2288" s="109"/>
      <c r="W2288" s="130" t="str">
        <f t="shared" si="45"/>
        <v>1w</v>
      </c>
      <c r="X2288" s="128">
        <f>_xll.qlCalendarAdvance(Calendar,X2287,W2288,"f",FALSE)</f>
        <v>55296</v>
      </c>
      <c r="Y2288" s="131">
        <f>_xll.qlCalendarAdvance(Calendar,X2288,NDays&amp;"D")</f>
        <v>55298</v>
      </c>
      <c r="Z2288" s="132">
        <v>1.6412168599437355E-2</v>
      </c>
      <c r="AA2288" s="129">
        <v>1.6409263262984197E-2</v>
      </c>
    </row>
    <row r="2289" spans="19:27" x14ac:dyDescent="0.2">
      <c r="S2289" s="1"/>
      <c r="T2289" s="109"/>
      <c r="W2289" s="130" t="str">
        <f t="shared" si="45"/>
        <v>1w</v>
      </c>
      <c r="X2289" s="128">
        <f>_xll.qlCalendarAdvance(Calendar,X2288,W2289,"f",FALSE)</f>
        <v>55303</v>
      </c>
      <c r="Y2289" s="131">
        <f>_xll.qlCalendarAdvance(Calendar,X2289,NDays&amp;"D")</f>
        <v>55305</v>
      </c>
      <c r="Z2289" s="132">
        <v>1.6407295958212068E-2</v>
      </c>
      <c r="AA2289" s="129">
        <v>1.6404598816155413E-2</v>
      </c>
    </row>
    <row r="2290" spans="19:27" x14ac:dyDescent="0.2">
      <c r="S2290" s="1"/>
      <c r="T2290" s="109"/>
      <c r="W2290" s="130" t="str">
        <f t="shared" si="45"/>
        <v>1w</v>
      </c>
      <c r="X2290" s="128">
        <f>_xll.qlCalendarAdvance(Calendar,X2289,W2290,"f",FALSE)</f>
        <v>55310</v>
      </c>
      <c r="Y2290" s="131">
        <f>_xll.qlCalendarAdvance(Calendar,X2290,NDays&amp;"D")</f>
        <v>55312</v>
      </c>
      <c r="Z2290" s="132">
        <v>1.6402394269685691E-2</v>
      </c>
      <c r="AA2290" s="129">
        <v>1.6399905435990902E-2</v>
      </c>
    </row>
    <row r="2291" spans="19:27" x14ac:dyDescent="0.2">
      <c r="S2291" s="1"/>
      <c r="T2291" s="109"/>
      <c r="W2291" s="130" t="str">
        <f t="shared" si="45"/>
        <v>1w</v>
      </c>
      <c r="X2291" s="128">
        <f>_xll.qlCalendarAdvance(Calendar,X2290,W2291,"f",FALSE)</f>
        <v>55317</v>
      </c>
      <c r="Y2291" s="131">
        <f>_xll.qlCalendarAdvance(Calendar,X2291,NDays&amp;"D")</f>
        <v>55319</v>
      </c>
      <c r="Z2291" s="132">
        <v>1.639746353396597E-2</v>
      </c>
      <c r="AA2291" s="129">
        <v>1.6395183122490664E-2</v>
      </c>
    </row>
    <row r="2292" spans="19:27" x14ac:dyDescent="0.2">
      <c r="S2292" s="1"/>
      <c r="T2292" s="109"/>
      <c r="W2292" s="130" t="str">
        <f t="shared" si="45"/>
        <v>1w</v>
      </c>
      <c r="X2292" s="128">
        <f>_xll.qlCalendarAdvance(Calendar,X2291,W2292,"f",FALSE)</f>
        <v>55324</v>
      </c>
      <c r="Y2292" s="131">
        <f>_xll.qlCalendarAdvance(Calendar,X2292,NDays&amp;"D")</f>
        <v>55326</v>
      </c>
      <c r="Z2292" s="132">
        <v>1.6392503751163249E-2</v>
      </c>
      <c r="AA2292" s="129">
        <v>1.6390431875734635E-2</v>
      </c>
    </row>
    <row r="2293" spans="19:27" x14ac:dyDescent="0.2">
      <c r="S2293" s="1"/>
      <c r="T2293" s="109"/>
      <c r="W2293" s="130" t="str">
        <f t="shared" si="45"/>
        <v>1w</v>
      </c>
      <c r="X2293" s="128">
        <f>_xll.qlCalendarAdvance(Calendar,X2292,W2293,"f",FALSE)</f>
        <v>55331</v>
      </c>
      <c r="Y2293" s="131">
        <f>_xll.qlCalendarAdvance(Calendar,X2293,NDays&amp;"D")</f>
        <v>55333</v>
      </c>
      <c r="Z2293" s="132">
        <v>1.6387514921388742E-2</v>
      </c>
      <c r="AA2293" s="129">
        <v>1.6385651695722814E-2</v>
      </c>
    </row>
    <row r="2294" spans="19:27" x14ac:dyDescent="0.2">
      <c r="S2294" s="1"/>
      <c r="T2294" s="109"/>
      <c r="W2294" s="130" t="str">
        <f t="shared" si="45"/>
        <v>1w</v>
      </c>
      <c r="X2294" s="128">
        <f>_xll.qlCalendarAdvance(Calendar,X2293,W2294,"f",FALSE)</f>
        <v>55338</v>
      </c>
      <c r="Y2294" s="131">
        <f>_xll.qlCalendarAdvance(Calendar,X2294,NDays&amp;"D")</f>
        <v>55340</v>
      </c>
      <c r="Z2294" s="132">
        <v>1.6382497044751931E-2</v>
      </c>
      <c r="AA2294" s="129">
        <v>1.638084258229533E-2</v>
      </c>
    </row>
    <row r="2295" spans="19:27" x14ac:dyDescent="0.2">
      <c r="S2295" s="1"/>
      <c r="T2295" s="109"/>
      <c r="W2295" s="130" t="str">
        <f t="shared" si="45"/>
        <v>1w</v>
      </c>
      <c r="X2295" s="128">
        <f>_xll.qlCalendarAdvance(Calendar,X2294,W2295,"f",FALSE)</f>
        <v>55345</v>
      </c>
      <c r="Y2295" s="131">
        <f>_xll.qlCalendarAdvance(Calendar,X2295,NDays&amp;"D")</f>
        <v>55347</v>
      </c>
      <c r="Z2295" s="132">
        <v>1.637745012136229E-2</v>
      </c>
      <c r="AA2295" s="129">
        <v>1.6376004535532118E-2</v>
      </c>
    </row>
    <row r="2296" spans="19:27" x14ac:dyDescent="0.2">
      <c r="S2296" s="1"/>
      <c r="T2296" s="109"/>
      <c r="W2296" s="130" t="str">
        <f t="shared" si="45"/>
        <v>1w</v>
      </c>
      <c r="X2296" s="128">
        <f>_xll.qlCalendarAdvance(Calendar,X2295,W2296,"f",FALSE)</f>
        <v>55352</v>
      </c>
      <c r="Y2296" s="131">
        <f>_xll.qlCalendarAdvance(Calendar,X2296,NDays&amp;"D")</f>
        <v>55354</v>
      </c>
      <c r="Z2296" s="132">
        <v>1.6372374151333642E-2</v>
      </c>
      <c r="AA2296" s="129">
        <v>1.6371137555593052E-2</v>
      </c>
    </row>
    <row r="2297" spans="19:27" x14ac:dyDescent="0.2">
      <c r="S2297" s="1"/>
      <c r="T2297" s="109"/>
      <c r="W2297" s="130" t="str">
        <f t="shared" si="45"/>
        <v>1w</v>
      </c>
      <c r="X2297" s="128">
        <f>_xll.qlCalendarAdvance(Calendar,X2296,W2297,"f",FALSE)</f>
        <v>55359</v>
      </c>
      <c r="Y2297" s="131">
        <f>_xll.qlCalendarAdvance(Calendar,X2297,NDays&amp;"D")</f>
        <v>55361</v>
      </c>
      <c r="Z2297" s="132">
        <v>1.6367269134778938E-2</v>
      </c>
      <c r="AA2297" s="129">
        <v>1.6366241642158386E-2</v>
      </c>
    </row>
    <row r="2298" spans="19:27" x14ac:dyDescent="0.2">
      <c r="S2298" s="1"/>
      <c r="T2298" s="109"/>
      <c r="W2298" s="130" t="str">
        <f t="shared" si="45"/>
        <v>1w</v>
      </c>
      <c r="X2298" s="128">
        <f>_xll.qlCalendarAdvance(Calendar,X2297,W2298,"f",FALSE)</f>
        <v>55366</v>
      </c>
      <c r="Y2298" s="131">
        <f>_xll.qlCalendarAdvance(Calendar,X2298,NDays&amp;"D")</f>
        <v>55368</v>
      </c>
      <c r="Z2298" s="132">
        <v>1.6362135071810266E-2</v>
      </c>
      <c r="AA2298" s="129">
        <v>1.6361316795467928E-2</v>
      </c>
    </row>
    <row r="2299" spans="19:27" x14ac:dyDescent="0.2">
      <c r="S2299" s="1"/>
      <c r="T2299" s="109"/>
      <c r="W2299" s="130" t="str">
        <f t="shared" si="45"/>
        <v>1w</v>
      </c>
      <c r="X2299" s="128">
        <f>_xll.qlCalendarAdvance(Calendar,X2298,W2299,"f",FALSE)</f>
        <v>55373</v>
      </c>
      <c r="Y2299" s="131">
        <f>_xll.qlCalendarAdvance(Calendar,X2299,NDays&amp;"D")</f>
        <v>55375</v>
      </c>
      <c r="Z2299" s="132">
        <v>1.6356971962543185E-2</v>
      </c>
      <c r="AA2299" s="129">
        <v>1.635636301552168E-2</v>
      </c>
    </row>
    <row r="2300" spans="19:27" x14ac:dyDescent="0.2">
      <c r="S2300" s="1"/>
      <c r="T2300" s="109"/>
      <c r="W2300" s="130" t="str">
        <f t="shared" si="45"/>
        <v>1w</v>
      </c>
      <c r="X2300" s="128">
        <f>_xll.qlCalendarAdvance(Calendar,X2299,W2300,"f",FALSE)</f>
        <v>55380</v>
      </c>
      <c r="Y2300" s="131">
        <f>_xll.qlCalendarAdvance(Calendar,X2300,NDays&amp;"D")</f>
        <v>55382</v>
      </c>
      <c r="Z2300" s="132">
        <v>1.6351779807089777E-2</v>
      </c>
      <c r="AA2300" s="129">
        <v>1.6351380302239704E-2</v>
      </c>
    </row>
    <row r="2301" spans="19:27" x14ac:dyDescent="0.2">
      <c r="S2301" s="1"/>
      <c r="T2301" s="109"/>
      <c r="W2301" s="130" t="str">
        <f t="shared" si="45"/>
        <v>1w</v>
      </c>
      <c r="X2301" s="128">
        <f>_xll.qlCalendarAdvance(Calendar,X2300,W2301,"f",FALSE)</f>
        <v>55387</v>
      </c>
      <c r="Y2301" s="131">
        <f>_xll.qlCalendarAdvance(Calendar,X2301,NDays&amp;"D")</f>
        <v>55389</v>
      </c>
      <c r="Z2301" s="132">
        <v>1.634655860556734E-2</v>
      </c>
      <c r="AA2301" s="129">
        <v>1.6346368655462129E-2</v>
      </c>
    </row>
    <row r="2302" spans="19:27" x14ac:dyDescent="0.2">
      <c r="S2302" s="1"/>
      <c r="T2302" s="109"/>
      <c r="W2302" s="130" t="str">
        <f t="shared" si="45"/>
        <v>1w</v>
      </c>
      <c r="X2302" s="128">
        <f>_xll.qlCalendarAdvance(Calendar,X2301,W2302,"f",FALSE)</f>
        <v>55394</v>
      </c>
      <c r="Y2302" s="131">
        <f>_xll.qlCalendarAdvance(Calendar,X2302,NDays&amp;"D")</f>
        <v>55396</v>
      </c>
      <c r="Z2302" s="132">
        <v>1.634131847697223E-2</v>
      </c>
      <c r="AA2302" s="129">
        <v>1.6341328075588635E-2</v>
      </c>
    </row>
    <row r="2303" spans="19:27" x14ac:dyDescent="0.2">
      <c r="S2303" s="1"/>
      <c r="T2303" s="109"/>
      <c r="W2303" s="130" t="str">
        <f t="shared" si="45"/>
        <v>1w</v>
      </c>
      <c r="X2303" s="128">
        <f>_xll.qlCalendarAdvance(Calendar,X2302,W2303,"f",FALSE)</f>
        <v>55401</v>
      </c>
      <c r="Y2303" s="131">
        <f>_xll.qlCalendarAdvance(Calendar,X2303,NDays&amp;"D")</f>
        <v>55403</v>
      </c>
      <c r="Z2303" s="132">
        <v>1.6336041497359389E-2</v>
      </c>
      <c r="AA2303" s="129">
        <v>1.6336258562379413E-2</v>
      </c>
    </row>
    <row r="2304" spans="19:27" x14ac:dyDescent="0.2">
      <c r="S2304" s="1"/>
      <c r="T2304" s="109"/>
      <c r="W2304" s="130" t="str">
        <f t="shared" si="45"/>
        <v>1w</v>
      </c>
      <c r="X2304" s="128">
        <f>_xll.qlCalendarAdvance(Calendar,X2303,W2304,"f",FALSE)</f>
        <v>55408</v>
      </c>
      <c r="Y2304" s="131">
        <f>_xll.qlCalendarAdvance(Calendar,X2304,NDays&amp;"D")</f>
        <v>55410</v>
      </c>
      <c r="Z2304" s="132">
        <v>1.6330735473255781E-2</v>
      </c>
      <c r="AA2304" s="129">
        <v>1.6331160115834464E-2</v>
      </c>
    </row>
    <row r="2305" spans="19:27" x14ac:dyDescent="0.2">
      <c r="S2305" s="1"/>
      <c r="T2305" s="109"/>
      <c r="W2305" s="130" t="str">
        <f t="shared" si="45"/>
        <v>1w</v>
      </c>
      <c r="X2305" s="128">
        <f>_xll.qlCalendarAdvance(Calendar,X2304,W2305,"f",FALSE)</f>
        <v>55415</v>
      </c>
      <c r="Y2305" s="131">
        <f>_xll.qlCalendarAdvance(Calendar,X2305,NDays&amp;"D")</f>
        <v>55417</v>
      </c>
      <c r="Z2305" s="132">
        <v>1.632540040477648E-2</v>
      </c>
      <c r="AA2305" s="129">
        <v>1.6326032735873852E-2</v>
      </c>
    </row>
    <row r="2306" spans="19:27" x14ac:dyDescent="0.2">
      <c r="S2306" s="1"/>
      <c r="T2306" s="109"/>
      <c r="W2306" s="130" t="str">
        <f t="shared" si="45"/>
        <v>1w</v>
      </c>
      <c r="X2306" s="128">
        <f>_xll.qlCalendarAdvance(Calendar,X2305,W2306,"f",FALSE)</f>
        <v>55422</v>
      </c>
      <c r="Y2306" s="131">
        <f>_xll.qlCalendarAdvance(Calendar,X2306,NDays&amp;"D")</f>
        <v>55424</v>
      </c>
      <c r="Z2306" s="132">
        <v>1.6320036292040947E-2</v>
      </c>
      <c r="AA2306" s="129">
        <v>1.6320876422817321E-2</v>
      </c>
    </row>
    <row r="2307" spans="19:27" x14ac:dyDescent="0.2">
      <c r="S2307" s="1"/>
      <c r="T2307" s="109"/>
      <c r="W2307" s="130" t="str">
        <f t="shared" si="45"/>
        <v>1w</v>
      </c>
      <c r="X2307" s="128">
        <f>_xll.qlCalendarAdvance(Calendar,X2306,W2307,"f",FALSE)</f>
        <v>55429</v>
      </c>
      <c r="Y2307" s="131">
        <f>_xll.qlCalendarAdvance(Calendar,X2307,NDays&amp;"D")</f>
        <v>55431</v>
      </c>
      <c r="Z2307" s="132">
        <v>1.6314621435494444E-2</v>
      </c>
      <c r="AA2307" s="129">
        <v>1.6315691176425062E-2</v>
      </c>
    </row>
    <row r="2308" spans="19:27" x14ac:dyDescent="0.2">
      <c r="S2308" s="1"/>
      <c r="T2308" s="109"/>
      <c r="W2308" s="130" t="str">
        <f t="shared" si="45"/>
        <v>1w</v>
      </c>
      <c r="X2308" s="128">
        <f>_xll.qlCalendarAdvance(Calendar,X2307,W2308,"f",FALSE)</f>
        <v>55436</v>
      </c>
      <c r="Y2308" s="131">
        <f>_xll.qlCalendarAdvance(Calendar,X2308,NDays&amp;"D")</f>
        <v>55438</v>
      </c>
      <c r="Z2308" s="132">
        <v>1.6309196914760977E-2</v>
      </c>
      <c r="AA2308" s="129">
        <v>1.6310476996537204E-2</v>
      </c>
    </row>
    <row r="2309" spans="19:27" x14ac:dyDescent="0.2">
      <c r="S2309" s="1"/>
      <c r="T2309" s="109"/>
      <c r="W2309" s="130" t="str">
        <f t="shared" si="45"/>
        <v>1w</v>
      </c>
      <c r="X2309" s="128">
        <f>_xll.qlCalendarAdvance(Calendar,X2308,W2309,"f",FALSE)</f>
        <v>55443</v>
      </c>
      <c r="Y2309" s="131">
        <f>_xll.qlCalendarAdvance(Calendar,X2309,NDays&amp;"D")</f>
        <v>55445</v>
      </c>
      <c r="Z2309" s="132">
        <v>1.6303743348901202E-2</v>
      </c>
      <c r="AA2309" s="129">
        <v>1.6305233883393555E-2</v>
      </c>
    </row>
    <row r="2310" spans="19:27" x14ac:dyDescent="0.2">
      <c r="S2310" s="1"/>
      <c r="T2310" s="109"/>
      <c r="W2310" s="130" t="str">
        <f t="shared" si="45"/>
        <v>1w</v>
      </c>
      <c r="X2310" s="128">
        <f>_xll.qlCalendarAdvance(Calendar,X2309,W2310,"f",FALSE)</f>
        <v>55450</v>
      </c>
      <c r="Y2310" s="131">
        <f>_xll.qlCalendarAdvance(Calendar,X2310,NDays&amp;"D")</f>
        <v>55452</v>
      </c>
      <c r="Z2310" s="132">
        <v>1.6298260738037636E-2</v>
      </c>
      <c r="AA2310" s="129">
        <v>1.6299961837074051E-2</v>
      </c>
    </row>
    <row r="2311" spans="19:27" x14ac:dyDescent="0.2">
      <c r="S2311" s="1"/>
      <c r="T2311" s="109"/>
      <c r="W2311" s="130" t="str">
        <f t="shared" si="45"/>
        <v>1w</v>
      </c>
      <c r="X2311" s="128">
        <f>_xll.qlCalendarAdvance(Calendar,X2310,W2311,"f",FALSE)</f>
        <v>55457</v>
      </c>
      <c r="Y2311" s="131">
        <f>_xll.qlCalendarAdvance(Calendar,X2311,NDays&amp;"D")</f>
        <v>55459</v>
      </c>
      <c r="Z2311" s="132">
        <v>1.6292749082291919E-2</v>
      </c>
      <c r="AA2311" s="129">
        <v>1.6294660857338883E-2</v>
      </c>
    </row>
    <row r="2312" spans="19:27" x14ac:dyDescent="0.2">
      <c r="S2312" s="1"/>
      <c r="T2312" s="109"/>
      <c r="W2312" s="130" t="str">
        <f t="shared" si="45"/>
        <v>1w</v>
      </c>
      <c r="X2312" s="128">
        <f>_xll.qlCalendarAdvance(Calendar,X2311,W2312,"f",FALSE)</f>
        <v>55464</v>
      </c>
      <c r="Y2312" s="131">
        <f>_xll.qlCalendarAdvance(Calendar,X2312,NDays&amp;"D")</f>
        <v>55466</v>
      </c>
      <c r="Z2312" s="132">
        <v>1.6287208381784823E-2</v>
      </c>
      <c r="AA2312" s="129">
        <v>1.628933094442786E-2</v>
      </c>
    </row>
    <row r="2313" spans="19:27" x14ac:dyDescent="0.2">
      <c r="S2313" s="1"/>
      <c r="T2313" s="109"/>
      <c r="W2313" s="130" t="str">
        <f t="shared" si="45"/>
        <v>1w</v>
      </c>
      <c r="X2313" s="128">
        <f>_xll.qlCalendarAdvance(Calendar,X2312,W2313,"f",FALSE)</f>
        <v>55471</v>
      </c>
      <c r="Y2313" s="131">
        <f>_xll.qlCalendarAdvance(Calendar,X2313,NDays&amp;"D")</f>
        <v>55473</v>
      </c>
      <c r="Z2313" s="132">
        <v>1.6281638636639728E-2</v>
      </c>
      <c r="AA2313" s="129">
        <v>1.6283972098101174E-2</v>
      </c>
    </row>
    <row r="2314" spans="19:27" x14ac:dyDescent="0.2">
      <c r="S2314" s="1"/>
      <c r="T2314" s="109"/>
      <c r="W2314" s="130" t="str">
        <f t="shared" si="45"/>
        <v>1w</v>
      </c>
      <c r="X2314" s="128">
        <f>_xll.qlCalendarAdvance(Calendar,X2313,W2314,"f",FALSE)</f>
        <v>55478</v>
      </c>
      <c r="Y2314" s="131">
        <f>_xll.qlCalendarAdvance(Calendar,X2314,NDays&amp;"D")</f>
        <v>55480</v>
      </c>
      <c r="Z2314" s="132">
        <v>1.627603984698088E-2</v>
      </c>
      <c r="AA2314" s="129">
        <v>1.6278584318598632E-2</v>
      </c>
    </row>
    <row r="2315" spans="19:27" x14ac:dyDescent="0.2">
      <c r="S2315" s="1"/>
      <c r="T2315" s="109"/>
      <c r="W2315" s="130" t="str">
        <f t="shared" si="45"/>
        <v>1w</v>
      </c>
      <c r="X2315" s="128">
        <f>_xll.qlCalendarAdvance(Calendar,X2314,W2315,"f",FALSE)</f>
        <v>55485</v>
      </c>
      <c r="Y2315" s="131">
        <f>_xll.qlCalendarAdvance(Calendar,X2315,NDays&amp;"D")</f>
        <v>55487</v>
      </c>
      <c r="Z2315" s="132">
        <v>1.62704523054461E-2</v>
      </c>
      <c r="AA2315" s="129">
        <v>1.6273167605680428E-2</v>
      </c>
    </row>
    <row r="2316" spans="19:27" x14ac:dyDescent="0.2">
      <c r="S2316" s="1"/>
      <c r="T2316" s="109"/>
      <c r="W2316" s="130" t="str">
        <f t="shared" si="45"/>
        <v>1w</v>
      </c>
      <c r="X2316" s="128">
        <f>_xll.qlCalendarAdvance(Calendar,X2315,W2316,"f",FALSE)</f>
        <v>55492</v>
      </c>
      <c r="Y2316" s="131">
        <f>_xll.qlCalendarAdvance(Calendar,X2316,NDays&amp;"D")</f>
        <v>55494</v>
      </c>
      <c r="Z2316" s="132">
        <v>1.6264797756710921E-2</v>
      </c>
      <c r="AA2316" s="129">
        <v>1.6267721959506432E-2</v>
      </c>
    </row>
    <row r="2317" spans="19:27" x14ac:dyDescent="0.2">
      <c r="S2317" s="1"/>
      <c r="T2317" s="109"/>
      <c r="W2317" s="130" t="str">
        <f t="shared" si="45"/>
        <v>1w</v>
      </c>
      <c r="X2317" s="128">
        <f>_xll.qlCalendarAdvance(Calendar,X2316,W2317,"f",FALSE)</f>
        <v>55499</v>
      </c>
      <c r="Y2317" s="131">
        <f>_xll.qlCalendarAdvance(Calendar,X2317,NDays&amp;"D")</f>
        <v>55501</v>
      </c>
      <c r="Z2317" s="132">
        <v>1.6259114165046801E-2</v>
      </c>
      <c r="AA2317" s="129">
        <v>1.626224738015658E-2</v>
      </c>
    </row>
    <row r="2318" spans="19:27" x14ac:dyDescent="0.2">
      <c r="S2318" s="1"/>
      <c r="T2318" s="109"/>
      <c r="W2318" s="130" t="str">
        <f t="shared" si="45"/>
        <v>1w</v>
      </c>
      <c r="X2318" s="128">
        <f>_xll.qlCalendarAdvance(Calendar,X2317,W2318,"f",FALSE)</f>
        <v>55506</v>
      </c>
      <c r="Y2318" s="131">
        <f>_xll.qlCalendarAdvance(Calendar,X2318,NDays&amp;"D")</f>
        <v>55508</v>
      </c>
      <c r="Z2318" s="132">
        <v>1.6253401530579352E-2</v>
      </c>
      <c r="AA2318" s="129">
        <v>1.6256743867391066E-2</v>
      </c>
    </row>
    <row r="2319" spans="19:27" x14ac:dyDescent="0.2">
      <c r="S2319" s="1"/>
      <c r="T2319" s="109"/>
      <c r="W2319" s="130" t="str">
        <f t="shared" si="45"/>
        <v>1w</v>
      </c>
      <c r="X2319" s="128">
        <f>_xll.qlCalendarAdvance(Calendar,X2318,W2319,"f",FALSE)</f>
        <v>55514</v>
      </c>
      <c r="Y2319" s="131">
        <f>_xll.qlCalendarAdvance(Calendar,X2319,NDays&amp;"D")</f>
        <v>55516</v>
      </c>
      <c r="Z2319" s="132">
        <v>1.6246837243018362E-2</v>
      </c>
      <c r="AA2319" s="129">
        <v>1.6250328355789101E-2</v>
      </c>
    </row>
    <row r="2320" spans="19:27" x14ac:dyDescent="0.2">
      <c r="S2320" s="1"/>
      <c r="T2320" s="109"/>
      <c r="W2320" s="130" t="str">
        <f t="shared" si="45"/>
        <v>1w</v>
      </c>
      <c r="X2320" s="128">
        <f>_xll.qlCalendarAdvance(Calendar,X2319,W2320,"f",FALSE)</f>
        <v>55521</v>
      </c>
      <c r="Y2320" s="131">
        <f>_xll.qlCalendarAdvance(Calendar,X2320,NDays&amp;"D")</f>
        <v>55523</v>
      </c>
      <c r="Z2320" s="132">
        <v>1.6241062374394627E-2</v>
      </c>
      <c r="AA2320" s="129">
        <v>1.62447885467909E-2</v>
      </c>
    </row>
    <row r="2321" spans="19:27" x14ac:dyDescent="0.2">
      <c r="S2321" s="1"/>
      <c r="T2321" s="109"/>
      <c r="W2321" s="130" t="str">
        <f t="shared" si="45"/>
        <v>1w</v>
      </c>
      <c r="X2321" s="128">
        <f>_xll.qlCalendarAdvance(Calendar,X2320,W2321,"f",FALSE)</f>
        <v>55528</v>
      </c>
      <c r="Y2321" s="131">
        <f>_xll.qlCalendarAdvance(Calendar,X2321,NDays&amp;"D")</f>
        <v>55530</v>
      </c>
      <c r="Z2321" s="132">
        <v>1.6235258463363728E-2</v>
      </c>
      <c r="AA2321" s="129">
        <v>1.6239189462341486E-2</v>
      </c>
    </row>
    <row r="2322" spans="19:27" x14ac:dyDescent="0.2">
      <c r="S2322" s="1"/>
      <c r="T2322" s="109"/>
      <c r="W2322" s="130" t="str">
        <f t="shared" si="45"/>
        <v>1w</v>
      </c>
      <c r="X2322" s="128">
        <f>_xll.qlCalendarAdvance(Calendar,X2321,W2322,"f",FALSE)</f>
        <v>55535</v>
      </c>
      <c r="Y2322" s="131">
        <f>_xll.qlCalendarAdvance(Calendar,X2322,NDays&amp;"D")</f>
        <v>55537</v>
      </c>
      <c r="Z2322" s="132">
        <v>1.6229196326606157E-2</v>
      </c>
      <c r="AA2322" s="129">
        <v>1.6233561442184907E-2</v>
      </c>
    </row>
    <row r="2323" spans="19:27" x14ac:dyDescent="0.2">
      <c r="S2323" s="1"/>
      <c r="T2323" s="109"/>
      <c r="W2323" s="130" t="str">
        <f t="shared" si="45"/>
        <v>1w</v>
      </c>
      <c r="X2323" s="128">
        <f>_xll.qlCalendarAdvance(Calendar,X2322,W2323,"f",FALSE)</f>
        <v>55542</v>
      </c>
      <c r="Y2323" s="131">
        <f>_xll.qlCalendarAdvance(Calendar,X2323,NDays&amp;"D")</f>
        <v>55544</v>
      </c>
      <c r="Z2323" s="132">
        <v>1.6223563514590811E-2</v>
      </c>
      <c r="AA2323" s="129">
        <v>1.6227904486321165E-2</v>
      </c>
    </row>
    <row r="2324" spans="19:27" x14ac:dyDescent="0.2">
      <c r="S2324" s="1"/>
      <c r="T2324" s="109"/>
      <c r="W2324" s="130" t="str">
        <f t="shared" si="45"/>
        <v>1w</v>
      </c>
      <c r="X2324" s="128">
        <f>_xll.qlCalendarAdvance(Calendar,X2323,W2324,"f",FALSE)</f>
        <v>55549</v>
      </c>
      <c r="Y2324" s="131">
        <f>_xll.qlCalendarAdvance(Calendar,X2324,NDays&amp;"D")</f>
        <v>55551</v>
      </c>
      <c r="Z2324" s="132">
        <v>1.6217733888619357E-2</v>
      </c>
      <c r="AA2324" s="129">
        <v>1.6222218594723614E-2</v>
      </c>
    </row>
    <row r="2325" spans="19:27" x14ac:dyDescent="0.2">
      <c r="S2325" s="1"/>
      <c r="T2325" s="109"/>
      <c r="W2325" s="130" t="str">
        <f t="shared" ref="W2325:W2388" si="46">W2324</f>
        <v>1w</v>
      </c>
      <c r="X2325" s="128">
        <f>_xll.qlCalendarAdvance(Calendar,X2324,W2325,"f",FALSE)</f>
        <v>55556</v>
      </c>
      <c r="Y2325" s="131">
        <f>_xll.qlCalendarAdvance(Calendar,X2325,NDays&amp;"D")</f>
        <v>55558</v>
      </c>
      <c r="Z2325" s="132">
        <v>1.6211816149656499E-2</v>
      </c>
      <c r="AA2325" s="129">
        <v>1.6216503767445545E-2</v>
      </c>
    </row>
    <row r="2326" spans="19:27" x14ac:dyDescent="0.2">
      <c r="S2326" s="1"/>
      <c r="T2326" s="109"/>
      <c r="W2326" s="130" t="str">
        <f t="shared" si="46"/>
        <v>1w</v>
      </c>
      <c r="X2326" s="128">
        <f>_xll.qlCalendarAdvance(Calendar,X2325,W2326,"f",FALSE)</f>
        <v>55563</v>
      </c>
      <c r="Y2326" s="131">
        <f>_xll.qlCalendarAdvance(Calendar,X2326,NDays&amp;"D")</f>
        <v>55565</v>
      </c>
      <c r="Z2326" s="132">
        <v>1.6205869370129022E-2</v>
      </c>
      <c r="AA2326" s="129">
        <v>1.6210760004433666E-2</v>
      </c>
    </row>
    <row r="2327" spans="19:27" x14ac:dyDescent="0.2">
      <c r="S2327" s="1"/>
      <c r="T2327" s="109"/>
      <c r="W2327" s="130" t="str">
        <f t="shared" si="46"/>
        <v>1w</v>
      </c>
      <c r="X2327" s="128">
        <f>_xll.qlCalendarAdvance(Calendar,X2326,W2327,"f",FALSE)</f>
        <v>55570</v>
      </c>
      <c r="Y2327" s="131">
        <f>_xll.qlCalendarAdvance(Calendar,X2327,NDays&amp;"D")</f>
        <v>55572</v>
      </c>
      <c r="Z2327" s="132">
        <v>1.6199893550163047E-2</v>
      </c>
      <c r="AA2327" s="129">
        <v>1.620498730574127E-2</v>
      </c>
    </row>
    <row r="2328" spans="19:27" x14ac:dyDescent="0.2">
      <c r="S2328" s="1"/>
      <c r="T2328" s="109"/>
      <c r="W2328" s="130" t="str">
        <f t="shared" si="46"/>
        <v>1w</v>
      </c>
      <c r="X2328" s="128">
        <f>_xll.qlCalendarAdvance(Calendar,X2327,W2328,"f",FALSE)</f>
        <v>55577</v>
      </c>
      <c r="Y2328" s="131">
        <f>_xll.qlCalendarAdvance(Calendar,X2328,NDays&amp;"D")</f>
        <v>55579</v>
      </c>
      <c r="Z2328" s="132">
        <v>1.6193604214041112E-2</v>
      </c>
      <c r="AA2328" s="129">
        <v>1.6199185671315064E-2</v>
      </c>
    </row>
    <row r="2329" spans="19:27" x14ac:dyDescent="0.2">
      <c r="S2329" s="1"/>
      <c r="T2329" s="109"/>
      <c r="W2329" s="130" t="str">
        <f t="shared" si="46"/>
        <v>1w</v>
      </c>
      <c r="X2329" s="128">
        <f>_xll.qlCalendarAdvance(Calendar,X2328,W2329,"f",FALSE)</f>
        <v>55584</v>
      </c>
      <c r="Y2329" s="131">
        <f>_xll.qlCalendarAdvance(Calendar,X2329,NDays&amp;"D")</f>
        <v>55586</v>
      </c>
      <c r="Z2329" s="132">
        <v>1.6187560931680618E-2</v>
      </c>
      <c r="AA2329" s="129">
        <v>1.6193355101261631E-2</v>
      </c>
    </row>
    <row r="2330" spans="19:27" x14ac:dyDescent="0.2">
      <c r="S2330" s="1"/>
      <c r="T2330" s="109"/>
      <c r="W2330" s="130" t="str">
        <f t="shared" si="46"/>
        <v>1w</v>
      </c>
      <c r="X2330" s="128">
        <f>_xll.qlCalendarAdvance(Calendar,X2329,W2330,"f",FALSE)</f>
        <v>55591</v>
      </c>
      <c r="Y2330" s="131">
        <f>_xll.qlCalendarAdvance(Calendar,X2330,NDays&amp;"D")</f>
        <v>55593</v>
      </c>
      <c r="Z2330" s="132">
        <v>1.6181488604503361E-2</v>
      </c>
      <c r="AA2330" s="129">
        <v>1.6187495595474388E-2</v>
      </c>
    </row>
    <row r="2331" spans="19:27" x14ac:dyDescent="0.2">
      <c r="S2331" s="1"/>
      <c r="T2331" s="109"/>
      <c r="W2331" s="130" t="str">
        <f t="shared" si="46"/>
        <v>1w</v>
      </c>
      <c r="X2331" s="128">
        <f>_xll.qlCalendarAdvance(Calendar,X2330,W2331,"f",FALSE)</f>
        <v>55598</v>
      </c>
      <c r="Y2331" s="131">
        <f>_xll.qlCalendarAdvance(Calendar,X2331,NDays&amp;"D")</f>
        <v>55600</v>
      </c>
      <c r="Z2331" s="132">
        <v>1.6175387232650506E-2</v>
      </c>
      <c r="AA2331" s="129">
        <v>1.6181607154033273E-2</v>
      </c>
    </row>
    <row r="2332" spans="19:27" x14ac:dyDescent="0.2">
      <c r="S2332" s="1"/>
      <c r="T2332" s="109"/>
      <c r="W2332" s="130" t="str">
        <f t="shared" si="46"/>
        <v>1w</v>
      </c>
      <c r="X2332" s="128">
        <f>_xll.qlCalendarAdvance(Calendar,X2331,W2332,"f",FALSE)</f>
        <v>55605</v>
      </c>
      <c r="Y2332" s="131">
        <f>_xll.qlCalendarAdvance(Calendar,X2332,NDays&amp;"D")</f>
        <v>55607</v>
      </c>
      <c r="Z2332" s="132">
        <v>1.6169498680004415E-2</v>
      </c>
      <c r="AA2332" s="129">
        <v>1.6175689776884994E-2</v>
      </c>
    </row>
    <row r="2333" spans="19:27" x14ac:dyDescent="0.2">
      <c r="S2333" s="1"/>
      <c r="T2333" s="109"/>
      <c r="W2333" s="130" t="str">
        <f t="shared" si="46"/>
        <v>1w</v>
      </c>
      <c r="X2333" s="128">
        <f>_xll.qlCalendarAdvance(Calendar,X2332,W2333,"f",FALSE)</f>
        <v>55612</v>
      </c>
      <c r="Y2333" s="131">
        <f>_xll.qlCalendarAdvance(Calendar,X2333,NDays&amp;"D")</f>
        <v>55614</v>
      </c>
      <c r="Z2333" s="132">
        <v>1.6163346270198185E-2</v>
      </c>
      <c r="AA2333" s="129">
        <v>1.6169743464082842E-2</v>
      </c>
    </row>
    <row r="2334" spans="19:27" x14ac:dyDescent="0.2">
      <c r="S2334" s="1"/>
      <c r="T2334" s="109"/>
      <c r="W2334" s="130" t="str">
        <f t="shared" si="46"/>
        <v>1w</v>
      </c>
      <c r="X2334" s="128">
        <f>_xll.qlCalendarAdvance(Calendar,X2333,W2334,"f",FALSE)</f>
        <v>55619</v>
      </c>
      <c r="Y2334" s="131">
        <f>_xll.qlCalendarAdvance(Calendar,X2334,NDays&amp;"D")</f>
        <v>55621</v>
      </c>
      <c r="Z2334" s="132">
        <v>1.6157164819688045E-2</v>
      </c>
      <c r="AA2334" s="129">
        <v>1.6163768215600172E-2</v>
      </c>
    </row>
    <row r="2335" spans="19:27" x14ac:dyDescent="0.2">
      <c r="S2335" s="1"/>
      <c r="T2335" s="109"/>
      <c r="W2335" s="130" t="str">
        <f t="shared" si="46"/>
        <v>1w</v>
      </c>
      <c r="X2335" s="128">
        <f>_xll.qlCalendarAdvance(Calendar,X2334,W2335,"f",FALSE)</f>
        <v>55626</v>
      </c>
      <c r="Y2335" s="131">
        <f>_xll.qlCalendarAdvance(Calendar,X2335,NDays&amp;"D")</f>
        <v>55632</v>
      </c>
      <c r="Z2335" s="132">
        <v>1.6147392437999127E-2</v>
      </c>
      <c r="AA2335" s="129">
        <v>1.6154457230950214E-2</v>
      </c>
    </row>
    <row r="2336" spans="19:27" x14ac:dyDescent="0.2">
      <c r="S2336" s="1"/>
      <c r="T2336" s="109"/>
      <c r="W2336" s="130" t="str">
        <f t="shared" si="46"/>
        <v>1w</v>
      </c>
      <c r="X2336" s="128">
        <f>_xll.qlCalendarAdvance(Calendar,X2335,W2336,"f",FALSE)</f>
        <v>55633</v>
      </c>
      <c r="Y2336" s="131">
        <f>_xll.qlCalendarAdvance(Calendar,X2336,NDays&amp;"D")</f>
        <v>55635</v>
      </c>
      <c r="Z2336" s="132">
        <v>1.6144714797105938E-2</v>
      </c>
      <c r="AA2336" s="129">
        <v>1.6151730911673212E-2</v>
      </c>
    </row>
    <row r="2337" spans="19:27" x14ac:dyDescent="0.2">
      <c r="S2337" s="1"/>
      <c r="T2337" s="109"/>
      <c r="W2337" s="130" t="str">
        <f t="shared" si="46"/>
        <v>1w</v>
      </c>
      <c r="X2337" s="128">
        <f>_xll.qlCalendarAdvance(Calendar,X2336,W2337,"f",FALSE)</f>
        <v>55641</v>
      </c>
      <c r="Y2337" s="131">
        <f>_xll.qlCalendarAdvance(Calendar,X2337,NDays&amp;"D")</f>
        <v>55645</v>
      </c>
      <c r="Z2337" s="132">
        <v>1.6135657637729801E-2</v>
      </c>
      <c r="AA2337" s="129">
        <v>1.6143207814032223E-2</v>
      </c>
    </row>
    <row r="2338" spans="19:27" x14ac:dyDescent="0.2">
      <c r="S2338" s="1"/>
      <c r="T2338" s="109"/>
      <c r="W2338" s="130" t="str">
        <f t="shared" si="46"/>
        <v>1w</v>
      </c>
      <c r="X2338" s="128">
        <f>_xll.qlCalendarAdvance(Calendar,X2337,W2338,"f",FALSE)</f>
        <v>55648</v>
      </c>
      <c r="Y2338" s="131">
        <f>_xll.qlCalendarAdvance(Calendar,X2338,NDays&amp;"D")</f>
        <v>55652</v>
      </c>
      <c r="Z2338" s="132">
        <v>1.6129345223465461E-2</v>
      </c>
      <c r="AA2338" s="129">
        <v>1.6137109102416503E-2</v>
      </c>
    </row>
    <row r="2339" spans="19:27" x14ac:dyDescent="0.2">
      <c r="S2339" s="1"/>
      <c r="T2339" s="109"/>
      <c r="W2339" s="130" t="str">
        <f t="shared" si="46"/>
        <v>1w</v>
      </c>
      <c r="X2339" s="128">
        <f>_xll.qlCalendarAdvance(Calendar,X2338,W2339,"f",FALSE)</f>
        <v>55655</v>
      </c>
      <c r="Y2339" s="131">
        <f>_xll.qlCalendarAdvance(Calendar,X2339,NDays&amp;"D")</f>
        <v>55659</v>
      </c>
      <c r="Z2339" s="132">
        <v>1.6123003768066406E-2</v>
      </c>
      <c r="AA2339" s="129">
        <v>1.6130981457465055E-2</v>
      </c>
    </row>
    <row r="2340" spans="19:27" x14ac:dyDescent="0.2">
      <c r="S2340" s="1"/>
      <c r="T2340" s="109"/>
      <c r="W2340" s="130" t="str">
        <f t="shared" si="46"/>
        <v>1w</v>
      </c>
      <c r="X2340" s="128">
        <f>_xll.qlCalendarAdvance(Calendar,X2339,W2340,"f",FALSE)</f>
        <v>55662</v>
      </c>
      <c r="Y2340" s="131">
        <f>_xll.qlCalendarAdvance(Calendar,X2340,NDays&amp;"D")</f>
        <v>55666</v>
      </c>
      <c r="Z2340" s="132">
        <v>1.6116633271670785E-2</v>
      </c>
      <c r="AA2340" s="129">
        <v>1.6124824879417687E-2</v>
      </c>
    </row>
    <row r="2341" spans="19:27" x14ac:dyDescent="0.2">
      <c r="S2341" s="1"/>
      <c r="T2341" s="109"/>
      <c r="W2341" s="130" t="str">
        <f t="shared" si="46"/>
        <v>1w</v>
      </c>
      <c r="X2341" s="128">
        <f>_xll.qlCalendarAdvance(Calendar,X2340,W2341,"f",FALSE)</f>
        <v>55669</v>
      </c>
      <c r="Y2341" s="131">
        <f>_xll.qlCalendarAdvance(Calendar,X2341,NDays&amp;"D")</f>
        <v>55673</v>
      </c>
      <c r="Z2341" s="132">
        <v>1.6110233734420228E-2</v>
      </c>
      <c r="AA2341" s="129">
        <v>1.6118639368114529E-2</v>
      </c>
    </row>
    <row r="2342" spans="19:27" x14ac:dyDescent="0.2">
      <c r="S2342" s="1"/>
      <c r="T2342" s="109"/>
      <c r="W2342" s="130" t="str">
        <f t="shared" si="46"/>
        <v>1w</v>
      </c>
      <c r="X2342" s="128">
        <f>_xll.qlCalendarAdvance(Calendar,X2341,W2342,"f",FALSE)</f>
        <v>55676</v>
      </c>
      <c r="Y2342" s="131">
        <f>_xll.qlCalendarAdvance(Calendar,X2342,NDays&amp;"D")</f>
        <v>55680</v>
      </c>
      <c r="Z2342" s="132">
        <v>1.6103805156456357E-2</v>
      </c>
      <c r="AA2342" s="129">
        <v>1.6112424923475643E-2</v>
      </c>
    </row>
    <row r="2343" spans="19:27" x14ac:dyDescent="0.2">
      <c r="S2343" s="1"/>
      <c r="T2343" s="109"/>
      <c r="W2343" s="130" t="str">
        <f t="shared" si="46"/>
        <v>1w</v>
      </c>
      <c r="X2343" s="128">
        <f>_xll.qlCalendarAdvance(Calendar,X2342,W2343,"f",FALSE)</f>
        <v>55683</v>
      </c>
      <c r="Y2343" s="131">
        <f>_xll.qlCalendarAdvance(Calendar,X2343,NDays&amp;"D")</f>
        <v>55687</v>
      </c>
      <c r="Z2343" s="132">
        <v>1.6097347537925143E-2</v>
      </c>
      <c r="AA2343" s="129">
        <v>1.6106181545580966E-2</v>
      </c>
    </row>
    <row r="2344" spans="19:27" x14ac:dyDescent="0.2">
      <c r="S2344" s="1"/>
      <c r="T2344" s="109"/>
      <c r="W2344" s="130" t="str">
        <f t="shared" si="46"/>
        <v>1w</v>
      </c>
      <c r="X2344" s="128">
        <f>_xll.qlCalendarAdvance(Calendar,X2343,W2344,"f",FALSE)</f>
        <v>55690</v>
      </c>
      <c r="Y2344" s="131">
        <f>_xll.qlCalendarAdvance(Calendar,X2344,NDays&amp;"D")</f>
        <v>55694</v>
      </c>
      <c r="Z2344" s="132">
        <v>1.609086087896474E-2</v>
      </c>
      <c r="AA2344" s="129">
        <v>1.6099909234350562E-2</v>
      </c>
    </row>
    <row r="2345" spans="19:27" x14ac:dyDescent="0.2">
      <c r="S2345" s="1"/>
      <c r="T2345" s="109"/>
      <c r="W2345" s="130" t="str">
        <f t="shared" si="46"/>
        <v>1w</v>
      </c>
      <c r="X2345" s="128">
        <f>_xll.qlCalendarAdvance(Calendar,X2344,W2345,"f",FALSE)</f>
        <v>55697</v>
      </c>
      <c r="Y2345" s="131">
        <f>_xll.qlCalendarAdvance(Calendar,X2345,NDays&amp;"D")</f>
        <v>55701</v>
      </c>
      <c r="Z2345" s="132">
        <v>1.6084345179721984E-2</v>
      </c>
      <c r="AA2345" s="129">
        <v>1.6093607990184111E-2</v>
      </c>
    </row>
    <row r="2346" spans="19:27" x14ac:dyDescent="0.2">
      <c r="S2346" s="1"/>
      <c r="T2346" s="109"/>
      <c r="W2346" s="130" t="str">
        <f t="shared" si="46"/>
        <v>1w</v>
      </c>
      <c r="X2346" s="128">
        <f>_xll.qlCalendarAdvance(Calendar,X2345,W2346,"f",FALSE)</f>
        <v>55704</v>
      </c>
      <c r="Y2346" s="131">
        <f>_xll.qlCalendarAdvance(Calendar,X2346,NDays&amp;"D")</f>
        <v>55708</v>
      </c>
      <c r="Z2346" s="132">
        <v>1.6077800440341104E-2</v>
      </c>
      <c r="AA2346" s="129">
        <v>1.6087277812601997E-2</v>
      </c>
    </row>
    <row r="2347" spans="19:27" x14ac:dyDescent="0.2">
      <c r="S2347" s="1"/>
      <c r="T2347" s="109"/>
      <c r="W2347" s="130" t="str">
        <f t="shared" si="46"/>
        <v>1w</v>
      </c>
      <c r="X2347" s="128">
        <f>_xll.qlCalendarAdvance(Calendar,X2346,W2347,"f",FALSE)</f>
        <v>55711</v>
      </c>
      <c r="Y2347" s="131">
        <f>_xll.qlCalendarAdvance(Calendar,X2347,NDays&amp;"D")</f>
        <v>55715</v>
      </c>
      <c r="Z2347" s="132">
        <v>1.6071226660965471E-2</v>
      </c>
      <c r="AA2347" s="129">
        <v>1.6080918701524283E-2</v>
      </c>
    </row>
    <row r="2348" spans="19:27" x14ac:dyDescent="0.2">
      <c r="S2348" s="1"/>
      <c r="T2348" s="109"/>
      <c r="W2348" s="130" t="str">
        <f t="shared" si="46"/>
        <v>1w</v>
      </c>
      <c r="X2348" s="128">
        <f>_xll.qlCalendarAdvance(Calendar,X2347,W2348,"f",FALSE)</f>
        <v>55718</v>
      </c>
      <c r="Y2348" s="131">
        <f>_xll.qlCalendarAdvance(Calendar,X2348,NDays&amp;"D")</f>
        <v>55722</v>
      </c>
      <c r="Z2348" s="132">
        <v>1.6064623841743658E-2</v>
      </c>
      <c r="AA2348" s="129">
        <v>1.6074530657430586E-2</v>
      </c>
    </row>
    <row r="2349" spans="19:27" x14ac:dyDescent="0.2">
      <c r="S2349" s="1"/>
      <c r="T2349" s="109"/>
      <c r="W2349" s="130" t="str">
        <f t="shared" si="46"/>
        <v>1w</v>
      </c>
      <c r="X2349" s="128">
        <f>_xll.qlCalendarAdvance(Calendar,X2348,W2349,"f",FALSE)</f>
        <v>55725</v>
      </c>
      <c r="Y2349" s="131">
        <f>_xll.qlCalendarAdvance(Calendar,X2349,NDays&amp;"D")</f>
        <v>55729</v>
      </c>
      <c r="Z2349" s="132">
        <v>1.6057991982821634E-2</v>
      </c>
      <c r="AA2349" s="129">
        <v>1.6068113680161034E-2</v>
      </c>
    </row>
    <row r="2350" spans="19:27" x14ac:dyDescent="0.2">
      <c r="S2350" s="1"/>
      <c r="T2350" s="109"/>
      <c r="W2350" s="130" t="str">
        <f t="shared" si="46"/>
        <v>1w</v>
      </c>
      <c r="X2350" s="128">
        <f>_xll.qlCalendarAdvance(Calendar,X2349,W2350,"f",FALSE)</f>
        <v>55732</v>
      </c>
      <c r="Y2350" s="131">
        <f>_xll.qlCalendarAdvance(Calendar,X2350,NDays&amp;"D")</f>
        <v>55736</v>
      </c>
      <c r="Z2350" s="132">
        <v>1.6051331084342764E-2</v>
      </c>
      <c r="AA2350" s="129">
        <v>1.6061667769395882E-2</v>
      </c>
    </row>
    <row r="2351" spans="19:27" x14ac:dyDescent="0.2">
      <c r="S2351" s="1"/>
      <c r="T2351" s="109"/>
      <c r="W2351" s="130" t="str">
        <f t="shared" si="46"/>
        <v>1w</v>
      </c>
      <c r="X2351" s="128">
        <f>_xll.qlCalendarAdvance(Calendar,X2350,W2351,"f",FALSE)</f>
        <v>55739</v>
      </c>
      <c r="Y2351" s="131">
        <f>_xll.qlCalendarAdvance(Calendar,X2351,NDays&amp;"D")</f>
        <v>55743</v>
      </c>
      <c r="Z2351" s="132">
        <v>1.6044641146460838E-2</v>
      </c>
      <c r="AA2351" s="129">
        <v>1.6055192925614747E-2</v>
      </c>
    </row>
    <row r="2352" spans="19:27" x14ac:dyDescent="0.2">
      <c r="S2352" s="1"/>
      <c r="T2352" s="109"/>
      <c r="W2352" s="130" t="str">
        <f t="shared" si="46"/>
        <v>1w</v>
      </c>
      <c r="X2352" s="128">
        <f>_xll.qlCalendarAdvance(Calendar,X2351,W2352,"f",FALSE)</f>
        <v>55746</v>
      </c>
      <c r="Y2352" s="131">
        <f>_xll.qlCalendarAdvance(Calendar,X2352,NDays&amp;"D")</f>
        <v>55750</v>
      </c>
      <c r="Z2352" s="132">
        <v>1.6037922169320089E-2</v>
      </c>
      <c r="AA2352" s="129">
        <v>1.6048689148577822E-2</v>
      </c>
    </row>
    <row r="2353" spans="19:27" x14ac:dyDescent="0.2">
      <c r="S2353" s="1"/>
      <c r="T2353" s="109"/>
      <c r="W2353" s="130" t="str">
        <f t="shared" si="46"/>
        <v>1w</v>
      </c>
      <c r="X2353" s="128">
        <f>_xll.qlCalendarAdvance(Calendar,X2352,W2353,"f",FALSE)</f>
        <v>55753</v>
      </c>
      <c r="Y2353" s="131">
        <f>_xll.qlCalendarAdvance(Calendar,X2353,NDays&amp;"D")</f>
        <v>55757</v>
      </c>
      <c r="Z2353" s="132">
        <v>1.6031174153068223E-2</v>
      </c>
      <c r="AA2353" s="129">
        <v>1.6042156438125232E-2</v>
      </c>
    </row>
    <row r="2354" spans="19:27" x14ac:dyDescent="0.2">
      <c r="S2354" s="1"/>
      <c r="T2354" s="109"/>
      <c r="W2354" s="130" t="str">
        <f t="shared" si="46"/>
        <v>1w</v>
      </c>
      <c r="X2354" s="128">
        <f>_xll.qlCalendarAdvance(Calendar,X2353,W2354,"f",FALSE)</f>
        <v>55760</v>
      </c>
      <c r="Y2354" s="131">
        <f>_xll.qlCalendarAdvance(Calendar,X2354,NDays&amp;"D")</f>
        <v>55764</v>
      </c>
      <c r="Z2354" s="132">
        <v>1.602453048554292E-2</v>
      </c>
      <c r="AA2354" s="129">
        <v>1.603559479465666E-2</v>
      </c>
    </row>
    <row r="2355" spans="19:27" x14ac:dyDescent="0.2">
      <c r="S2355" s="1"/>
      <c r="T2355" s="109"/>
      <c r="W2355" s="130" t="str">
        <f t="shared" si="46"/>
        <v>1w</v>
      </c>
      <c r="X2355" s="128">
        <f>_xll.qlCalendarAdvance(Calendar,X2354,W2355,"f",FALSE)</f>
        <v>55767</v>
      </c>
      <c r="Y2355" s="131">
        <f>_xll.qlCalendarAdvance(Calendar,X2355,NDays&amp;"D")</f>
        <v>55771</v>
      </c>
      <c r="Z2355" s="132">
        <v>1.6017726767893866E-2</v>
      </c>
      <c r="AA2355" s="129">
        <v>1.6029004217772425E-2</v>
      </c>
    </row>
    <row r="2356" spans="19:27" x14ac:dyDescent="0.2">
      <c r="S2356" s="1"/>
      <c r="T2356" s="109"/>
      <c r="W2356" s="130" t="str">
        <f t="shared" si="46"/>
        <v>1w</v>
      </c>
      <c r="X2356" s="128">
        <f>_xll.qlCalendarAdvance(Calendar,X2355,W2356,"f",FALSE)</f>
        <v>55774</v>
      </c>
      <c r="Y2356" s="131">
        <f>_xll.qlCalendarAdvance(Calendar,X2356,NDays&amp;"D")</f>
        <v>55778</v>
      </c>
      <c r="Z2356" s="132">
        <v>1.6010894012738346E-2</v>
      </c>
      <c r="AA2356" s="129">
        <v>1.6022384707872206E-2</v>
      </c>
    </row>
    <row r="2357" spans="19:27" x14ac:dyDescent="0.2">
      <c r="S2357" s="1"/>
      <c r="T2357" s="109"/>
      <c r="W2357" s="130" t="str">
        <f t="shared" si="46"/>
        <v>1w</v>
      </c>
      <c r="X2357" s="128">
        <f>_xll.qlCalendarAdvance(Calendar,X2356,W2357,"f",FALSE)</f>
        <v>55781</v>
      </c>
      <c r="Y2357" s="131">
        <f>_xll.qlCalendarAdvance(Calendar,X2357,NDays&amp;"D")</f>
        <v>55785</v>
      </c>
      <c r="Z2357" s="132">
        <v>1.600403222022306E-2</v>
      </c>
      <c r="AA2357" s="129">
        <v>1.6015736264556324E-2</v>
      </c>
    </row>
    <row r="2358" spans="19:27" x14ac:dyDescent="0.2">
      <c r="S2358" s="1"/>
      <c r="T2358" s="109"/>
      <c r="W2358" s="130" t="str">
        <f t="shared" si="46"/>
        <v>1w</v>
      </c>
      <c r="X2358" s="128">
        <f>_xll.qlCalendarAdvance(Calendar,X2357,W2358,"f",FALSE)</f>
        <v>55788</v>
      </c>
      <c r="Y2358" s="131">
        <f>_xll.qlCalendarAdvance(Calendar,X2358,NDays&amp;"D")</f>
        <v>55792</v>
      </c>
      <c r="Z2358" s="132">
        <v>1.5996998490445741E-2</v>
      </c>
      <c r="AA2358" s="129">
        <v>1.6009058887904715E-2</v>
      </c>
    </row>
    <row r="2359" spans="19:27" x14ac:dyDescent="0.2">
      <c r="S2359" s="1"/>
      <c r="T2359" s="109"/>
      <c r="W2359" s="130" t="str">
        <f t="shared" si="46"/>
        <v>1w</v>
      </c>
      <c r="X2359" s="128">
        <f>_xll.qlCalendarAdvance(Calendar,X2358,W2359,"f",FALSE)</f>
        <v>55795</v>
      </c>
      <c r="Y2359" s="131">
        <f>_xll.qlCalendarAdvance(Calendar,X2359,NDays&amp;"D")</f>
        <v>55799</v>
      </c>
      <c r="Z2359" s="132">
        <v>1.5990076242708116E-2</v>
      </c>
      <c r="AA2359" s="129">
        <v>1.6002352578157186E-2</v>
      </c>
    </row>
    <row r="2360" spans="19:27" x14ac:dyDescent="0.2">
      <c r="S2360" s="1"/>
      <c r="T2360" s="109"/>
      <c r="W2360" s="130" t="str">
        <f t="shared" si="46"/>
        <v>1w</v>
      </c>
      <c r="X2360" s="128">
        <f>_xll.qlCalendarAdvance(Calendar,X2359,W2360,"f",FALSE)</f>
        <v>55802</v>
      </c>
      <c r="Y2360" s="131">
        <f>_xll.qlCalendarAdvance(Calendar,X2360,NDays&amp;"D")</f>
        <v>55806</v>
      </c>
      <c r="Z2360" s="132">
        <v>1.5983124956922872E-2</v>
      </c>
      <c r="AA2360" s="129">
        <v>1.5995617335233803E-2</v>
      </c>
    </row>
    <row r="2361" spans="19:27" x14ac:dyDescent="0.2">
      <c r="S2361" s="1"/>
      <c r="T2361" s="109"/>
      <c r="W2361" s="130" t="str">
        <f t="shared" si="46"/>
        <v>1w</v>
      </c>
      <c r="X2361" s="128">
        <f>_xll.qlCalendarAdvance(Calendar,X2360,W2361,"f",FALSE)</f>
        <v>55809</v>
      </c>
      <c r="Y2361" s="131">
        <f>_xll.qlCalendarAdvance(Calendar,X2361,NDays&amp;"D")</f>
        <v>55813</v>
      </c>
      <c r="Z2361" s="132">
        <v>1.5976144633242928E-2</v>
      </c>
      <c r="AA2361" s="129">
        <v>1.5988853158974692E-2</v>
      </c>
    </row>
    <row r="2362" spans="19:27" x14ac:dyDescent="0.2">
      <c r="S2362" s="1"/>
      <c r="T2362" s="109"/>
      <c r="W2362" s="130" t="str">
        <f t="shared" si="46"/>
        <v>1w</v>
      </c>
      <c r="X2362" s="128">
        <f>_xll.qlCalendarAdvance(Calendar,X2361,W2362,"f",FALSE)</f>
        <v>55816</v>
      </c>
      <c r="Y2362" s="131">
        <f>_xll.qlCalendarAdvance(Calendar,X2362,NDays&amp;"D")</f>
        <v>55820</v>
      </c>
      <c r="Z2362" s="132">
        <v>1.5969135271824687E-2</v>
      </c>
      <c r="AA2362" s="129">
        <v>1.5982060049619662E-2</v>
      </c>
    </row>
    <row r="2363" spans="19:27" x14ac:dyDescent="0.2">
      <c r="S2363" s="1"/>
      <c r="T2363" s="109"/>
      <c r="W2363" s="130" t="str">
        <f t="shared" si="46"/>
        <v>1w</v>
      </c>
      <c r="X2363" s="128">
        <f>_xll.qlCalendarAdvance(Calendar,X2362,W2363,"f",FALSE)</f>
        <v>55823</v>
      </c>
      <c r="Y2363" s="131">
        <f>_xll.qlCalendarAdvance(Calendar,X2363,NDays&amp;"D")</f>
        <v>55827</v>
      </c>
      <c r="Z2363" s="132">
        <v>1.5962096872822802E-2</v>
      </c>
      <c r="AA2363" s="129">
        <v>1.5975238007008841E-2</v>
      </c>
    </row>
    <row r="2364" spans="19:27" x14ac:dyDescent="0.2">
      <c r="S2364" s="1"/>
      <c r="T2364" s="109"/>
      <c r="W2364" s="130" t="str">
        <f t="shared" si="46"/>
        <v>1w</v>
      </c>
      <c r="X2364" s="128">
        <f>_xll.qlCalendarAdvance(Calendar,X2363,W2364,"f",FALSE)</f>
        <v>55830</v>
      </c>
      <c r="Y2364" s="131">
        <f>_xll.qlCalendarAdvance(Calendar,X2364,NDays&amp;"D")</f>
        <v>55834</v>
      </c>
      <c r="Z2364" s="132">
        <v>1.5955029436395408E-2</v>
      </c>
      <c r="AA2364" s="129">
        <v>1.5968387031062292E-2</v>
      </c>
    </row>
    <row r="2365" spans="19:27" x14ac:dyDescent="0.2">
      <c r="S2365" s="1"/>
      <c r="T2365" s="109"/>
      <c r="W2365" s="130" t="str">
        <f t="shared" si="46"/>
        <v>1w</v>
      </c>
      <c r="X2365" s="128">
        <f>_xll.qlCalendarAdvance(Calendar,X2364,W2365,"f",FALSE)</f>
        <v>55837</v>
      </c>
      <c r="Y2365" s="131">
        <f>_xll.qlCalendarAdvance(Calendar,X2365,NDays&amp;"D")</f>
        <v>55841</v>
      </c>
      <c r="Z2365" s="132">
        <v>1.5947932962695428E-2</v>
      </c>
      <c r="AA2365" s="129">
        <v>1.5961507122019825E-2</v>
      </c>
    </row>
    <row r="2366" spans="19:27" x14ac:dyDescent="0.2">
      <c r="S2366" s="1"/>
      <c r="T2366" s="109"/>
      <c r="W2366" s="130" t="str">
        <f t="shared" si="46"/>
        <v>1w</v>
      </c>
      <c r="X2366" s="128">
        <f>_xll.qlCalendarAdvance(Calendar,X2365,W2366,"f",FALSE)</f>
        <v>55844</v>
      </c>
      <c r="Y2366" s="131">
        <f>_xll.qlCalendarAdvance(Calendar,X2366,NDays&amp;"D")</f>
        <v>55848</v>
      </c>
      <c r="Z2366" s="132">
        <v>1.5940807451883605E-2</v>
      </c>
      <c r="AA2366" s="129">
        <v>1.595459827964163E-2</v>
      </c>
    </row>
    <row r="2367" spans="19:27" x14ac:dyDescent="0.2">
      <c r="S2367" s="1"/>
      <c r="T2367" s="109"/>
      <c r="W2367" s="130" t="str">
        <f t="shared" si="46"/>
        <v>1w</v>
      </c>
      <c r="X2367" s="128">
        <f>_xll.qlCalendarAdvance(Calendar,X2366,W2367,"f",FALSE)</f>
        <v>55851</v>
      </c>
      <c r="Y2367" s="131">
        <f>_xll.qlCalendarAdvance(Calendar,X2367,NDays&amp;"D")</f>
        <v>55855</v>
      </c>
      <c r="Z2367" s="132">
        <v>1.5933817273812961E-2</v>
      </c>
      <c r="AA2367" s="129">
        <v>1.5947660504167516E-2</v>
      </c>
    </row>
    <row r="2368" spans="19:27" x14ac:dyDescent="0.2">
      <c r="S2368" s="1"/>
      <c r="T2368" s="109"/>
      <c r="W2368" s="130" t="str">
        <f t="shared" si="46"/>
        <v>1w</v>
      </c>
      <c r="X2368" s="128">
        <f>_xll.qlCalendarAdvance(Calendar,X2367,W2368,"f",FALSE)</f>
        <v>55858</v>
      </c>
      <c r="Y2368" s="131">
        <f>_xll.qlCalendarAdvance(Calendar,X2368,NDays&amp;"D")</f>
        <v>55862</v>
      </c>
      <c r="Z2368" s="132">
        <v>1.5926636080433237E-2</v>
      </c>
      <c r="AA2368" s="129">
        <v>1.594069379543761E-2</v>
      </c>
    </row>
    <row r="2369" spans="19:27" x14ac:dyDescent="0.2">
      <c r="S2369" s="1"/>
      <c r="T2369" s="109"/>
      <c r="W2369" s="130" t="str">
        <f t="shared" si="46"/>
        <v>1w</v>
      </c>
      <c r="X2369" s="128">
        <f>_xll.qlCalendarAdvance(Calendar,X2368,W2369,"f",FALSE)</f>
        <v>55865</v>
      </c>
      <c r="Y2369" s="131">
        <f>_xll.qlCalendarAdvance(Calendar,X2369,NDays&amp;"D")</f>
        <v>55869</v>
      </c>
      <c r="Z2369" s="132">
        <v>1.5919425851544568E-2</v>
      </c>
      <c r="AA2369" s="129">
        <v>1.5933698153451914E-2</v>
      </c>
    </row>
    <row r="2370" spans="19:27" x14ac:dyDescent="0.2">
      <c r="S2370" s="1"/>
      <c r="T2370" s="109"/>
      <c r="W2370" s="130" t="str">
        <f t="shared" si="46"/>
        <v>1w</v>
      </c>
      <c r="X2370" s="128">
        <f>_xll.qlCalendarAdvance(Calendar,X2369,W2370,"f",FALSE)</f>
        <v>55872</v>
      </c>
      <c r="Y2370" s="131">
        <f>_xll.qlCalendarAdvance(Calendar,X2370,NDays&amp;"D")</f>
        <v>55876</v>
      </c>
      <c r="Z2370" s="132">
        <v>1.5912186587305071E-2</v>
      </c>
      <c r="AA2370" s="129">
        <v>1.5926673578370298E-2</v>
      </c>
    </row>
    <row r="2371" spans="19:27" x14ac:dyDescent="0.2">
      <c r="S2371" s="1"/>
      <c r="T2371" s="109"/>
      <c r="W2371" s="130" t="str">
        <f t="shared" si="46"/>
        <v>1w</v>
      </c>
      <c r="X2371" s="128">
        <f>_xll.qlCalendarAdvance(Calendar,X2370,W2371,"f",FALSE)</f>
        <v>55880</v>
      </c>
      <c r="Y2371" s="131">
        <f>_xll.qlCalendarAdvance(Calendar,X2371,NDays&amp;"D")</f>
        <v>55884</v>
      </c>
      <c r="Z2371" s="132">
        <v>1.5904051639015648E-2</v>
      </c>
      <c r="AA2371" s="129">
        <v>1.5918456690799943E-2</v>
      </c>
    </row>
    <row r="2372" spans="19:27" x14ac:dyDescent="0.2">
      <c r="S2372" s="1"/>
      <c r="T2372" s="109"/>
      <c r="W2372" s="130" t="str">
        <f t="shared" si="46"/>
        <v>1w</v>
      </c>
      <c r="X2372" s="128">
        <f>_xll.qlCalendarAdvance(Calendar,X2371,W2372,"f",FALSE)</f>
        <v>55887</v>
      </c>
      <c r="Y2372" s="131">
        <f>_xll.qlCalendarAdvance(Calendar,X2372,NDays&amp;"D")</f>
        <v>55891</v>
      </c>
      <c r="Z2372" s="132">
        <v>1.5896576106853924E-2</v>
      </c>
      <c r="AA2372" s="129">
        <v>1.591152348894731E-2</v>
      </c>
    </row>
    <row r="2373" spans="19:27" x14ac:dyDescent="0.2">
      <c r="S2373" s="1"/>
      <c r="T2373" s="109"/>
      <c r="W2373" s="130" t="str">
        <f t="shared" si="46"/>
        <v>1w</v>
      </c>
      <c r="X2373" s="128">
        <f>_xll.qlCalendarAdvance(Calendar,X2372,W2373,"f",FALSE)</f>
        <v>55894</v>
      </c>
      <c r="Y2373" s="131">
        <f>_xll.qlCalendarAdvance(Calendar,X2373,NDays&amp;"D")</f>
        <v>55898</v>
      </c>
      <c r="Z2373" s="132">
        <v>1.5889424431992261E-2</v>
      </c>
      <c r="AA2373" s="129">
        <v>1.5904407980844582E-2</v>
      </c>
    </row>
    <row r="2374" spans="19:27" x14ac:dyDescent="0.2">
      <c r="S2374" s="1"/>
      <c r="T2374" s="109"/>
      <c r="W2374" s="130" t="str">
        <f t="shared" si="46"/>
        <v>1w</v>
      </c>
      <c r="X2374" s="128">
        <f>_xll.qlCalendarAdvance(Calendar,X2373,W2374,"f",FALSE)</f>
        <v>55901</v>
      </c>
      <c r="Y2374" s="131">
        <f>_xll.qlCalendarAdvance(Calendar,X2374,NDays&amp;"D")</f>
        <v>55905</v>
      </c>
      <c r="Z2374" s="132">
        <v>1.5882067278043976E-2</v>
      </c>
      <c r="AA2374" s="129">
        <v>1.5897263539565998E-2</v>
      </c>
    </row>
    <row r="2375" spans="19:27" x14ac:dyDescent="0.2">
      <c r="S2375" s="1"/>
      <c r="T2375" s="109"/>
      <c r="W2375" s="130" t="str">
        <f t="shared" si="46"/>
        <v>1w</v>
      </c>
      <c r="X2375" s="128">
        <f>_xll.qlCalendarAdvance(Calendar,X2374,W2375,"f",FALSE)</f>
        <v>55908</v>
      </c>
      <c r="Y2375" s="131">
        <f>_xll.qlCalendarAdvance(Calendar,X2375,NDays&amp;"D")</f>
        <v>55912</v>
      </c>
      <c r="Z2375" s="132">
        <v>1.5874681090683573E-2</v>
      </c>
      <c r="AA2375" s="129">
        <v>1.5890090165031623E-2</v>
      </c>
    </row>
    <row r="2376" spans="19:27" x14ac:dyDescent="0.2">
      <c r="S2376" s="1"/>
      <c r="T2376" s="109"/>
      <c r="W2376" s="130" t="str">
        <f t="shared" si="46"/>
        <v>1w</v>
      </c>
      <c r="X2376" s="128">
        <f>_xll.qlCalendarAdvance(Calendar,X2375,W2376,"f",FALSE)</f>
        <v>55915</v>
      </c>
      <c r="Y2376" s="131">
        <f>_xll.qlCalendarAdvance(Calendar,X2376,NDays&amp;"D")</f>
        <v>55919</v>
      </c>
      <c r="Z2376" s="132">
        <v>1.5867265870073588E-2</v>
      </c>
      <c r="AA2376" s="129">
        <v>1.5882887857401329E-2</v>
      </c>
    </row>
    <row r="2377" spans="19:27" x14ac:dyDescent="0.2">
      <c r="S2377" s="1"/>
      <c r="T2377" s="109"/>
      <c r="W2377" s="130" t="str">
        <f t="shared" si="46"/>
        <v>1w</v>
      </c>
      <c r="X2377" s="128">
        <f>_xll.qlCalendarAdvance(Calendar,X2376,W2377,"f",FALSE)</f>
        <v>55922</v>
      </c>
      <c r="Y2377" s="131">
        <f>_xll.qlCalendarAdvance(Calendar,X2377,NDays&amp;"D")</f>
        <v>55926</v>
      </c>
      <c r="Z2377" s="132">
        <v>1.5859821616367675E-2</v>
      </c>
      <c r="AA2377" s="129">
        <v>1.5875656616275435E-2</v>
      </c>
    </row>
    <row r="2378" spans="19:27" x14ac:dyDescent="0.2">
      <c r="S2378" s="1"/>
      <c r="T2378" s="109"/>
      <c r="W2378" s="130" t="str">
        <f t="shared" si="46"/>
        <v>1w</v>
      </c>
      <c r="X2378" s="128">
        <f>_xll.qlCalendarAdvance(Calendar,X2377,W2378,"f",FALSE)</f>
        <v>55929</v>
      </c>
      <c r="Y2378" s="131">
        <f>_xll.qlCalendarAdvance(Calendar,X2378,NDays&amp;"D")</f>
        <v>55933</v>
      </c>
      <c r="Z2378" s="132">
        <v>1.585234832973903E-2</v>
      </c>
      <c r="AA2378" s="129">
        <v>1.5868396442213495E-2</v>
      </c>
    </row>
    <row r="2379" spans="19:27" x14ac:dyDescent="0.2">
      <c r="S2379" s="1"/>
      <c r="T2379" s="109"/>
      <c r="W2379" s="130" t="str">
        <f t="shared" si="46"/>
        <v>1w</v>
      </c>
      <c r="X2379" s="128">
        <f>_xll.qlCalendarAdvance(Calendar,X2378,W2379,"f",FALSE)</f>
        <v>55936</v>
      </c>
      <c r="Y2379" s="131">
        <f>_xll.qlCalendarAdvance(Calendar,X2379,NDays&amp;"D")</f>
        <v>55940</v>
      </c>
      <c r="Z2379" s="132">
        <v>1.5844846010341307E-2</v>
      </c>
      <c r="AA2379" s="129">
        <v>1.5861107334975699E-2</v>
      </c>
    </row>
    <row r="2380" spans="19:27" x14ac:dyDescent="0.2">
      <c r="S2380" s="1"/>
      <c r="T2380" s="109"/>
      <c r="W2380" s="130" t="str">
        <f t="shared" si="46"/>
        <v>1w</v>
      </c>
      <c r="X2380" s="128">
        <f>_xll.qlCalendarAdvance(Calendar,X2379,W2380,"f",FALSE)</f>
        <v>55943</v>
      </c>
      <c r="Y2380" s="131">
        <f>_xll.qlCalendarAdvance(Calendar,X2380,NDays&amp;"D")</f>
        <v>55947</v>
      </c>
      <c r="Z2380" s="132">
        <v>1.5836923121197156E-2</v>
      </c>
      <c r="AA2380" s="129">
        <v>1.5853789294482112E-2</v>
      </c>
    </row>
    <row r="2381" spans="19:27" x14ac:dyDescent="0.2">
      <c r="S2381" s="1"/>
      <c r="T2381" s="109"/>
      <c r="W2381" s="130" t="str">
        <f t="shared" si="46"/>
        <v>1w</v>
      </c>
      <c r="X2381" s="128">
        <f>_xll.qlCalendarAdvance(Calendar,X2380,W2381,"f",FALSE)</f>
        <v>55950</v>
      </c>
      <c r="Y2381" s="131">
        <f>_xll.qlCalendarAdvance(Calendar,X2381,NDays&amp;"D")</f>
        <v>55954</v>
      </c>
      <c r="Z2381" s="132">
        <v>1.582935792521532E-2</v>
      </c>
      <c r="AA2381" s="129">
        <v>1.5846442320652798E-2</v>
      </c>
    </row>
    <row r="2382" spans="19:27" x14ac:dyDescent="0.2">
      <c r="S2382" s="1"/>
      <c r="T2382" s="109"/>
      <c r="W2382" s="130" t="str">
        <f t="shared" si="46"/>
        <v>1w</v>
      </c>
      <c r="X2382" s="128">
        <f>_xll.qlCalendarAdvance(Calendar,X2381,W2382,"f",FALSE)</f>
        <v>55957</v>
      </c>
      <c r="Y2382" s="131">
        <f>_xll.qlCalendarAdvance(Calendar,X2382,NDays&amp;"D")</f>
        <v>55961</v>
      </c>
      <c r="Z2382" s="132">
        <v>1.5821763694750839E-2</v>
      </c>
      <c r="AA2382" s="129">
        <v>1.5839066413807501E-2</v>
      </c>
    </row>
    <row r="2383" spans="19:27" x14ac:dyDescent="0.2">
      <c r="S2383" s="1"/>
      <c r="T2383" s="109"/>
      <c r="W2383" s="130" t="str">
        <f t="shared" si="46"/>
        <v>1w</v>
      </c>
      <c r="X2383" s="128">
        <f>_xll.qlCalendarAdvance(Calendar,X2382,W2383,"f",FALSE)</f>
        <v>55964</v>
      </c>
      <c r="Y2383" s="131">
        <f>_xll.qlCalendarAdvance(Calendar,X2383,NDays&amp;"D")</f>
        <v>55968</v>
      </c>
      <c r="Z2383" s="132">
        <v>1.5814140429971407E-2</v>
      </c>
      <c r="AA2383" s="129">
        <v>1.5831661573786349E-2</v>
      </c>
    </row>
    <row r="2384" spans="19:27" x14ac:dyDescent="0.2">
      <c r="S2384" s="1"/>
      <c r="T2384" s="109"/>
      <c r="W2384" s="130" t="str">
        <f t="shared" si="46"/>
        <v>1w</v>
      </c>
      <c r="X2384" s="128">
        <f>_xll.qlCalendarAdvance(Calendar,X2383,W2384,"f",FALSE)</f>
        <v>55971</v>
      </c>
      <c r="Y2384" s="131">
        <f>_xll.qlCalendarAdvance(Calendar,X2384,NDays&amp;"D")</f>
        <v>55975</v>
      </c>
      <c r="Z2384" s="132">
        <v>1.5806693647192425E-2</v>
      </c>
      <c r="AA2384" s="129">
        <v>1.5824227800429469E-2</v>
      </c>
    </row>
    <row r="2385" spans="19:27" x14ac:dyDescent="0.2">
      <c r="S2385" s="1"/>
      <c r="T2385" s="109"/>
      <c r="W2385" s="130" t="str">
        <f t="shared" si="46"/>
        <v>1w</v>
      </c>
      <c r="X2385" s="128">
        <f>_xll.qlCalendarAdvance(Calendar,X2384,W2385,"f",FALSE)</f>
        <v>55982</v>
      </c>
      <c r="Y2385" s="131">
        <f>_xll.qlCalendarAdvance(Calendar,X2385,NDays&amp;"D")</f>
        <v>55984</v>
      </c>
      <c r="Z2385" s="132">
        <v>1.579681541410289E-2</v>
      </c>
      <c r="AA2385" s="129">
        <v>1.5814627577892537E-2</v>
      </c>
    </row>
    <row r="2386" spans="19:27" x14ac:dyDescent="0.2">
      <c r="S2386" s="1"/>
      <c r="T2386" s="109"/>
      <c r="W2386" s="130" t="str">
        <f t="shared" si="46"/>
        <v>1w</v>
      </c>
      <c r="X2386" s="128">
        <f>_xll.qlCalendarAdvance(Calendar,X2385,W2386,"f",FALSE)</f>
        <v>55989</v>
      </c>
      <c r="Y2386" s="131">
        <f>_xll.qlCalendarAdvance(Calendar,X2386,NDays&amp;"D")</f>
        <v>55991</v>
      </c>
      <c r="Z2386" s="132">
        <v>1.5789099163718748E-2</v>
      </c>
      <c r="AA2386" s="129">
        <v>1.5807127671596533E-2</v>
      </c>
    </row>
    <row r="2387" spans="19:27" x14ac:dyDescent="0.2">
      <c r="S2387" s="1"/>
      <c r="T2387" s="109"/>
      <c r="W2387" s="130" t="str">
        <f t="shared" si="46"/>
        <v>1w</v>
      </c>
      <c r="X2387" s="128">
        <f>_xll.qlCalendarAdvance(Calendar,X2386,W2387,"f",FALSE)</f>
        <v>55996</v>
      </c>
      <c r="Y2387" s="131">
        <f>_xll.qlCalendarAdvance(Calendar,X2387,NDays&amp;"D")</f>
        <v>55998</v>
      </c>
      <c r="Z2387" s="132">
        <v>1.5781353880842151E-2</v>
      </c>
      <c r="AA2387" s="129">
        <v>1.5799598832204609E-2</v>
      </c>
    </row>
    <row r="2388" spans="19:27" x14ac:dyDescent="0.2">
      <c r="S2388" s="1"/>
      <c r="T2388" s="109"/>
      <c r="W2388" s="130" t="str">
        <f t="shared" si="46"/>
        <v>1w</v>
      </c>
      <c r="X2388" s="128">
        <f>_xll.qlCalendarAdvance(Calendar,X2387,W2388,"f",FALSE)</f>
        <v>56003</v>
      </c>
      <c r="Y2388" s="131">
        <f>_xll.qlCalendarAdvance(Calendar,X2388,NDays&amp;"D")</f>
        <v>56006</v>
      </c>
      <c r="Z2388" s="132">
        <v>1.5771817274168414E-2</v>
      </c>
      <c r="AA2388" s="129">
        <v>1.5790568751175016E-2</v>
      </c>
    </row>
    <row r="2389" spans="19:27" x14ac:dyDescent="0.2">
      <c r="S2389" s="1"/>
      <c r="T2389" s="109"/>
      <c r="W2389" s="130" t="str">
        <f t="shared" ref="W2389:W2452" si="47">W2388</f>
        <v>1w</v>
      </c>
      <c r="X2389" s="128">
        <f>_xll.qlCalendarAdvance(Calendar,X2388,W2389,"f",FALSE)</f>
        <v>56010</v>
      </c>
      <c r="Y2389" s="131">
        <f>_xll.qlCalendarAdvance(Calendar,X2389,NDays&amp;"D")</f>
        <v>56012</v>
      </c>
      <c r="Z2389" s="132">
        <v>1.5765557949830832E-2</v>
      </c>
      <c r="AA2389" s="129">
        <v>1.5784454353893196E-2</v>
      </c>
    </row>
    <row r="2390" spans="19:27" x14ac:dyDescent="0.2">
      <c r="S2390" s="1"/>
      <c r="T2390" s="109"/>
      <c r="W2390" s="130" t="str">
        <f t="shared" si="47"/>
        <v>1w</v>
      </c>
      <c r="X2390" s="128">
        <f>_xll.qlCalendarAdvance(Calendar,X2389,W2390,"f",FALSE)</f>
        <v>56017</v>
      </c>
      <c r="Y2390" s="131">
        <f>_xll.qlCalendarAdvance(Calendar,X2390,NDays&amp;"D")</f>
        <v>56019</v>
      </c>
      <c r="Z2390" s="132">
        <v>1.5757723154471388E-2</v>
      </c>
      <c r="AA2390" s="129">
        <v>1.5776838714813834E-2</v>
      </c>
    </row>
    <row r="2391" spans="19:27" x14ac:dyDescent="0.2">
      <c r="S2391" s="1"/>
      <c r="T2391" s="109"/>
      <c r="W2391" s="130" t="str">
        <f t="shared" si="47"/>
        <v>1w</v>
      </c>
      <c r="X2391" s="128">
        <f>_xll.qlCalendarAdvance(Calendar,X2390,W2391,"f",FALSE)</f>
        <v>56024</v>
      </c>
      <c r="Y2391" s="131">
        <f>_xll.qlCalendarAdvance(Calendar,X2391,NDays&amp;"D")</f>
        <v>56026</v>
      </c>
      <c r="Z2391" s="132">
        <v>1.57498593262176E-2</v>
      </c>
      <c r="AA2391" s="129">
        <v>1.5769194142638554E-2</v>
      </c>
    </row>
    <row r="2392" spans="19:27" x14ac:dyDescent="0.2">
      <c r="S2392" s="1"/>
      <c r="T2392" s="109"/>
      <c r="W2392" s="130" t="str">
        <f t="shared" si="47"/>
        <v>1w</v>
      </c>
      <c r="X2392" s="128">
        <f>_xll.qlCalendarAdvance(Calendar,X2391,W2392,"f",FALSE)</f>
        <v>56031</v>
      </c>
      <c r="Y2392" s="131">
        <f>_xll.qlCalendarAdvance(Calendar,X2392,NDays&amp;"D")</f>
        <v>56033</v>
      </c>
      <c r="Z2392" s="132">
        <v>1.5741966465243232E-2</v>
      </c>
      <c r="AA2392" s="129">
        <v>1.5761520637367354E-2</v>
      </c>
    </row>
    <row r="2393" spans="19:27" x14ac:dyDescent="0.2">
      <c r="S2393" s="1"/>
      <c r="T2393" s="109"/>
      <c r="W2393" s="130" t="str">
        <f t="shared" si="47"/>
        <v>1w</v>
      </c>
      <c r="X2393" s="128">
        <f>_xll.qlCalendarAdvance(Calendar,X2392,W2393,"f",FALSE)</f>
        <v>56038</v>
      </c>
      <c r="Y2393" s="131">
        <f>_xll.qlCalendarAdvance(Calendar,X2393,NDays&amp;"D")</f>
        <v>56040</v>
      </c>
      <c r="Z2393" s="132">
        <v>1.573404457172467E-2</v>
      </c>
      <c r="AA2393" s="129">
        <v>1.5753818198840364E-2</v>
      </c>
    </row>
    <row r="2394" spans="19:27" x14ac:dyDescent="0.2">
      <c r="S2394" s="1"/>
      <c r="T2394" s="109"/>
      <c r="W2394" s="130" t="str">
        <f t="shared" si="47"/>
        <v>1w</v>
      </c>
      <c r="X2394" s="128">
        <f>_xll.qlCalendarAdvance(Calendar,X2393,W2394,"f",FALSE)</f>
        <v>56045</v>
      </c>
      <c r="Y2394" s="131">
        <f>_xll.qlCalendarAdvance(Calendar,X2394,NDays&amp;"D")</f>
        <v>56047</v>
      </c>
      <c r="Z2394" s="132">
        <v>1.572609364583569E-2</v>
      </c>
      <c r="AA2394" s="129">
        <v>1.5746086827137518E-2</v>
      </c>
    </row>
    <row r="2395" spans="19:27" x14ac:dyDescent="0.2">
      <c r="S2395" s="1"/>
      <c r="T2395" s="109"/>
      <c r="W2395" s="130" t="str">
        <f t="shared" si="47"/>
        <v>1w</v>
      </c>
      <c r="X2395" s="128">
        <f>_xll.qlCalendarAdvance(Calendar,X2394,W2395,"f",FALSE)</f>
        <v>56052</v>
      </c>
      <c r="Y2395" s="131">
        <f>_xll.qlCalendarAdvance(Calendar,X2395,NDays&amp;"D")</f>
        <v>56054</v>
      </c>
      <c r="Z2395" s="132">
        <v>1.5718113687753537E-2</v>
      </c>
      <c r="AA2395" s="129">
        <v>1.5738326522258816E-2</v>
      </c>
    </row>
    <row r="2396" spans="19:27" x14ac:dyDescent="0.2">
      <c r="S2396" s="1"/>
      <c r="T2396" s="109"/>
      <c r="W2396" s="130" t="str">
        <f t="shared" si="47"/>
        <v>1w</v>
      </c>
      <c r="X2396" s="128">
        <f>_xll.qlCalendarAdvance(Calendar,X2395,W2396,"f",FALSE)</f>
        <v>56059</v>
      </c>
      <c r="Y2396" s="131">
        <f>_xll.qlCalendarAdvance(Calendar,X2396,NDays&amp;"D")</f>
        <v>56061</v>
      </c>
      <c r="Z2396" s="132">
        <v>1.5710104697656331E-2</v>
      </c>
      <c r="AA2396" s="129">
        <v>1.5730537284364132E-2</v>
      </c>
    </row>
    <row r="2397" spans="19:27" x14ac:dyDescent="0.2">
      <c r="S2397" s="1"/>
      <c r="T2397" s="109"/>
      <c r="W2397" s="130" t="str">
        <f t="shared" si="47"/>
        <v>1w</v>
      </c>
      <c r="X2397" s="128">
        <f>_xll.qlCalendarAdvance(Calendar,X2396,W2397,"f",FALSE)</f>
        <v>56066</v>
      </c>
      <c r="Y2397" s="131">
        <f>_xll.qlCalendarAdvance(Calendar,X2397,NDays&amp;"D")</f>
        <v>56068</v>
      </c>
      <c r="Z2397" s="132">
        <v>1.5702066675718714E-2</v>
      </c>
      <c r="AA2397" s="129">
        <v>1.5722719113053785E-2</v>
      </c>
    </row>
    <row r="2398" spans="19:27" x14ac:dyDescent="0.2">
      <c r="S2398" s="1"/>
      <c r="T2398" s="109"/>
      <c r="W2398" s="130" t="str">
        <f t="shared" si="47"/>
        <v>1w</v>
      </c>
      <c r="X2398" s="128">
        <f>_xll.qlCalendarAdvance(Calendar,X2397,W2398,"f",FALSE)</f>
        <v>56073</v>
      </c>
      <c r="Y2398" s="131">
        <f>_xll.qlCalendarAdvance(Calendar,X2398,NDays&amp;"D")</f>
        <v>56075</v>
      </c>
      <c r="Z2398" s="132">
        <v>1.5693999622122281E-2</v>
      </c>
      <c r="AA2398" s="129">
        <v>1.571487200880739E-2</v>
      </c>
    </row>
    <row r="2399" spans="19:27" x14ac:dyDescent="0.2">
      <c r="S2399" s="1"/>
      <c r="T2399" s="109"/>
      <c r="W2399" s="130" t="str">
        <f t="shared" si="47"/>
        <v>1w</v>
      </c>
      <c r="X2399" s="128">
        <f>_xll.qlCalendarAdvance(Calendar,X2398,W2399,"f",FALSE)</f>
        <v>56080</v>
      </c>
      <c r="Y2399" s="131">
        <f>_xll.qlCalendarAdvance(Calendar,X2399,NDays&amp;"D")</f>
        <v>56082</v>
      </c>
      <c r="Z2399" s="132">
        <v>1.5685903537043414E-2</v>
      </c>
      <c r="AA2399" s="129">
        <v>1.570699597138514E-2</v>
      </c>
    </row>
    <row r="2400" spans="19:27" x14ac:dyDescent="0.2">
      <c r="S2400" s="1"/>
      <c r="T2400" s="109"/>
      <c r="W2400" s="130" t="str">
        <f t="shared" si="47"/>
        <v>1w</v>
      </c>
      <c r="X2400" s="128">
        <f>_xll.qlCalendarAdvance(Calendar,X2399,W2400,"f",FALSE)</f>
        <v>56087</v>
      </c>
      <c r="Y2400" s="131">
        <f>_xll.qlCalendarAdvance(Calendar,X2400,NDays&amp;"D")</f>
        <v>56089</v>
      </c>
      <c r="Z2400" s="132">
        <v>1.5677778420662838E-2</v>
      </c>
      <c r="AA2400" s="129">
        <v>1.5699091000787035E-2</v>
      </c>
    </row>
    <row r="2401" spans="19:27" x14ac:dyDescent="0.2">
      <c r="S2401" s="1"/>
      <c r="T2401" s="109"/>
      <c r="W2401" s="130" t="str">
        <f t="shared" si="47"/>
        <v>1w</v>
      </c>
      <c r="X2401" s="128">
        <f>_xll.qlCalendarAdvance(Calendar,X2400,W2401,"f",FALSE)</f>
        <v>56094</v>
      </c>
      <c r="Y2401" s="131">
        <f>_xll.qlCalendarAdvance(Calendar,X2401,NDays&amp;"D")</f>
        <v>56096</v>
      </c>
      <c r="Z2401" s="132">
        <v>1.5669624273160404E-2</v>
      </c>
      <c r="AA2401" s="129">
        <v>1.5691157096933139E-2</v>
      </c>
    </row>
    <row r="2402" spans="19:27" x14ac:dyDescent="0.2">
      <c r="S2402" s="1"/>
      <c r="T2402" s="109"/>
      <c r="W2402" s="130" t="str">
        <f t="shared" si="47"/>
        <v>1w</v>
      </c>
      <c r="X2402" s="128">
        <f>_xll.qlCalendarAdvance(Calendar,X2401,W2402,"f",FALSE)</f>
        <v>56101</v>
      </c>
      <c r="Y2402" s="131">
        <f>_xll.qlCalendarAdvance(Calendar,X2402,NDays&amp;"D")</f>
        <v>56103</v>
      </c>
      <c r="Z2402" s="132">
        <v>1.5661441094715973E-2</v>
      </c>
      <c r="AA2402" s="129">
        <v>1.5683194259983324E-2</v>
      </c>
    </row>
    <row r="2403" spans="19:27" x14ac:dyDescent="0.2">
      <c r="S2403" s="1"/>
      <c r="T2403" s="109"/>
      <c r="W2403" s="130" t="str">
        <f t="shared" si="47"/>
        <v>1w</v>
      </c>
      <c r="X2403" s="128">
        <f>_xll.qlCalendarAdvance(Calendar,X2402,W2403,"f",FALSE)</f>
        <v>56108</v>
      </c>
      <c r="Y2403" s="131">
        <f>_xll.qlCalendarAdvance(Calendar,X2403,NDays&amp;"D")</f>
        <v>56110</v>
      </c>
      <c r="Z2403" s="132">
        <v>1.5653228885513744E-2</v>
      </c>
      <c r="AA2403" s="129">
        <v>1.5675202489777718E-2</v>
      </c>
    </row>
    <row r="2404" spans="19:27" x14ac:dyDescent="0.2">
      <c r="S2404" s="1"/>
      <c r="T2404" s="109"/>
      <c r="W2404" s="130" t="str">
        <f t="shared" si="47"/>
        <v>1w</v>
      </c>
      <c r="X2404" s="128">
        <f>_xll.qlCalendarAdvance(Calendar,X2403,W2404,"f",FALSE)</f>
        <v>56115</v>
      </c>
      <c r="Y2404" s="131">
        <f>_xll.qlCalendarAdvance(Calendar,X2404,NDays&amp;"D")</f>
        <v>56117</v>
      </c>
      <c r="Z2404" s="132">
        <v>1.5644987645734444E-2</v>
      </c>
      <c r="AA2404" s="129">
        <v>1.5667181786556128E-2</v>
      </c>
    </row>
    <row r="2405" spans="19:27" x14ac:dyDescent="0.2">
      <c r="S2405" s="1"/>
      <c r="T2405" s="109"/>
      <c r="W2405" s="130" t="str">
        <f t="shared" si="47"/>
        <v>1w</v>
      </c>
      <c r="X2405" s="128">
        <f>_xll.qlCalendarAdvance(Calendar,X2404,W2405,"f",FALSE)</f>
        <v>56122</v>
      </c>
      <c r="Y2405" s="131">
        <f>_xll.qlCalendarAdvance(Calendar,X2405,NDays&amp;"D")</f>
        <v>56124</v>
      </c>
      <c r="Z2405" s="132">
        <v>1.5636717375559665E-2</v>
      </c>
      <c r="AA2405" s="129">
        <v>1.5659132150078747E-2</v>
      </c>
    </row>
    <row r="2406" spans="19:27" x14ac:dyDescent="0.2">
      <c r="S2406" s="1"/>
      <c r="T2406" s="109"/>
      <c r="W2406" s="130" t="str">
        <f t="shared" si="47"/>
        <v>1w</v>
      </c>
      <c r="X2406" s="128">
        <f>_xll.qlCalendarAdvance(Calendar,X2405,W2406,"f",FALSE)</f>
        <v>56129</v>
      </c>
      <c r="Y2406" s="131">
        <f>_xll.qlCalendarAdvance(Calendar,X2406,NDays&amp;"D")</f>
        <v>56131</v>
      </c>
      <c r="Z2406" s="132">
        <v>1.5628677562369055E-2</v>
      </c>
      <c r="AA2406" s="129">
        <v>1.5651053580585383E-2</v>
      </c>
    </row>
    <row r="2407" spans="19:27" x14ac:dyDescent="0.2">
      <c r="S2407" s="1"/>
      <c r="T2407" s="109"/>
      <c r="W2407" s="130" t="str">
        <f t="shared" si="47"/>
        <v>1w</v>
      </c>
      <c r="X2407" s="128">
        <f>_xll.qlCalendarAdvance(Calendar,X2406,W2407,"f",FALSE)</f>
        <v>56136</v>
      </c>
      <c r="Y2407" s="131">
        <f>_xll.qlCalendarAdvance(Calendar,X2407,NDays&amp;"D")</f>
        <v>56138</v>
      </c>
      <c r="Z2407" s="132">
        <v>1.5620351666167126E-2</v>
      </c>
      <c r="AA2407" s="129">
        <v>1.56429460779961E-2</v>
      </c>
    </row>
    <row r="2408" spans="19:27" x14ac:dyDescent="0.2">
      <c r="S2408" s="1"/>
      <c r="T2408" s="109"/>
      <c r="W2408" s="130" t="str">
        <f t="shared" si="47"/>
        <v>1w</v>
      </c>
      <c r="X2408" s="128">
        <f>_xll.qlCalendarAdvance(Calendar,X2407,W2408,"f",FALSE)</f>
        <v>56143</v>
      </c>
      <c r="Y2408" s="131">
        <f>_xll.qlCalendarAdvance(Calendar,X2408,NDays&amp;"D")</f>
        <v>56145</v>
      </c>
      <c r="Z2408" s="132">
        <v>1.5611996741171764E-2</v>
      </c>
      <c r="AA2408" s="129">
        <v>1.563480964207109E-2</v>
      </c>
    </row>
    <row r="2409" spans="19:27" x14ac:dyDescent="0.2">
      <c r="S2409" s="1"/>
      <c r="T2409" s="109"/>
      <c r="W2409" s="130" t="str">
        <f t="shared" si="47"/>
        <v>1w</v>
      </c>
      <c r="X2409" s="128">
        <f>_xll.qlCalendarAdvance(Calendar,X2408,W2409,"f",FALSE)</f>
        <v>56150</v>
      </c>
      <c r="Y2409" s="131">
        <f>_xll.qlCalendarAdvance(Calendar,X2409,NDays&amp;"D")</f>
        <v>56152</v>
      </c>
      <c r="Z2409" s="132">
        <v>1.5602544175126116E-2</v>
      </c>
      <c r="AA2409" s="129">
        <v>1.5626644273130097E-2</v>
      </c>
    </row>
    <row r="2410" spans="19:27" x14ac:dyDescent="0.2">
      <c r="S2410" s="1"/>
      <c r="T2410" s="109"/>
      <c r="W2410" s="130" t="str">
        <f t="shared" si="47"/>
        <v>1w</v>
      </c>
      <c r="X2410" s="128">
        <f>_xll.qlCalendarAdvance(Calendar,X2409,W2410,"f",FALSE)</f>
        <v>56157</v>
      </c>
      <c r="Y2410" s="131">
        <f>_xll.qlCalendarAdvance(Calendar,X2410,NDays&amp;"D")</f>
        <v>56159</v>
      </c>
      <c r="Z2410" s="132">
        <v>1.5594930575211895E-2</v>
      </c>
      <c r="AA2410" s="129">
        <v>1.5618449971093185E-2</v>
      </c>
    </row>
    <row r="2411" spans="19:27" x14ac:dyDescent="0.2">
      <c r="S2411" s="1"/>
      <c r="T2411" s="109"/>
      <c r="W2411" s="130" t="str">
        <f t="shared" si="47"/>
        <v>1w</v>
      </c>
      <c r="X2411" s="128">
        <f>_xll.qlCalendarAdvance(Calendar,X2410,W2411,"f",FALSE)</f>
        <v>56164</v>
      </c>
      <c r="Y2411" s="131">
        <f>_xll.qlCalendarAdvance(Calendar,X2411,NDays&amp;"D")</f>
        <v>56166</v>
      </c>
      <c r="Z2411" s="132">
        <v>1.5586486126544617E-2</v>
      </c>
      <c r="AA2411" s="129">
        <v>1.5610226735880417E-2</v>
      </c>
    </row>
    <row r="2412" spans="19:27" x14ac:dyDescent="0.2">
      <c r="S2412" s="1"/>
      <c r="T2412" s="109"/>
      <c r="W2412" s="130" t="str">
        <f t="shared" si="47"/>
        <v>1w</v>
      </c>
      <c r="X2412" s="128">
        <f>_xll.qlCalendarAdvance(Calendar,X2411,W2412,"f",FALSE)</f>
        <v>56171</v>
      </c>
      <c r="Y2412" s="131">
        <f>_xll.qlCalendarAdvance(Calendar,X2412,NDays&amp;"D")</f>
        <v>56173</v>
      </c>
      <c r="Z2412" s="132">
        <v>1.5578012648779083E-2</v>
      </c>
      <c r="AA2412" s="129">
        <v>1.5601974567411858E-2</v>
      </c>
    </row>
    <row r="2413" spans="19:27" x14ac:dyDescent="0.2">
      <c r="S2413" s="1"/>
      <c r="T2413" s="109"/>
      <c r="W2413" s="130" t="str">
        <f t="shared" si="47"/>
        <v>1w</v>
      </c>
      <c r="X2413" s="128">
        <f>_xll.qlCalendarAdvance(Calendar,X2412,W2413,"f",FALSE)</f>
        <v>56178</v>
      </c>
      <c r="Y2413" s="131">
        <f>_xll.qlCalendarAdvance(Calendar,X2413,NDays&amp;"D")</f>
        <v>56180</v>
      </c>
      <c r="Z2413" s="132">
        <v>1.5569510142105576E-2</v>
      </c>
      <c r="AA2413" s="129">
        <v>1.5593693465927316E-2</v>
      </c>
    </row>
    <row r="2414" spans="19:27" x14ac:dyDescent="0.2">
      <c r="S2414" s="1"/>
      <c r="T2414" s="109"/>
      <c r="W2414" s="130" t="str">
        <f t="shared" si="47"/>
        <v>1w</v>
      </c>
      <c r="X2414" s="128">
        <f>_xll.qlCalendarAdvance(Calendar,X2413,W2414,"f",FALSE)</f>
        <v>56185</v>
      </c>
      <c r="Y2414" s="131">
        <f>_xll.qlCalendarAdvance(Calendar,X2414,NDays&amp;"D")</f>
        <v>56187</v>
      </c>
      <c r="Z2414" s="132">
        <v>1.5560978606710034E-2</v>
      </c>
      <c r="AA2414" s="129">
        <v>1.5585383431346855E-2</v>
      </c>
    </row>
    <row r="2415" spans="19:27" x14ac:dyDescent="0.2">
      <c r="S2415" s="1"/>
      <c r="T2415" s="109"/>
      <c r="W2415" s="130" t="str">
        <f t="shared" si="47"/>
        <v>1w</v>
      </c>
      <c r="X2415" s="128">
        <f>_xll.qlCalendarAdvance(Calendar,X2414,W2415,"f",FALSE)</f>
        <v>56192</v>
      </c>
      <c r="Y2415" s="131">
        <f>_xll.qlCalendarAdvance(Calendar,X2415,NDays&amp;"D")</f>
        <v>56194</v>
      </c>
      <c r="Z2415" s="132">
        <v>1.5552418042785347E-2</v>
      </c>
      <c r="AA2415" s="129">
        <v>1.5577044463510603E-2</v>
      </c>
    </row>
    <row r="2416" spans="19:27" x14ac:dyDescent="0.2">
      <c r="S2416" s="1"/>
      <c r="T2416" s="109"/>
      <c r="W2416" s="130" t="str">
        <f t="shared" si="47"/>
        <v>1w</v>
      </c>
      <c r="X2416" s="128">
        <f>_xll.qlCalendarAdvance(Calendar,X2415,W2416,"f",FALSE)</f>
        <v>56199</v>
      </c>
      <c r="Y2416" s="131">
        <f>_xll.qlCalendarAdvance(Calendar,X2416,NDays&amp;"D")</f>
        <v>56201</v>
      </c>
      <c r="Z2416" s="132">
        <v>1.5543828450515714E-2</v>
      </c>
      <c r="AA2416" s="129">
        <v>1.5568676562578432E-2</v>
      </c>
    </row>
    <row r="2417" spans="19:27" x14ac:dyDescent="0.2">
      <c r="S2417" s="1"/>
      <c r="T2417" s="109"/>
      <c r="W2417" s="130" t="str">
        <f t="shared" si="47"/>
        <v>1w</v>
      </c>
      <c r="X2417" s="128">
        <f>_xll.qlCalendarAdvance(Calendar,X2416,W2417,"f",FALSE)</f>
        <v>56206</v>
      </c>
      <c r="Y2417" s="131">
        <f>_xll.qlCalendarAdvance(Calendar,X2417,NDays&amp;"D")</f>
        <v>56208</v>
      </c>
      <c r="Z2417" s="132">
        <v>1.5535209830097501E-2</v>
      </c>
      <c r="AA2417" s="129">
        <v>1.5560279728630277E-2</v>
      </c>
    </row>
    <row r="2418" spans="19:27" x14ac:dyDescent="0.2">
      <c r="S2418" s="1"/>
      <c r="T2418" s="109"/>
      <c r="W2418" s="130" t="str">
        <f t="shared" si="47"/>
        <v>1w</v>
      </c>
      <c r="X2418" s="128">
        <f>_xll.qlCalendarAdvance(Calendar,X2417,W2418,"f",FALSE)</f>
        <v>56213</v>
      </c>
      <c r="Y2418" s="131">
        <f>_xll.qlCalendarAdvance(Calendar,X2418,NDays&amp;"D")</f>
        <v>56215</v>
      </c>
      <c r="Z2418" s="132">
        <v>1.5526562181717513E-2</v>
      </c>
      <c r="AA2418" s="129">
        <v>1.5551853961426332E-2</v>
      </c>
    </row>
    <row r="2419" spans="19:27" x14ac:dyDescent="0.2">
      <c r="S2419" s="1"/>
      <c r="T2419" s="109"/>
      <c r="W2419" s="130" t="str">
        <f t="shared" si="47"/>
        <v>1w</v>
      </c>
      <c r="X2419" s="128">
        <f>_xll.qlCalendarAdvance(Calendar,X2418,W2419,"f",FALSE)</f>
        <v>56220</v>
      </c>
      <c r="Y2419" s="131">
        <f>_xll.qlCalendarAdvance(Calendar,X2419,NDays&amp;"D")</f>
        <v>56222</v>
      </c>
      <c r="Z2419" s="132">
        <v>1.5518467690535331E-2</v>
      </c>
      <c r="AA2419" s="129">
        <v>1.5543399261206403E-2</v>
      </c>
    </row>
    <row r="2420" spans="19:27" x14ac:dyDescent="0.2">
      <c r="S2420" s="1"/>
      <c r="T2420" s="109"/>
      <c r="W2420" s="130" t="str">
        <f t="shared" si="47"/>
        <v>1w</v>
      </c>
      <c r="X2420" s="128">
        <f>_xll.qlCalendarAdvance(Calendar,X2419,W2420,"f",FALSE)</f>
        <v>56227</v>
      </c>
      <c r="Y2420" s="131">
        <f>_xll.qlCalendarAdvance(Calendar,X2420,NDays&amp;"D")</f>
        <v>56229</v>
      </c>
      <c r="Z2420" s="132">
        <v>1.5509766882076725E-2</v>
      </c>
      <c r="AA2420" s="129">
        <v>1.5534915627730683E-2</v>
      </c>
    </row>
    <row r="2421" spans="19:27" x14ac:dyDescent="0.2">
      <c r="S2421" s="1"/>
      <c r="T2421" s="109"/>
      <c r="W2421" s="130" t="str">
        <f t="shared" si="47"/>
        <v>1w</v>
      </c>
      <c r="X2421" s="128">
        <f>_xll.qlCalendarAdvance(Calendar,X2420,W2421,"f",FALSE)</f>
        <v>56234</v>
      </c>
      <c r="Y2421" s="131">
        <f>_xll.qlCalendarAdvance(Calendar,X2421,NDays&amp;"D")</f>
        <v>56236</v>
      </c>
      <c r="Z2421" s="132">
        <v>1.550103704828576E-2</v>
      </c>
      <c r="AA2421" s="129">
        <v>1.5526403061318916E-2</v>
      </c>
    </row>
    <row r="2422" spans="19:27" x14ac:dyDescent="0.2">
      <c r="S2422" s="1"/>
      <c r="T2422" s="109"/>
      <c r="W2422" s="130" t="str">
        <f t="shared" si="47"/>
        <v>1w</v>
      </c>
      <c r="X2422" s="128">
        <f>_xll.qlCalendarAdvance(Calendar,X2421,W2422,"f",FALSE)</f>
        <v>56241</v>
      </c>
      <c r="Y2422" s="131">
        <f>_xll.qlCalendarAdvance(Calendar,X2422,NDays&amp;"D")</f>
        <v>56247</v>
      </c>
      <c r="Z2422" s="132">
        <v>1.5486660418022604E-2</v>
      </c>
      <c r="AA2422" s="129">
        <v>1.5512967714403914E-2</v>
      </c>
    </row>
    <row r="2423" spans="19:27" x14ac:dyDescent="0.2">
      <c r="S2423" s="1"/>
      <c r="T2423" s="109"/>
      <c r="W2423" s="130" t="str">
        <f t="shared" si="47"/>
        <v>1w</v>
      </c>
      <c r="X2423" s="128">
        <f>_xll.qlCalendarAdvance(Calendar,X2422,W2423,"f",FALSE)</f>
        <v>56248</v>
      </c>
      <c r="Y2423" s="131">
        <f>_xll.qlCalendarAdvance(Calendar,X2423,NDays&amp;"D")</f>
        <v>56251</v>
      </c>
      <c r="Z2423" s="132">
        <v>1.5482232524097306E-2</v>
      </c>
      <c r="AA2423" s="129">
        <v>1.5507504882377177E-2</v>
      </c>
    </row>
    <row r="2424" spans="19:27" x14ac:dyDescent="0.2">
      <c r="S2424" s="1"/>
      <c r="T2424" s="109"/>
      <c r="W2424" s="130" t="str">
        <f t="shared" si="47"/>
        <v>1w</v>
      </c>
      <c r="X2424" s="128">
        <f>_xll.qlCalendarAdvance(Calendar,X2423,W2424,"f",FALSE)</f>
        <v>56255</v>
      </c>
      <c r="Y2424" s="131">
        <f>_xll.qlCalendarAdvance(Calendar,X2424,NDays&amp;"D")</f>
        <v>56257</v>
      </c>
      <c r="Z2424" s="132">
        <v>1.5474673396796312E-2</v>
      </c>
      <c r="AA2424" s="129">
        <v>1.5500691763108421E-2</v>
      </c>
    </row>
    <row r="2425" spans="19:27" x14ac:dyDescent="0.2">
      <c r="S2425" s="1"/>
      <c r="T2425" s="109"/>
      <c r="W2425" s="130" t="str">
        <f t="shared" si="47"/>
        <v>1w</v>
      </c>
      <c r="X2425" s="128">
        <f>_xll.qlCalendarAdvance(Calendar,X2424,W2425,"f",FALSE)</f>
        <v>56262</v>
      </c>
      <c r="Y2425" s="131">
        <f>_xll.qlCalendarAdvance(Calendar,X2425,NDays&amp;"D")</f>
        <v>56264</v>
      </c>
      <c r="Z2425" s="132">
        <v>1.5465827463565951E-2</v>
      </c>
      <c r="AA2425" s="129">
        <v>1.5492063464233041E-2</v>
      </c>
    </row>
    <row r="2426" spans="19:27" x14ac:dyDescent="0.2">
      <c r="S2426" s="1"/>
      <c r="T2426" s="109"/>
      <c r="W2426" s="130" t="str">
        <f t="shared" si="47"/>
        <v>1w</v>
      </c>
      <c r="X2426" s="128">
        <f>_xll.qlCalendarAdvance(Calendar,X2425,W2426,"f",FALSE)</f>
        <v>56269</v>
      </c>
      <c r="Y2426" s="131">
        <f>_xll.qlCalendarAdvance(Calendar,X2426,NDays&amp;"D")</f>
        <v>56271</v>
      </c>
      <c r="Z2426" s="132">
        <v>1.5456952505953581E-2</v>
      </c>
      <c r="AA2426" s="129">
        <v>1.5483406232101871E-2</v>
      </c>
    </row>
    <row r="2427" spans="19:27" x14ac:dyDescent="0.2">
      <c r="S2427" s="1"/>
      <c r="T2427" s="109"/>
      <c r="W2427" s="130" t="str">
        <f t="shared" si="47"/>
        <v>1w</v>
      </c>
      <c r="X2427" s="128">
        <f>_xll.qlCalendarAdvance(Calendar,X2426,W2427,"f",FALSE)</f>
        <v>56276</v>
      </c>
      <c r="Y2427" s="131">
        <f>_xll.qlCalendarAdvance(Calendar,X2427,NDays&amp;"D")</f>
        <v>56278</v>
      </c>
      <c r="Z2427" s="132">
        <v>1.5448048524152824E-2</v>
      </c>
      <c r="AA2427" s="129">
        <v>1.5474720066954717E-2</v>
      </c>
    </row>
    <row r="2428" spans="19:27" x14ac:dyDescent="0.2">
      <c r="S2428" s="1"/>
      <c r="T2428" s="109"/>
      <c r="W2428" s="130" t="str">
        <f t="shared" si="47"/>
        <v>1w</v>
      </c>
      <c r="X2428" s="128">
        <f>_xll.qlCalendarAdvance(Calendar,X2427,W2428,"f",FALSE)</f>
        <v>56283</v>
      </c>
      <c r="Y2428" s="131">
        <f>_xll.qlCalendarAdvance(Calendar,X2428,NDays&amp;"D")</f>
        <v>56285</v>
      </c>
      <c r="Z2428" s="132">
        <v>1.543942831151039E-2</v>
      </c>
      <c r="AA2428" s="129">
        <v>1.546600496879158E-2</v>
      </c>
    </row>
    <row r="2429" spans="19:27" x14ac:dyDescent="0.2">
      <c r="S2429" s="1"/>
      <c r="T2429" s="109"/>
      <c r="W2429" s="130" t="str">
        <f t="shared" si="47"/>
        <v>1w</v>
      </c>
      <c r="X2429" s="128">
        <f>_xll.qlCalendarAdvance(Calendar,X2428,W2429,"f",FALSE)</f>
        <v>56290</v>
      </c>
      <c r="Y2429" s="131">
        <f>_xll.qlCalendarAdvance(Calendar,X2429,NDays&amp;"D")</f>
        <v>56292</v>
      </c>
      <c r="Z2429" s="132">
        <v>1.5430468738442215E-2</v>
      </c>
      <c r="AA2429" s="129">
        <v>1.5457260937372652E-2</v>
      </c>
    </row>
    <row r="2430" spans="19:27" x14ac:dyDescent="0.2">
      <c r="S2430" s="1"/>
      <c r="T2430" s="109"/>
      <c r="W2430" s="130" t="str">
        <f t="shared" si="47"/>
        <v>1w</v>
      </c>
      <c r="X2430" s="128">
        <f>_xll.qlCalendarAdvance(Calendar,X2429,W2430,"f",FALSE)</f>
        <v>56297</v>
      </c>
      <c r="Y2430" s="131">
        <f>_xll.qlCalendarAdvance(Calendar,X2430,NDays&amp;"D")</f>
        <v>56299</v>
      </c>
      <c r="Z2430" s="132">
        <v>1.5421480142771291E-2</v>
      </c>
      <c r="AA2430" s="129">
        <v>1.5448487972937741E-2</v>
      </c>
    </row>
    <row r="2431" spans="19:27" x14ac:dyDescent="0.2">
      <c r="S2431" s="1"/>
      <c r="T2431" s="109"/>
      <c r="W2431" s="130" t="str">
        <f t="shared" si="47"/>
        <v>1w</v>
      </c>
      <c r="X2431" s="128">
        <f>_xll.qlCalendarAdvance(Calendar,X2430,W2431,"f",FALSE)</f>
        <v>56304</v>
      </c>
      <c r="Y2431" s="131">
        <f>_xll.qlCalendarAdvance(Calendar,X2431,NDays&amp;"D")</f>
        <v>56306</v>
      </c>
      <c r="Z2431" s="132">
        <v>1.5412462524689825E-2</v>
      </c>
      <c r="AA2431" s="129">
        <v>1.5439686075326975E-2</v>
      </c>
    </row>
    <row r="2432" spans="19:27" x14ac:dyDescent="0.2">
      <c r="S2432" s="1"/>
      <c r="T2432" s="109"/>
      <c r="W2432" s="130" t="str">
        <f t="shared" si="47"/>
        <v>1w</v>
      </c>
      <c r="X2432" s="128">
        <f>_xll.qlCalendarAdvance(Calendar,X2431,W2432,"f",FALSE)</f>
        <v>56311</v>
      </c>
      <c r="Y2432" s="131">
        <f>_xll.qlCalendarAdvance(Calendar,X2432,NDays&amp;"D")</f>
        <v>56313</v>
      </c>
      <c r="Z2432" s="132">
        <v>1.5402447277172318E-2</v>
      </c>
      <c r="AA2432" s="129">
        <v>1.5430855244780162E-2</v>
      </c>
    </row>
    <row r="2433" spans="19:27" x14ac:dyDescent="0.2">
      <c r="S2433" s="1"/>
      <c r="T2433" s="109"/>
      <c r="W2433" s="130" t="str">
        <f t="shared" si="47"/>
        <v>1w</v>
      </c>
      <c r="X2433" s="128">
        <f>_xll.qlCalendarAdvance(Calendar,X2432,W2433,"f",FALSE)</f>
        <v>56318</v>
      </c>
      <c r="Y2433" s="131">
        <f>_xll.qlCalendarAdvance(Calendar,X2433,NDays&amp;"D")</f>
        <v>56320</v>
      </c>
      <c r="Z2433" s="132">
        <v>1.5393364232765274E-2</v>
      </c>
      <c r="AA2433" s="129">
        <v>1.5421995480977557E-2</v>
      </c>
    </row>
    <row r="2434" spans="19:27" x14ac:dyDescent="0.2">
      <c r="S2434" s="1"/>
      <c r="T2434" s="109"/>
      <c r="W2434" s="130" t="str">
        <f t="shared" si="47"/>
        <v>1w</v>
      </c>
      <c r="X2434" s="128">
        <f>_xll.qlCalendarAdvance(Calendar,X2433,W2434,"f",FALSE)</f>
        <v>56325</v>
      </c>
      <c r="Y2434" s="131">
        <f>_xll.qlCalendarAdvance(Calendar,X2434,NDays&amp;"D")</f>
        <v>56327</v>
      </c>
      <c r="Z2434" s="132">
        <v>1.5384252163544372E-2</v>
      </c>
      <c r="AA2434" s="129">
        <v>1.5413106784238906E-2</v>
      </c>
    </row>
    <row r="2435" spans="19:27" x14ac:dyDescent="0.2">
      <c r="S2435" s="1"/>
      <c r="T2435" s="109"/>
      <c r="W2435" s="130" t="str">
        <f t="shared" si="47"/>
        <v>1w</v>
      </c>
      <c r="X2435" s="128">
        <f>_xll.qlCalendarAdvance(Calendar,X2434,W2435,"f",FALSE)</f>
        <v>56332</v>
      </c>
      <c r="Y2435" s="131">
        <f>_xll.qlCalendarAdvance(Calendar,X2435,NDays&amp;"D")</f>
        <v>56334</v>
      </c>
      <c r="Z2435" s="132">
        <v>1.5375111069712061E-2</v>
      </c>
      <c r="AA2435" s="129">
        <v>1.5402953247107831E-2</v>
      </c>
    </row>
    <row r="2436" spans="19:27" x14ac:dyDescent="0.2">
      <c r="S2436" s="1"/>
      <c r="T2436" s="109"/>
      <c r="W2436" s="130" t="str">
        <f t="shared" si="47"/>
        <v>1w</v>
      </c>
      <c r="X2436" s="128">
        <f>_xll.qlCalendarAdvance(Calendar,X2435,W2436,"f",FALSE)</f>
        <v>56339</v>
      </c>
      <c r="Y2436" s="131">
        <f>_xll.qlCalendarAdvance(Calendar,X2436,NDays&amp;"D")</f>
        <v>56341</v>
      </c>
      <c r="Z2436" s="132">
        <v>1.5366273913712205E-2</v>
      </c>
      <c r="AA2436" s="129">
        <v>1.5395242591313973E-2</v>
      </c>
    </row>
    <row r="2437" spans="19:27" x14ac:dyDescent="0.2">
      <c r="S2437" s="1"/>
      <c r="T2437" s="109"/>
      <c r="W2437" s="130" t="str">
        <f t="shared" si="47"/>
        <v>1w</v>
      </c>
      <c r="X2437" s="128">
        <f>_xll.qlCalendarAdvance(Calendar,X2436,W2437,"f",FALSE)</f>
        <v>56346</v>
      </c>
      <c r="Y2437" s="131">
        <f>_xll.qlCalendarAdvance(Calendar,X2437,NDays&amp;"D")</f>
        <v>56348</v>
      </c>
      <c r="Z2437" s="132">
        <v>1.5357077236086166E-2</v>
      </c>
      <c r="AA2437" s="129">
        <v>1.5386267095287565E-2</v>
      </c>
    </row>
    <row r="2438" spans="19:27" x14ac:dyDescent="0.2">
      <c r="S2438" s="1"/>
      <c r="T2438" s="109"/>
      <c r="W2438" s="130" t="str">
        <f t="shared" si="47"/>
        <v>1w</v>
      </c>
      <c r="X2438" s="128">
        <f>_xll.qlCalendarAdvance(Calendar,X2437,W2438,"f",FALSE)</f>
        <v>56353</v>
      </c>
      <c r="Y2438" s="131">
        <f>_xll.qlCalendarAdvance(Calendar,X2438,NDays&amp;"D")</f>
        <v>56355</v>
      </c>
      <c r="Z2438" s="132">
        <v>1.5347851535443172E-2</v>
      </c>
      <c r="AA2438" s="129">
        <v>1.5377262666085301E-2</v>
      </c>
    </row>
    <row r="2439" spans="19:27" x14ac:dyDescent="0.2">
      <c r="S2439" s="1"/>
      <c r="T2439" s="109"/>
      <c r="W2439" s="130" t="str">
        <f t="shared" si="47"/>
        <v>1w</v>
      </c>
      <c r="X2439" s="128">
        <f>_xll.qlCalendarAdvance(Calendar,X2438,W2439,"f",FALSE)</f>
        <v>56360</v>
      </c>
      <c r="Y2439" s="131">
        <f>_xll.qlCalendarAdvance(Calendar,X2439,NDays&amp;"D")</f>
        <v>56362</v>
      </c>
      <c r="Z2439" s="132">
        <v>1.5338596811989649E-2</v>
      </c>
      <c r="AA2439" s="129">
        <v>1.536822930394699E-2</v>
      </c>
    </row>
    <row r="2440" spans="19:27" x14ac:dyDescent="0.2">
      <c r="S2440" s="1"/>
      <c r="T2440" s="109"/>
      <c r="W2440" s="130" t="str">
        <f t="shared" si="47"/>
        <v>1w</v>
      </c>
      <c r="X2440" s="128">
        <f>_xll.qlCalendarAdvance(Calendar,X2439,W2440,"f",FALSE)</f>
        <v>56367</v>
      </c>
      <c r="Y2440" s="131">
        <f>_xll.qlCalendarAdvance(Calendar,X2440,NDays&amp;"D")</f>
        <v>56369</v>
      </c>
      <c r="Z2440" s="132">
        <v>1.5328970238476286E-2</v>
      </c>
      <c r="AA2440" s="129">
        <v>1.535820366708629E-2</v>
      </c>
    </row>
    <row r="2441" spans="19:27" x14ac:dyDescent="0.2">
      <c r="S2441" s="1"/>
      <c r="T2441" s="109"/>
      <c r="W2441" s="130" t="str">
        <f t="shared" si="47"/>
        <v>1w</v>
      </c>
      <c r="X2441" s="128">
        <f>_xll.qlCalendarAdvance(Calendar,X2440,W2441,"f",FALSE)</f>
        <v>56374</v>
      </c>
      <c r="Y2441" s="131">
        <f>_xll.qlCalendarAdvance(Calendar,X2441,NDays&amp;"D")</f>
        <v>56376</v>
      </c>
      <c r="Z2441" s="132">
        <v>1.5319655001249486E-2</v>
      </c>
      <c r="AA2441" s="129">
        <v>1.5350075780142802E-2</v>
      </c>
    </row>
    <row r="2442" spans="19:27" x14ac:dyDescent="0.2">
      <c r="S2442" s="1"/>
      <c r="T2442" s="109"/>
      <c r="W2442" s="130" t="str">
        <f t="shared" si="47"/>
        <v>1w</v>
      </c>
      <c r="X2442" s="128">
        <f>_xll.qlCalendarAdvance(Calendar,X2441,W2442,"f",FALSE)</f>
        <v>56381</v>
      </c>
      <c r="Y2442" s="131">
        <f>_xll.qlCalendarAdvance(Calendar,X2442,NDays&amp;"D")</f>
        <v>56383</v>
      </c>
      <c r="Z2442" s="132">
        <v>1.531031074084057E-2</v>
      </c>
      <c r="AA2442" s="129">
        <v>1.5340955618716734E-2</v>
      </c>
    </row>
    <row r="2443" spans="19:27" x14ac:dyDescent="0.2">
      <c r="S2443" s="1"/>
      <c r="T2443" s="109"/>
      <c r="W2443" s="130" t="str">
        <f t="shared" si="47"/>
        <v>1w</v>
      </c>
      <c r="X2443" s="128">
        <f>_xll.qlCalendarAdvance(Calendar,X2442,W2443,"f",FALSE)</f>
        <v>56388</v>
      </c>
      <c r="Y2443" s="131">
        <f>_xll.qlCalendarAdvance(Calendar,X2443,NDays&amp;"D")</f>
        <v>56390</v>
      </c>
      <c r="Z2443" s="132">
        <v>1.5300937457460669E-2</v>
      </c>
      <c r="AA2443" s="129">
        <v>1.5331806524274683E-2</v>
      </c>
    </row>
    <row r="2444" spans="19:27" x14ac:dyDescent="0.2">
      <c r="S2444" s="1"/>
      <c r="T2444" s="109"/>
      <c r="W2444" s="130" t="str">
        <f t="shared" si="47"/>
        <v>1w</v>
      </c>
      <c r="X2444" s="128">
        <f>_xll.qlCalendarAdvance(Calendar,X2443,W2444,"f",FALSE)</f>
        <v>56395</v>
      </c>
      <c r="Y2444" s="131">
        <f>_xll.qlCalendarAdvance(Calendar,X2444,NDays&amp;"D")</f>
        <v>56397</v>
      </c>
      <c r="Z2444" s="132">
        <v>1.5291535151315708E-2</v>
      </c>
      <c r="AA2444" s="129">
        <v>1.5322628496656776E-2</v>
      </c>
    </row>
    <row r="2445" spans="19:27" x14ac:dyDescent="0.2">
      <c r="S2445" s="1"/>
      <c r="T2445" s="109"/>
      <c r="W2445" s="130" t="str">
        <f t="shared" si="47"/>
        <v>1w</v>
      </c>
      <c r="X2445" s="128">
        <f>_xll.qlCalendarAdvance(Calendar,X2444,W2445,"f",FALSE)</f>
        <v>56402</v>
      </c>
      <c r="Y2445" s="131">
        <f>_xll.qlCalendarAdvance(Calendar,X2445,NDays&amp;"D")</f>
        <v>56404</v>
      </c>
      <c r="Z2445" s="132">
        <v>1.5282103822612478E-2</v>
      </c>
      <c r="AA2445" s="129">
        <v>1.531342153594295E-2</v>
      </c>
    </row>
    <row r="2446" spans="19:27" x14ac:dyDescent="0.2">
      <c r="S2446" s="1"/>
      <c r="T2446" s="109"/>
      <c r="W2446" s="130" t="str">
        <f t="shared" si="47"/>
        <v>1w</v>
      </c>
      <c r="X2446" s="128">
        <f>_xll.qlCalendarAdvance(Calendar,X2445,W2446,"f",FALSE)</f>
        <v>56409</v>
      </c>
      <c r="Y2446" s="131">
        <f>_xll.qlCalendarAdvance(Calendar,X2446,NDays&amp;"D")</f>
        <v>56411</v>
      </c>
      <c r="Z2446" s="132">
        <v>1.5272643471563851E-2</v>
      </c>
      <c r="AA2446" s="129">
        <v>1.5304185642213142E-2</v>
      </c>
    </row>
    <row r="2447" spans="19:27" x14ac:dyDescent="0.2">
      <c r="S2447" s="1"/>
      <c r="T2447" s="109"/>
      <c r="W2447" s="130" t="str">
        <f t="shared" si="47"/>
        <v>1w</v>
      </c>
      <c r="X2447" s="128">
        <f>_xll.qlCalendarAdvance(Calendar,X2446,W2447,"f",FALSE)</f>
        <v>56416</v>
      </c>
      <c r="Y2447" s="131">
        <f>_xll.qlCalendarAdvance(Calendar,X2447,NDays&amp;"D")</f>
        <v>56418</v>
      </c>
      <c r="Z2447" s="132">
        <v>1.5263154098378357E-2</v>
      </c>
      <c r="AA2447" s="129">
        <v>1.5294920815547286E-2</v>
      </c>
    </row>
    <row r="2448" spans="19:27" x14ac:dyDescent="0.2">
      <c r="S2448" s="1"/>
      <c r="T2448" s="109"/>
      <c r="W2448" s="130" t="str">
        <f t="shared" si="47"/>
        <v>1w</v>
      </c>
      <c r="X2448" s="128">
        <f>_xll.qlCalendarAdvance(Calendar,X2447,W2448,"f",FALSE)</f>
        <v>56423</v>
      </c>
      <c r="Y2448" s="131">
        <f>_xll.qlCalendarAdvance(Calendar,X2448,NDays&amp;"D")</f>
        <v>56425</v>
      </c>
      <c r="Z2448" s="132">
        <v>1.5253635703264523E-2</v>
      </c>
      <c r="AA2448" s="129">
        <v>1.5285627055625639E-2</v>
      </c>
    </row>
    <row r="2449" spans="19:27" x14ac:dyDescent="0.2">
      <c r="S2449" s="1"/>
      <c r="T2449" s="109"/>
      <c r="W2449" s="130" t="str">
        <f t="shared" si="47"/>
        <v>1w</v>
      </c>
      <c r="X2449" s="128">
        <f>_xll.qlCalendarAdvance(Calendar,X2448,W2449,"f",FALSE)</f>
        <v>56430</v>
      </c>
      <c r="Y2449" s="131">
        <f>_xll.qlCalendarAdvance(Calendar,X2449,NDays&amp;"D")</f>
        <v>56432</v>
      </c>
      <c r="Z2449" s="132">
        <v>1.5244088286435224E-2</v>
      </c>
      <c r="AA2449" s="129">
        <v>1.5276304362767945E-2</v>
      </c>
    </row>
    <row r="2450" spans="19:27" x14ac:dyDescent="0.2">
      <c r="S2450" s="1"/>
      <c r="T2450" s="109"/>
      <c r="W2450" s="130" t="str">
        <f t="shared" si="47"/>
        <v>1w</v>
      </c>
      <c r="X2450" s="128">
        <f>_xll.qlCalendarAdvance(Calendar,X2449,W2450,"f",FALSE)</f>
        <v>56437</v>
      </c>
      <c r="Y2450" s="131">
        <f>_xll.qlCalendarAdvance(Calendar,X2450,NDays&amp;"D")</f>
        <v>56439</v>
      </c>
      <c r="Z2450" s="132">
        <v>1.5234511848102462E-2</v>
      </c>
      <c r="AA2450" s="129">
        <v>1.5266952736814332E-2</v>
      </c>
    </row>
    <row r="2451" spans="19:27" x14ac:dyDescent="0.2">
      <c r="S2451" s="1"/>
      <c r="T2451" s="109"/>
      <c r="W2451" s="130" t="str">
        <f t="shared" si="47"/>
        <v>1w</v>
      </c>
      <c r="X2451" s="128">
        <f>_xll.qlCalendarAdvance(Calendar,X2450,W2451,"f",FALSE)</f>
        <v>56444</v>
      </c>
      <c r="Y2451" s="131">
        <f>_xll.qlCalendarAdvance(Calendar,X2451,NDays&amp;"D")</f>
        <v>56446</v>
      </c>
      <c r="Z2451" s="132">
        <v>1.5224906388477377E-2</v>
      </c>
      <c r="AA2451" s="129">
        <v>1.5257572177844736E-2</v>
      </c>
    </row>
    <row r="2452" spans="19:27" x14ac:dyDescent="0.2">
      <c r="S2452" s="1"/>
      <c r="T2452" s="109"/>
      <c r="W2452" s="130" t="str">
        <f t="shared" si="47"/>
        <v>1w</v>
      </c>
      <c r="X2452" s="128">
        <f>_xll.qlCalendarAdvance(Calendar,X2451,W2452,"f",FALSE)</f>
        <v>56451</v>
      </c>
      <c r="Y2452" s="131">
        <f>_xll.qlCalendarAdvance(Calendar,X2452,NDays&amp;"D")</f>
        <v>56453</v>
      </c>
      <c r="Z2452" s="132">
        <v>1.5215271907771969E-2</v>
      </c>
      <c r="AA2452" s="129">
        <v>1.5248162685699285E-2</v>
      </c>
    </row>
    <row r="2453" spans="19:27" x14ac:dyDescent="0.2">
      <c r="S2453" s="1"/>
      <c r="T2453" s="109"/>
      <c r="W2453" s="130" t="str">
        <f t="shared" ref="W2453:W2516" si="48">W2452</f>
        <v>1w</v>
      </c>
      <c r="X2453" s="128">
        <f>_xll.qlCalendarAdvance(Calendar,X2452,W2453,"f",FALSE)</f>
        <v>56458</v>
      </c>
      <c r="Y2453" s="131">
        <f>_xll.qlCalendarAdvance(Calendar,X2453,NDays&amp;"D")</f>
        <v>56460</v>
      </c>
      <c r="Z2453" s="132">
        <v>1.5205608406205195E-2</v>
      </c>
      <c r="AA2453" s="129">
        <v>1.5238724260697722E-2</v>
      </c>
    </row>
    <row r="2454" spans="19:27" x14ac:dyDescent="0.2">
      <c r="S2454" s="1"/>
      <c r="T2454" s="109"/>
      <c r="W2454" s="130" t="str">
        <f t="shared" si="48"/>
        <v>1w</v>
      </c>
      <c r="X2454" s="128">
        <f>_xll.qlCalendarAdvance(Calendar,X2453,W2454,"f",FALSE)</f>
        <v>56465</v>
      </c>
      <c r="Y2454" s="131">
        <f>_xll.qlCalendarAdvance(Calendar,X2454,NDays&amp;"D")</f>
        <v>56467</v>
      </c>
      <c r="Z2454" s="132">
        <v>1.5195915883983845E-2</v>
      </c>
      <c r="AA2454" s="129">
        <v>1.5229256902600241E-2</v>
      </c>
    </row>
    <row r="2455" spans="19:27" x14ac:dyDescent="0.2">
      <c r="S2455" s="1"/>
      <c r="T2455" s="109"/>
      <c r="W2455" s="130" t="str">
        <f t="shared" si="48"/>
        <v>1w</v>
      </c>
      <c r="X2455" s="128">
        <f>_xll.qlCalendarAdvance(Calendar,X2454,W2455,"f",FALSE)</f>
        <v>56472</v>
      </c>
      <c r="Y2455" s="131">
        <f>_xll.qlCalendarAdvance(Calendar,X2455,NDays&amp;"D")</f>
        <v>56474</v>
      </c>
      <c r="Z2455" s="132">
        <v>1.5186194341329484E-2</v>
      </c>
      <c r="AA2455" s="129">
        <v>1.5219760611406841E-2</v>
      </c>
    </row>
    <row r="2456" spans="19:27" x14ac:dyDescent="0.2">
      <c r="S2456" s="1"/>
      <c r="T2456" s="109"/>
      <c r="W2456" s="130" t="str">
        <f t="shared" si="48"/>
        <v>1w</v>
      </c>
      <c r="X2456" s="128">
        <f>_xll.qlCalendarAdvance(Calendar,X2455,W2456,"f",FALSE)</f>
        <v>56479</v>
      </c>
      <c r="Y2456" s="131">
        <f>_xll.qlCalendarAdvance(Calendar,X2456,NDays&amp;"D")</f>
        <v>56481</v>
      </c>
      <c r="Z2456" s="132">
        <v>1.5176443778454113E-2</v>
      </c>
      <c r="AA2456" s="129">
        <v>1.5210235387197457E-2</v>
      </c>
    </row>
    <row r="2457" spans="19:27" x14ac:dyDescent="0.2">
      <c r="S2457" s="1"/>
      <c r="T2457" s="109"/>
      <c r="W2457" s="130" t="str">
        <f t="shared" si="48"/>
        <v>1w</v>
      </c>
      <c r="X2457" s="128">
        <f>_xll.qlCalendarAdvance(Calendar,X2456,W2457,"f",FALSE)</f>
        <v>56486</v>
      </c>
      <c r="Y2457" s="131">
        <f>_xll.qlCalendarAdvance(Calendar,X2457,NDays&amp;"D")</f>
        <v>56488</v>
      </c>
      <c r="Z2457" s="132">
        <v>1.5166664195573212E-2</v>
      </c>
      <c r="AA2457" s="129">
        <v>1.5200681229972091E-2</v>
      </c>
    </row>
    <row r="2458" spans="19:27" x14ac:dyDescent="0.2">
      <c r="S2458" s="1"/>
      <c r="T2458" s="109"/>
      <c r="W2458" s="130" t="str">
        <f t="shared" si="48"/>
        <v>1w</v>
      </c>
      <c r="X2458" s="128">
        <f>_xll.qlCalendarAdvance(Calendar,X2457,W2458,"f",FALSE)</f>
        <v>56493</v>
      </c>
      <c r="Y2458" s="131">
        <f>_xll.qlCalendarAdvance(Calendar,X2458,NDays&amp;"D")</f>
        <v>56495</v>
      </c>
      <c r="Z2458" s="132">
        <v>1.5157243005530499E-2</v>
      </c>
      <c r="AA2458" s="129">
        <v>1.5191098139570869E-2</v>
      </c>
    </row>
    <row r="2459" spans="19:27" x14ac:dyDescent="0.2">
      <c r="S2459" s="1"/>
      <c r="T2459" s="109"/>
      <c r="W2459" s="130" t="str">
        <f t="shared" si="48"/>
        <v>1w</v>
      </c>
      <c r="X2459" s="128">
        <f>_xll.qlCalendarAdvance(Calendar,X2458,W2459,"f",FALSE)</f>
        <v>56500</v>
      </c>
      <c r="Y2459" s="131">
        <f>_xll.qlCalendarAdvance(Calendar,X2459,NDays&amp;"D")</f>
        <v>56502</v>
      </c>
      <c r="Z2459" s="132">
        <v>1.5147407869277834E-2</v>
      </c>
      <c r="AA2459" s="129">
        <v>1.5181486116313536E-2</v>
      </c>
    </row>
    <row r="2460" spans="19:27" x14ac:dyDescent="0.2">
      <c r="S2460" s="1"/>
      <c r="T2460" s="109"/>
      <c r="W2460" s="130" t="str">
        <f t="shared" si="48"/>
        <v>1w</v>
      </c>
      <c r="X2460" s="128">
        <f>_xll.qlCalendarAdvance(Calendar,X2459,W2460,"f",FALSE)</f>
        <v>56507</v>
      </c>
      <c r="Y2460" s="131">
        <f>_xll.qlCalendarAdvance(Calendar,X2460,NDays&amp;"D")</f>
        <v>56509</v>
      </c>
      <c r="Z2460" s="132">
        <v>1.5137543714607611E-2</v>
      </c>
      <c r="AA2460" s="129">
        <v>1.5171845159960284E-2</v>
      </c>
    </row>
    <row r="2461" spans="19:27" x14ac:dyDescent="0.2">
      <c r="S2461" s="1"/>
      <c r="T2461" s="109"/>
      <c r="W2461" s="130" t="str">
        <f t="shared" si="48"/>
        <v>1w</v>
      </c>
      <c r="X2461" s="128">
        <f>_xll.qlCalendarAdvance(Calendar,X2460,W2461,"f",FALSE)</f>
        <v>56514</v>
      </c>
      <c r="Y2461" s="131">
        <f>_xll.qlCalendarAdvance(Calendar,X2461,NDays&amp;"D")</f>
        <v>56516</v>
      </c>
      <c r="Z2461" s="132">
        <v>1.5127650541737677E-2</v>
      </c>
      <c r="AA2461" s="129">
        <v>1.5162175270511113E-2</v>
      </c>
    </row>
    <row r="2462" spans="19:27" x14ac:dyDescent="0.2">
      <c r="S2462" s="1"/>
      <c r="T2462" s="109"/>
      <c r="W2462" s="130" t="str">
        <f t="shared" si="48"/>
        <v>1w</v>
      </c>
      <c r="X2462" s="128">
        <f>_xll.qlCalendarAdvance(Calendar,X2461,W2462,"f",FALSE)</f>
        <v>56521</v>
      </c>
      <c r="Y2462" s="131">
        <f>_xll.qlCalendarAdvance(Calendar,X2462,NDays&amp;"D")</f>
        <v>56523</v>
      </c>
      <c r="Z2462" s="132">
        <v>1.5116137411271742E-2</v>
      </c>
      <c r="AA2462" s="129">
        <v>1.5152476448125896E-2</v>
      </c>
    </row>
    <row r="2463" spans="19:27" x14ac:dyDescent="0.2">
      <c r="S2463" s="1"/>
      <c r="T2463" s="109"/>
      <c r="W2463" s="130" t="str">
        <f t="shared" si="48"/>
        <v>1w</v>
      </c>
      <c r="X2463" s="128">
        <f>_xll.qlCalendarAdvance(Calendar,X2462,W2463,"f",FALSE)</f>
        <v>56528</v>
      </c>
      <c r="Y2463" s="131">
        <f>_xll.qlCalendarAdvance(Calendar,X2463,NDays&amp;"D")</f>
        <v>56530</v>
      </c>
      <c r="Z2463" s="132">
        <v>1.5107377290394098E-2</v>
      </c>
      <c r="AA2463" s="129">
        <v>1.5142748692724695E-2</v>
      </c>
    </row>
    <row r="2464" spans="19:27" x14ac:dyDescent="0.2">
      <c r="S2464" s="1"/>
      <c r="T2464" s="109"/>
      <c r="W2464" s="130" t="str">
        <f t="shared" si="48"/>
        <v>1w</v>
      </c>
      <c r="X2464" s="128">
        <f>_xll.qlCalendarAdvance(Calendar,X2463,W2464,"f",FALSE)</f>
        <v>56535</v>
      </c>
      <c r="Y2464" s="131">
        <f>_xll.qlCalendarAdvance(Calendar,X2464,NDays&amp;"D")</f>
        <v>56537</v>
      </c>
      <c r="Z2464" s="132">
        <v>1.5097394573592209E-2</v>
      </c>
      <c r="AA2464" s="129">
        <v>1.5132992004227575E-2</v>
      </c>
    </row>
    <row r="2465" spans="19:27" x14ac:dyDescent="0.2">
      <c r="S2465" s="1"/>
      <c r="T2465" s="109"/>
      <c r="W2465" s="130" t="str">
        <f t="shared" si="48"/>
        <v>1w</v>
      </c>
      <c r="X2465" s="128">
        <f>_xll.qlCalendarAdvance(Calendar,X2464,W2465,"f",FALSE)</f>
        <v>56542</v>
      </c>
      <c r="Y2465" s="131">
        <f>_xll.qlCalendarAdvance(Calendar,X2465,NDays&amp;"D")</f>
        <v>56544</v>
      </c>
      <c r="Z2465" s="132">
        <v>1.5087382838540778E-2</v>
      </c>
      <c r="AA2465" s="129">
        <v>1.5123206382794407E-2</v>
      </c>
    </row>
    <row r="2466" spans="19:27" x14ac:dyDescent="0.2">
      <c r="S2466" s="1"/>
      <c r="T2466" s="109"/>
      <c r="W2466" s="130" t="str">
        <f t="shared" si="48"/>
        <v>1w</v>
      </c>
      <c r="X2466" s="128">
        <f>_xll.qlCalendarAdvance(Calendar,X2465,W2466,"f",FALSE)</f>
        <v>56549</v>
      </c>
      <c r="Y2466" s="131">
        <f>_xll.qlCalendarAdvance(Calendar,X2466,NDays&amp;"D")</f>
        <v>56551</v>
      </c>
      <c r="Z2466" s="132">
        <v>1.5077342085457891E-2</v>
      </c>
      <c r="AA2466" s="129">
        <v>1.5113391828345257E-2</v>
      </c>
    </row>
    <row r="2467" spans="19:27" x14ac:dyDescent="0.2">
      <c r="S2467" s="1"/>
      <c r="T2467" s="109"/>
      <c r="W2467" s="130" t="str">
        <f t="shared" si="48"/>
        <v>1w</v>
      </c>
      <c r="X2467" s="128">
        <f>_xll.qlCalendarAdvance(Calendar,X2466,W2467,"f",FALSE)</f>
        <v>56556</v>
      </c>
      <c r="Y2467" s="131">
        <f>_xll.qlCalendarAdvance(Calendar,X2467,NDays&amp;"D")</f>
        <v>56558</v>
      </c>
      <c r="Z2467" s="132">
        <v>1.5067272314570324E-2</v>
      </c>
      <c r="AA2467" s="129">
        <v>1.5103548340800188E-2</v>
      </c>
    </row>
    <row r="2468" spans="19:27" x14ac:dyDescent="0.2">
      <c r="S2468" s="1"/>
      <c r="T2468" s="109"/>
      <c r="W2468" s="130" t="str">
        <f t="shared" si="48"/>
        <v>1w</v>
      </c>
      <c r="X2468" s="128">
        <f>_xll.qlCalendarAdvance(Calendar,X2467,W2468,"f",FALSE)</f>
        <v>56563</v>
      </c>
      <c r="Y2468" s="131">
        <f>_xll.qlCalendarAdvance(Calendar,X2468,NDays&amp;"D")</f>
        <v>56565</v>
      </c>
      <c r="Z2468" s="132">
        <v>1.5057173526099636E-2</v>
      </c>
      <c r="AA2468" s="129">
        <v>1.5093675920319072E-2</v>
      </c>
    </row>
    <row r="2469" spans="19:27" x14ac:dyDescent="0.2">
      <c r="S2469" s="1"/>
      <c r="T2469" s="109"/>
      <c r="W2469" s="130" t="str">
        <f t="shared" si="48"/>
        <v>1w</v>
      </c>
      <c r="X2469" s="128">
        <f>_xll.qlCalendarAdvance(Calendar,X2468,W2469,"f",FALSE)</f>
        <v>56570</v>
      </c>
      <c r="Y2469" s="131">
        <f>_xll.qlCalendarAdvance(Calendar,X2469,NDays&amp;"D")</f>
        <v>56572</v>
      </c>
      <c r="Z2469" s="132">
        <v>1.5047045720268262E-2</v>
      </c>
      <c r="AA2469" s="129">
        <v>1.5083774566821972E-2</v>
      </c>
    </row>
    <row r="2470" spans="19:27" x14ac:dyDescent="0.2">
      <c r="S2470" s="1"/>
      <c r="T2470" s="109"/>
      <c r="W2470" s="130" t="str">
        <f t="shared" si="48"/>
        <v>1w</v>
      </c>
      <c r="X2470" s="128">
        <f>_xll.qlCalendarAdvance(Calendar,X2469,W2470,"f",FALSE)</f>
        <v>56577</v>
      </c>
      <c r="Y2470" s="131">
        <f>_xll.qlCalendarAdvance(Calendar,X2470,NDays&amp;"D")</f>
        <v>56579</v>
      </c>
      <c r="Z2470" s="132">
        <v>1.5036888897303842E-2</v>
      </c>
      <c r="AA2470" s="129">
        <v>1.507384428030889E-2</v>
      </c>
    </row>
    <row r="2471" spans="19:27" x14ac:dyDescent="0.2">
      <c r="S2471" s="1"/>
      <c r="T2471" s="109"/>
      <c r="W2471" s="130" t="str">
        <f t="shared" si="48"/>
        <v>1w</v>
      </c>
      <c r="X2471" s="128">
        <f>_xll.qlCalendarAdvance(Calendar,X2470,W2471,"f",FALSE)</f>
        <v>56584</v>
      </c>
      <c r="Y2471" s="131">
        <f>_xll.qlCalendarAdvance(Calendar,X2471,NDays&amp;"D")</f>
        <v>56586</v>
      </c>
      <c r="Z2471" s="132">
        <v>1.5027542412876294E-2</v>
      </c>
      <c r="AA2471" s="129">
        <v>1.5063885060779825E-2</v>
      </c>
    </row>
    <row r="2472" spans="19:27" x14ac:dyDescent="0.2">
      <c r="S2472" s="1"/>
      <c r="T2472" s="109"/>
      <c r="W2472" s="130" t="str">
        <f t="shared" si="48"/>
        <v>1w</v>
      </c>
      <c r="X2472" s="128">
        <f>_xll.qlCalendarAdvance(Calendar,X2471,W2472,"f",FALSE)</f>
        <v>56591</v>
      </c>
      <c r="Y2472" s="131">
        <f>_xll.qlCalendarAdvance(Calendar,X2472,NDays&amp;"D")</f>
        <v>56593</v>
      </c>
      <c r="Z2472" s="132">
        <v>1.5017332552055507E-2</v>
      </c>
      <c r="AA2472" s="129">
        <v>1.5053896908234776E-2</v>
      </c>
    </row>
    <row r="2473" spans="19:27" x14ac:dyDescent="0.2">
      <c r="S2473" s="1"/>
      <c r="T2473" s="109"/>
      <c r="W2473" s="130" t="str">
        <f t="shared" si="48"/>
        <v>1w</v>
      </c>
      <c r="X2473" s="128">
        <f>_xll.qlCalendarAdvance(Calendar,X2472,W2473,"f",FALSE)</f>
        <v>56598</v>
      </c>
      <c r="Y2473" s="131">
        <f>_xll.qlCalendarAdvance(Calendar,X2473,NDays&amp;"D")</f>
        <v>56600</v>
      </c>
      <c r="Z2473" s="132">
        <v>1.5007093676582706E-2</v>
      </c>
      <c r="AA2473" s="129">
        <v>1.5043879822753681E-2</v>
      </c>
    </row>
    <row r="2474" spans="19:27" x14ac:dyDescent="0.2">
      <c r="S2474" s="1"/>
      <c r="T2474" s="109"/>
      <c r="W2474" s="130" t="str">
        <f t="shared" si="48"/>
        <v>1w</v>
      </c>
      <c r="X2474" s="128">
        <f>_xll.qlCalendarAdvance(Calendar,X2473,W2474,"f",FALSE)</f>
        <v>56605</v>
      </c>
      <c r="Y2474" s="131">
        <f>_xll.qlCalendarAdvance(Calendar,X2474,NDays&amp;"D")</f>
        <v>56607</v>
      </c>
      <c r="Z2474" s="132">
        <v>1.4996825786678158E-2</v>
      </c>
      <c r="AA2474" s="129">
        <v>1.5032618442565315E-2</v>
      </c>
    </row>
    <row r="2475" spans="19:27" x14ac:dyDescent="0.2">
      <c r="S2475" s="1"/>
      <c r="T2475" s="109"/>
      <c r="W2475" s="130" t="str">
        <f t="shared" si="48"/>
        <v>1w</v>
      </c>
      <c r="X2475" s="128">
        <f>_xll.qlCalendarAdvance(Calendar,X2474,W2475,"f",FALSE)</f>
        <v>56612</v>
      </c>
      <c r="Y2475" s="131">
        <f>_xll.qlCalendarAdvance(Calendar,X2475,NDays&amp;"D")</f>
        <v>56614</v>
      </c>
      <c r="Z2475" s="132">
        <v>1.4986528882568351E-2</v>
      </c>
      <c r="AA2475" s="129">
        <v>1.5022536028661548E-2</v>
      </c>
    </row>
    <row r="2476" spans="19:27" x14ac:dyDescent="0.2">
      <c r="S2476" s="1"/>
      <c r="T2476" s="109"/>
      <c r="W2476" s="130" t="str">
        <f t="shared" si="48"/>
        <v>1w</v>
      </c>
      <c r="X2476" s="128">
        <f>_xll.qlCalendarAdvance(Calendar,X2475,W2476,"f",FALSE)</f>
        <v>56619</v>
      </c>
      <c r="Y2476" s="131">
        <f>_xll.qlCalendarAdvance(Calendar,X2476,NDays&amp;"D")</f>
        <v>56621</v>
      </c>
      <c r="Z2476" s="132">
        <v>1.4976202964473551E-2</v>
      </c>
      <c r="AA2476" s="129">
        <v>1.5013654968054624E-2</v>
      </c>
    </row>
    <row r="2477" spans="19:27" x14ac:dyDescent="0.2">
      <c r="S2477" s="1"/>
      <c r="T2477" s="109"/>
      <c r="W2477" s="130" t="str">
        <f t="shared" si="48"/>
        <v>1w</v>
      </c>
      <c r="X2477" s="128">
        <f>_xll.qlCalendarAdvance(Calendar,X2476,W2477,"f",FALSE)</f>
        <v>56626</v>
      </c>
      <c r="Y2477" s="131">
        <f>_xll.qlCalendarAdvance(Calendar,X2477,NDays&amp;"D")</f>
        <v>56628</v>
      </c>
      <c r="Z2477" s="132">
        <v>1.4965848032619355E-2</v>
      </c>
      <c r="AA2477" s="129">
        <v>1.5003522150589532E-2</v>
      </c>
    </row>
    <row r="2478" spans="19:27" x14ac:dyDescent="0.2">
      <c r="S2478" s="1"/>
      <c r="T2478" s="109"/>
      <c r="W2478" s="130" t="str">
        <f t="shared" si="48"/>
        <v>1w</v>
      </c>
      <c r="X2478" s="128">
        <f>_xll.qlCalendarAdvance(Calendar,X2477,W2478,"f",FALSE)</f>
        <v>56633</v>
      </c>
      <c r="Y2478" s="131">
        <f>_xll.qlCalendarAdvance(Calendar,X2478,NDays&amp;"D")</f>
        <v>56635</v>
      </c>
      <c r="Z2478" s="132">
        <v>1.4955464087229586E-2</v>
      </c>
      <c r="AA2478" s="129">
        <v>1.4993360400108457E-2</v>
      </c>
    </row>
    <row r="2479" spans="19:27" x14ac:dyDescent="0.2">
      <c r="S2479" s="1"/>
      <c r="T2479" s="109"/>
      <c r="W2479" s="130" t="str">
        <f t="shared" si="48"/>
        <v>1w</v>
      </c>
      <c r="X2479" s="128">
        <f>_xll.qlCalendarAdvance(Calendar,X2478,W2479,"f",FALSE)</f>
        <v>56640</v>
      </c>
      <c r="Y2479" s="131">
        <f>_xll.qlCalendarAdvance(Calendar,X2479,NDays&amp;"D")</f>
        <v>56642</v>
      </c>
      <c r="Z2479" s="132">
        <v>1.4945051128530729E-2</v>
      </c>
      <c r="AA2479" s="129">
        <v>1.4983169716531464E-2</v>
      </c>
    </row>
    <row r="2480" spans="19:27" x14ac:dyDescent="0.2">
      <c r="S2480" s="1"/>
      <c r="T2480" s="109"/>
      <c r="W2480" s="130" t="str">
        <f t="shared" si="48"/>
        <v>1w</v>
      </c>
      <c r="X2480" s="128">
        <f>_xll.qlCalendarAdvance(Calendar,X2479,W2480,"f",FALSE)</f>
        <v>56647</v>
      </c>
      <c r="Y2480" s="131">
        <f>_xll.qlCalendarAdvance(Calendar,X2480,NDays&amp;"D")</f>
        <v>56649</v>
      </c>
      <c r="Z2480" s="132">
        <v>1.4935050970922278E-2</v>
      </c>
      <c r="AA2480" s="129">
        <v>1.4972950100098359E-2</v>
      </c>
    </row>
    <row r="2481" spans="19:27" x14ac:dyDescent="0.2">
      <c r="S2481" s="1"/>
      <c r="T2481" s="109"/>
      <c r="W2481" s="130" t="str">
        <f t="shared" si="48"/>
        <v>1w</v>
      </c>
      <c r="X2481" s="128">
        <f>_xll.qlCalendarAdvance(Calendar,X2480,W2481,"f",FALSE)</f>
        <v>56654</v>
      </c>
      <c r="Y2481" s="131">
        <f>_xll.qlCalendarAdvance(Calendar,X2481,NDays&amp;"D")</f>
        <v>56656</v>
      </c>
      <c r="Z2481" s="132">
        <v>1.492458249196398E-2</v>
      </c>
      <c r="AA2481" s="129">
        <v>1.4962701550649271E-2</v>
      </c>
    </row>
    <row r="2482" spans="19:27" x14ac:dyDescent="0.2">
      <c r="S2482" s="1"/>
      <c r="T2482" s="109"/>
      <c r="W2482" s="130" t="str">
        <f t="shared" si="48"/>
        <v>1w</v>
      </c>
      <c r="X2482" s="128">
        <f>_xll.qlCalendarAdvance(Calendar,X2481,W2482,"f",FALSE)</f>
        <v>56661</v>
      </c>
      <c r="Y2482" s="131">
        <f>_xll.qlCalendarAdvance(Calendar,X2482,NDays&amp;"D")</f>
        <v>56663</v>
      </c>
      <c r="Z2482" s="132">
        <v>1.4914085001256275E-2</v>
      </c>
      <c r="AA2482" s="129">
        <v>1.49524240681842E-2</v>
      </c>
    </row>
    <row r="2483" spans="19:27" x14ac:dyDescent="0.2">
      <c r="S2483" s="1"/>
      <c r="T2483" s="109"/>
      <c r="W2483" s="130" t="str">
        <f t="shared" si="48"/>
        <v>1w</v>
      </c>
      <c r="X2483" s="128">
        <f>_xll.qlCalendarAdvance(Calendar,X2482,W2483,"f",FALSE)</f>
        <v>56668</v>
      </c>
      <c r="Y2483" s="131">
        <f>_xll.qlCalendarAdvance(Calendar,X2483,NDays&amp;"D")</f>
        <v>56670</v>
      </c>
      <c r="Z2483" s="132">
        <v>1.4903558499024598E-2</v>
      </c>
      <c r="AA2483" s="129">
        <v>1.4942117652863018E-2</v>
      </c>
    </row>
    <row r="2484" spans="19:27" x14ac:dyDescent="0.2">
      <c r="S2484" s="1"/>
      <c r="T2484" s="109"/>
      <c r="W2484" s="130" t="str">
        <f t="shared" si="48"/>
        <v>1w</v>
      </c>
      <c r="X2484" s="128">
        <f>_xll.qlCalendarAdvance(Calendar,X2483,W2484,"f",FALSE)</f>
        <v>56675</v>
      </c>
      <c r="Y2484" s="131">
        <f>_xll.qlCalendarAdvance(Calendar,X2484,NDays&amp;"D")</f>
        <v>56677</v>
      </c>
      <c r="Z2484" s="132">
        <v>1.4891646703935011E-2</v>
      </c>
      <c r="AA2484" s="129">
        <v>1.4931782304365981E-2</v>
      </c>
    </row>
    <row r="2485" spans="19:27" x14ac:dyDescent="0.2">
      <c r="S2485" s="1"/>
      <c r="T2485" s="109"/>
      <c r="W2485" s="130" t="str">
        <f t="shared" si="48"/>
        <v>1w</v>
      </c>
      <c r="X2485" s="128">
        <f>_xll.qlCalendarAdvance(Calendar,X2484,W2485,"f",FALSE)</f>
        <v>56682</v>
      </c>
      <c r="Y2485" s="131">
        <f>_xll.qlCalendarAdvance(Calendar,X2485,NDays&amp;"D")</f>
        <v>56684</v>
      </c>
      <c r="Z2485" s="132">
        <v>1.488105465133565E-2</v>
      </c>
      <c r="AA2485" s="129">
        <v>1.4921418023012833E-2</v>
      </c>
    </row>
    <row r="2486" spans="19:27" x14ac:dyDescent="0.2">
      <c r="S2486" s="1"/>
      <c r="T2486" s="109"/>
      <c r="W2486" s="130" t="str">
        <f t="shared" si="48"/>
        <v>1w</v>
      </c>
      <c r="X2486" s="128">
        <f>_xll.qlCalendarAdvance(Calendar,X2485,W2486,"f",FALSE)</f>
        <v>56689</v>
      </c>
      <c r="Y2486" s="131">
        <f>_xll.qlCalendarAdvance(Calendar,X2486,NDays&amp;"D")</f>
        <v>56691</v>
      </c>
      <c r="Z2486" s="132">
        <v>1.4870433585281175E-2</v>
      </c>
      <c r="AA2486" s="129">
        <v>1.4911024808803575E-2</v>
      </c>
    </row>
    <row r="2487" spans="19:27" x14ac:dyDescent="0.2">
      <c r="S2487" s="1"/>
      <c r="T2487" s="109"/>
      <c r="W2487" s="130" t="str">
        <f t="shared" si="48"/>
        <v>1w</v>
      </c>
      <c r="X2487" s="128">
        <f>_xll.qlCalendarAdvance(Calendar,X2486,W2487,"f",FALSE)</f>
        <v>56696</v>
      </c>
      <c r="Y2487" s="131">
        <f>_xll.qlCalendarAdvance(Calendar,X2487,NDays&amp;"D")</f>
        <v>56698</v>
      </c>
      <c r="Z2487" s="132">
        <v>1.4859783506007914E-2</v>
      </c>
      <c r="AA2487" s="129">
        <v>1.4900602661418461E-2</v>
      </c>
    </row>
    <row r="2488" spans="19:27" x14ac:dyDescent="0.2">
      <c r="S2488" s="1"/>
      <c r="T2488" s="109"/>
      <c r="W2488" s="130" t="str">
        <f t="shared" si="48"/>
        <v>1w</v>
      </c>
      <c r="X2488" s="128">
        <f>_xll.qlCalendarAdvance(Calendar,X2487,W2488,"f",FALSE)</f>
        <v>56703</v>
      </c>
      <c r="Y2488" s="131">
        <f>_xll.qlCalendarAdvance(Calendar,X2488,NDays&amp;"D")</f>
        <v>56705</v>
      </c>
      <c r="Z2488" s="132">
        <v>1.4849566802391228E-2</v>
      </c>
      <c r="AA2488" s="129">
        <v>1.4890151581177236E-2</v>
      </c>
    </row>
    <row r="2489" spans="19:27" x14ac:dyDescent="0.2">
      <c r="S2489" s="1"/>
      <c r="T2489" s="109"/>
      <c r="W2489" s="130" t="str">
        <f t="shared" si="48"/>
        <v>1w</v>
      </c>
      <c r="X2489" s="128">
        <f>_xll.qlCalendarAdvance(Calendar,X2488,W2489,"f",FALSE)</f>
        <v>56710</v>
      </c>
      <c r="Y2489" s="131">
        <f>_xll.qlCalendarAdvance(Calendar,X2489,NDays&amp;"D")</f>
        <v>56712</v>
      </c>
      <c r="Z2489" s="132">
        <v>1.4838861210326518E-2</v>
      </c>
      <c r="AA2489" s="129">
        <v>1.48796715680799E-2</v>
      </c>
    </row>
    <row r="2490" spans="19:27" x14ac:dyDescent="0.2">
      <c r="S2490" s="1"/>
      <c r="T2490" s="109"/>
      <c r="W2490" s="130" t="str">
        <f t="shared" si="48"/>
        <v>1w</v>
      </c>
      <c r="X2490" s="128">
        <f>_xll.qlCalendarAdvance(Calendar,X2489,W2490,"f",FALSE)</f>
        <v>56717</v>
      </c>
      <c r="Y2490" s="131">
        <f>_xll.qlCalendarAdvance(Calendar,X2490,NDays&amp;"D")</f>
        <v>56719</v>
      </c>
      <c r="Z2490" s="132">
        <v>1.4828126606612462E-2</v>
      </c>
      <c r="AA2490" s="129">
        <v>1.4867382003705742E-2</v>
      </c>
    </row>
    <row r="2491" spans="19:27" x14ac:dyDescent="0.2">
      <c r="S2491" s="1"/>
      <c r="T2491" s="109"/>
      <c r="W2491" s="130" t="str">
        <f t="shared" si="48"/>
        <v>1w</v>
      </c>
      <c r="X2491" s="128">
        <f>_xll.qlCalendarAdvance(Calendar,X2490,W2491,"f",FALSE)</f>
        <v>56724</v>
      </c>
      <c r="Y2491" s="131">
        <f>_xll.qlCalendarAdvance(Calendar,X2491,NDays&amp;"D")</f>
        <v>56726</v>
      </c>
      <c r="Z2491" s="132">
        <v>1.4817362991483597E-2</v>
      </c>
      <c r="AA2491" s="129">
        <v>1.4858624742757343E-2</v>
      </c>
    </row>
    <row r="2492" spans="19:27" x14ac:dyDescent="0.2">
      <c r="S2492" s="1"/>
      <c r="T2492" s="109"/>
      <c r="W2492" s="130" t="str">
        <f t="shared" si="48"/>
        <v>1w</v>
      </c>
      <c r="X2492" s="128">
        <f>_xll.qlCalendarAdvance(Calendar,X2491,W2492,"f",FALSE)</f>
        <v>56731</v>
      </c>
      <c r="Y2492" s="131">
        <f>_xll.qlCalendarAdvance(Calendar,X2492,NDays&amp;"D")</f>
        <v>56733</v>
      </c>
      <c r="Z2492" s="132">
        <v>1.4806570365177095E-2</v>
      </c>
      <c r="AA2492" s="129">
        <v>1.4848057930612057E-2</v>
      </c>
    </row>
    <row r="2493" spans="19:27" x14ac:dyDescent="0.2">
      <c r="S2493" s="1"/>
      <c r="T2493" s="109"/>
      <c r="W2493" s="130" t="str">
        <f t="shared" si="48"/>
        <v>1w</v>
      </c>
      <c r="X2493" s="128">
        <f>_xll.qlCalendarAdvance(Calendar,X2492,W2493,"f",FALSE)</f>
        <v>56738</v>
      </c>
      <c r="Y2493" s="131">
        <f>_xll.qlCalendarAdvance(Calendar,X2493,NDays&amp;"D")</f>
        <v>56740</v>
      </c>
      <c r="Z2493" s="132">
        <v>1.4795273766056306E-2</v>
      </c>
      <c r="AA2493" s="129">
        <v>1.4837462185610661E-2</v>
      </c>
    </row>
    <row r="2494" spans="19:27" x14ac:dyDescent="0.2">
      <c r="S2494" s="1"/>
      <c r="T2494" s="109"/>
      <c r="W2494" s="130" t="str">
        <f t="shared" si="48"/>
        <v>1w</v>
      </c>
      <c r="X2494" s="128">
        <f>_xll.qlCalendarAdvance(Calendar,X2493,W2494,"f",FALSE)</f>
        <v>56745</v>
      </c>
      <c r="Y2494" s="131">
        <f>_xll.qlCalendarAdvance(Calendar,X2494,NDays&amp;"D")</f>
        <v>56747</v>
      </c>
      <c r="Z2494" s="132">
        <v>1.4784420600902759E-2</v>
      </c>
      <c r="AA2494" s="129">
        <v>1.4826837507753154E-2</v>
      </c>
    </row>
    <row r="2495" spans="19:27" x14ac:dyDescent="0.2">
      <c r="S2495" s="1"/>
      <c r="T2495" s="109"/>
      <c r="W2495" s="130" t="str">
        <f t="shared" si="48"/>
        <v>1w</v>
      </c>
      <c r="X2495" s="128">
        <f>_xll.qlCalendarAdvance(Calendar,X2494,W2495,"f",FALSE)</f>
        <v>56752</v>
      </c>
      <c r="Y2495" s="131">
        <f>_xll.qlCalendarAdvance(Calendar,X2495,NDays&amp;"D")</f>
        <v>56754</v>
      </c>
      <c r="Z2495" s="132">
        <v>1.4773538424438468E-2</v>
      </c>
      <c r="AA2495" s="129">
        <v>1.4816183896799728E-2</v>
      </c>
    </row>
    <row r="2496" spans="19:27" x14ac:dyDescent="0.2">
      <c r="S2496" s="1"/>
      <c r="T2496" s="109"/>
      <c r="W2496" s="130" t="str">
        <f t="shared" si="48"/>
        <v>1w</v>
      </c>
      <c r="X2496" s="128">
        <f>_xll.qlCalendarAdvance(Calendar,X2495,W2496,"f",FALSE)</f>
        <v>56759</v>
      </c>
      <c r="Y2496" s="131">
        <f>_xll.qlCalendarAdvance(Calendar,X2496,NDays&amp;"D")</f>
        <v>56761</v>
      </c>
      <c r="Z2496" s="132">
        <v>1.476262723690237E-2</v>
      </c>
      <c r="AA2496" s="129">
        <v>1.4805501352910255E-2</v>
      </c>
    </row>
    <row r="2497" spans="19:27" x14ac:dyDescent="0.2">
      <c r="S2497" s="1"/>
      <c r="T2497" s="109"/>
      <c r="W2497" s="130" t="str">
        <f t="shared" si="48"/>
        <v>1w</v>
      </c>
      <c r="X2497" s="128">
        <f>_xll.qlCalendarAdvance(Calendar,X2496,W2497,"f",FALSE)</f>
        <v>56766</v>
      </c>
      <c r="Y2497" s="131">
        <f>_xll.qlCalendarAdvance(Calendar,X2497,NDays&amp;"D")</f>
        <v>56768</v>
      </c>
      <c r="Z2497" s="132">
        <v>1.4751687038540356E-2</v>
      </c>
      <c r="AA2497" s="129">
        <v>1.4794789876084735E-2</v>
      </c>
    </row>
    <row r="2498" spans="19:27" x14ac:dyDescent="0.2">
      <c r="S2498" s="1"/>
      <c r="T2498" s="109"/>
      <c r="W2498" s="130" t="str">
        <f t="shared" si="48"/>
        <v>1w</v>
      </c>
      <c r="X2498" s="128">
        <f>_xll.qlCalendarAdvance(Calendar,X2497,W2498,"f",FALSE)</f>
        <v>56773</v>
      </c>
      <c r="Y2498" s="131">
        <f>_xll.qlCalendarAdvance(Calendar,X2498,NDays&amp;"D")</f>
        <v>56775</v>
      </c>
      <c r="Z2498" s="132">
        <v>1.4740717829591368E-2</v>
      </c>
      <c r="AA2498" s="129">
        <v>1.4784049466403104E-2</v>
      </c>
    </row>
    <row r="2499" spans="19:27" x14ac:dyDescent="0.2">
      <c r="S2499" s="1"/>
      <c r="T2499" s="109"/>
      <c r="W2499" s="130" t="str">
        <f t="shared" si="48"/>
        <v>1w</v>
      </c>
      <c r="X2499" s="128">
        <f>_xll.qlCalendarAdvance(Calendar,X2498,W2499,"f",FALSE)</f>
        <v>56780</v>
      </c>
      <c r="Y2499" s="131">
        <f>_xll.qlCalendarAdvance(Calendar,X2499,NDays&amp;"D")</f>
        <v>56782</v>
      </c>
      <c r="Z2499" s="132">
        <v>1.4729719753854289E-2</v>
      </c>
      <c r="AA2499" s="129">
        <v>1.4773280123625554E-2</v>
      </c>
    </row>
    <row r="2500" spans="19:27" x14ac:dyDescent="0.2">
      <c r="S2500" s="1"/>
      <c r="T2500" s="109"/>
      <c r="W2500" s="130" t="str">
        <f t="shared" si="48"/>
        <v>1w</v>
      </c>
      <c r="X2500" s="128">
        <f>_xll.qlCalendarAdvance(Calendar,X2499,W2500,"f",FALSE)</f>
        <v>56787</v>
      </c>
      <c r="Y2500" s="131">
        <f>_xll.qlCalendarAdvance(Calendar,X2500,NDays&amp;"D")</f>
        <v>56789</v>
      </c>
      <c r="Z2500" s="132">
        <v>1.4718695366364432E-2</v>
      </c>
      <c r="AA2500" s="129">
        <v>1.4762481847991893E-2</v>
      </c>
    </row>
    <row r="2501" spans="19:27" x14ac:dyDescent="0.2">
      <c r="S2501" s="1"/>
      <c r="T2501" s="109"/>
      <c r="W2501" s="130" t="str">
        <f t="shared" si="48"/>
        <v>1w</v>
      </c>
      <c r="X2501" s="128">
        <f>_xll.qlCalendarAdvance(Calendar,X2500,W2501,"f",FALSE)</f>
        <v>56794</v>
      </c>
      <c r="Y2501" s="131">
        <f>_xll.qlCalendarAdvance(Calendar,X2501,NDays&amp;"D")</f>
        <v>56796</v>
      </c>
      <c r="Z2501" s="132">
        <v>1.4707649222887998E-2</v>
      </c>
      <c r="AA2501" s="129">
        <v>1.4751654639502121E-2</v>
      </c>
    </row>
    <row r="2502" spans="19:27" x14ac:dyDescent="0.2">
      <c r="S2502" s="1"/>
      <c r="T2502" s="109"/>
      <c r="W2502" s="130" t="str">
        <f t="shared" si="48"/>
        <v>1w</v>
      </c>
      <c r="X2502" s="128">
        <f>_xll.qlCalendarAdvance(Calendar,X2501,W2502,"f",FALSE)</f>
        <v>56801</v>
      </c>
      <c r="Y2502" s="131">
        <f>_xll.qlCalendarAdvance(Calendar,X2502,NDays&amp;"D")</f>
        <v>56803</v>
      </c>
      <c r="Z2502" s="132">
        <v>1.4696585939709732E-2</v>
      </c>
      <c r="AA2502" s="129">
        <v>1.4740798497996366E-2</v>
      </c>
    </row>
    <row r="2503" spans="19:27" x14ac:dyDescent="0.2">
      <c r="S2503" s="1"/>
      <c r="T2503" s="109"/>
      <c r="W2503" s="130" t="str">
        <f t="shared" si="48"/>
        <v>1w</v>
      </c>
      <c r="X2503" s="128">
        <f>_xll.qlCalendarAdvance(Calendar,X2502,W2503,"f",FALSE)</f>
        <v>56808</v>
      </c>
      <c r="Y2503" s="131">
        <f>_xll.qlCalendarAdvance(Calendar,X2503,NDays&amp;"D")</f>
        <v>56810</v>
      </c>
      <c r="Z2503" s="132">
        <v>1.4685510133054429E-2</v>
      </c>
      <c r="AA2503" s="129">
        <v>1.4729913423714436E-2</v>
      </c>
    </row>
    <row r="2504" spans="19:27" x14ac:dyDescent="0.2">
      <c r="S2504" s="1"/>
      <c r="T2504" s="109"/>
      <c r="W2504" s="130" t="str">
        <f t="shared" si="48"/>
        <v>1w</v>
      </c>
      <c r="X2504" s="128">
        <f>_xll.qlCalendarAdvance(Calendar,X2503,W2504,"f",FALSE)</f>
        <v>56815</v>
      </c>
      <c r="Y2504" s="131">
        <f>_xll.qlCalendarAdvance(Calendar,X2504,NDays&amp;"D")</f>
        <v>56817</v>
      </c>
      <c r="Z2504" s="132">
        <v>1.4674426419100831E-2</v>
      </c>
      <c r="AA2504" s="129">
        <v>1.4718999416336587E-2</v>
      </c>
    </row>
    <row r="2505" spans="19:27" x14ac:dyDescent="0.2">
      <c r="S2505" s="1"/>
      <c r="T2505" s="109"/>
      <c r="W2505" s="130" t="str">
        <f t="shared" si="48"/>
        <v>1w</v>
      </c>
      <c r="X2505" s="128">
        <f>_xll.qlCalendarAdvance(Calendar,X2504,W2505,"f",FALSE)</f>
        <v>56822</v>
      </c>
      <c r="Y2505" s="131">
        <f>_xll.qlCalendarAdvance(Calendar,X2505,NDays&amp;"D")</f>
        <v>56824</v>
      </c>
      <c r="Z2505" s="132">
        <v>1.4663339413969469E-2</v>
      </c>
      <c r="AA2505" s="129">
        <v>1.4708056476102627E-2</v>
      </c>
    </row>
    <row r="2506" spans="19:27" x14ac:dyDescent="0.2">
      <c r="S2506" s="1"/>
      <c r="T2506" s="109"/>
      <c r="W2506" s="130" t="str">
        <f t="shared" si="48"/>
        <v>1w</v>
      </c>
      <c r="X2506" s="128">
        <f>_xll.qlCalendarAdvance(Calendar,X2505,W2506,"f",FALSE)</f>
        <v>56829</v>
      </c>
      <c r="Y2506" s="131">
        <f>_xll.qlCalendarAdvance(Calendar,X2506,NDays&amp;"D")</f>
        <v>56831</v>
      </c>
      <c r="Z2506" s="132">
        <v>1.4652253733736558E-2</v>
      </c>
      <c r="AA2506" s="129">
        <v>1.4697084603092492E-2</v>
      </c>
    </row>
    <row r="2507" spans="19:27" x14ac:dyDescent="0.2">
      <c r="S2507" s="1"/>
      <c r="T2507" s="109"/>
      <c r="W2507" s="130" t="str">
        <f t="shared" si="48"/>
        <v>1w</v>
      </c>
      <c r="X2507" s="128">
        <f>_xll.qlCalendarAdvance(Calendar,X2506,W2507,"f",FALSE)</f>
        <v>56836</v>
      </c>
      <c r="Y2507" s="131">
        <f>_xll.qlCalendarAdvance(Calendar,X2507,NDays&amp;"D")</f>
        <v>56838</v>
      </c>
      <c r="Z2507" s="132">
        <v>1.4641173994419231E-2</v>
      </c>
      <c r="AA2507" s="129">
        <v>1.4686083796906502E-2</v>
      </c>
    </row>
    <row r="2508" spans="19:27" x14ac:dyDescent="0.2">
      <c r="S2508" s="1"/>
      <c r="T2508" s="109"/>
      <c r="W2508" s="130" t="str">
        <f t="shared" si="48"/>
        <v>1w</v>
      </c>
      <c r="X2508" s="128">
        <f>_xll.qlCalendarAdvance(Calendar,X2507,W2508,"f",FALSE)</f>
        <v>56843</v>
      </c>
      <c r="Y2508" s="131">
        <f>_xll.qlCalendarAdvance(Calendar,X2508,NDays&amp;"D")</f>
        <v>56845</v>
      </c>
      <c r="Z2508" s="132">
        <v>1.4630104811987706E-2</v>
      </c>
      <c r="AA2508" s="129">
        <v>1.4675054058024273E-2</v>
      </c>
    </row>
    <row r="2509" spans="19:27" x14ac:dyDescent="0.2">
      <c r="S2509" s="1"/>
      <c r="T2509" s="109"/>
      <c r="W2509" s="130" t="str">
        <f t="shared" si="48"/>
        <v>1w</v>
      </c>
      <c r="X2509" s="128">
        <f>_xll.qlCalendarAdvance(Calendar,X2508,W2509,"f",FALSE)</f>
        <v>56850</v>
      </c>
      <c r="Y2509" s="131">
        <f>_xll.qlCalendarAdvance(Calendar,X2509,NDays&amp;"D")</f>
        <v>56852</v>
      </c>
      <c r="Z2509" s="132">
        <v>1.4619050802353982E-2</v>
      </c>
      <c r="AA2509" s="129">
        <v>1.4663995386046125E-2</v>
      </c>
    </row>
    <row r="2510" spans="19:27" x14ac:dyDescent="0.2">
      <c r="S2510" s="1"/>
      <c r="T2510" s="109"/>
      <c r="W2510" s="130" t="str">
        <f t="shared" si="48"/>
        <v>1w</v>
      </c>
      <c r="X2510" s="128">
        <f>_xll.qlCalendarAdvance(Calendar,X2509,W2510,"f",FALSE)</f>
        <v>56857</v>
      </c>
      <c r="Y2510" s="131">
        <f>_xll.qlCalendarAdvance(Calendar,X2510,NDays&amp;"D")</f>
        <v>56859</v>
      </c>
      <c r="Z2510" s="132">
        <v>1.4608503416502706E-2</v>
      </c>
      <c r="AA2510" s="129">
        <v>1.4652907781291802E-2</v>
      </c>
    </row>
    <row r="2511" spans="19:27" x14ac:dyDescent="0.2">
      <c r="S2511" s="1"/>
      <c r="T2511" s="109"/>
      <c r="W2511" s="130" t="str">
        <f t="shared" si="48"/>
        <v>1w</v>
      </c>
      <c r="X2511" s="128">
        <f>_xll.qlCalendarAdvance(Calendar,X2510,W2511,"f",FALSE)</f>
        <v>56864</v>
      </c>
      <c r="Y2511" s="131">
        <f>_xll.qlCalendarAdvance(Calendar,X2511,NDays&amp;"D")</f>
        <v>56866</v>
      </c>
      <c r="Z2511" s="132">
        <v>1.4597491815822625E-2</v>
      </c>
      <c r="AA2511" s="129">
        <v>1.4641791243601432E-2</v>
      </c>
    </row>
    <row r="2512" spans="19:27" x14ac:dyDescent="0.2">
      <c r="S2512" s="1"/>
      <c r="T2512" s="109"/>
      <c r="W2512" s="130" t="str">
        <f t="shared" si="48"/>
        <v>1w</v>
      </c>
      <c r="X2512" s="128">
        <f>_xll.qlCalendarAdvance(Calendar,X2511,W2512,"f",FALSE)</f>
        <v>56871</v>
      </c>
      <c r="Y2512" s="131">
        <f>_xll.qlCalendarAdvance(Calendar,X2512,NDays&amp;"D")</f>
        <v>56873</v>
      </c>
      <c r="Z2512" s="132">
        <v>1.4586509143683866E-2</v>
      </c>
      <c r="AA2512" s="129">
        <v>1.4630653380010017E-2</v>
      </c>
    </row>
    <row r="2513" spans="19:27" x14ac:dyDescent="0.2">
      <c r="S2513" s="1"/>
      <c r="T2513" s="109"/>
      <c r="W2513" s="130" t="str">
        <f t="shared" si="48"/>
        <v>1w</v>
      </c>
      <c r="X2513" s="128">
        <f>_xll.qlCalendarAdvance(Calendar,X2512,W2513,"f",FALSE)</f>
        <v>56878</v>
      </c>
      <c r="Y2513" s="131">
        <f>_xll.qlCalendarAdvance(Calendar,X2513,NDays&amp;"D")</f>
        <v>56880</v>
      </c>
      <c r="Z2513" s="132">
        <v>1.4575557982514765E-2</v>
      </c>
      <c r="AA2513" s="129">
        <v>1.461953942065719E-2</v>
      </c>
    </row>
    <row r="2514" spans="19:27" x14ac:dyDescent="0.2">
      <c r="S2514" s="1"/>
      <c r="T2514" s="109"/>
      <c r="W2514" s="130" t="str">
        <f t="shared" si="48"/>
        <v>1w</v>
      </c>
      <c r="X2514" s="128">
        <f>_xll.qlCalendarAdvance(Calendar,X2513,W2514,"f",FALSE)</f>
        <v>56885</v>
      </c>
      <c r="Y2514" s="131">
        <f>_xll.qlCalendarAdvance(Calendar,X2514,NDays&amp;"D")</f>
        <v>56887</v>
      </c>
      <c r="Z2514" s="132">
        <v>1.456415888015155E-2</v>
      </c>
      <c r="AA2514" s="129">
        <v>1.4608456972418082E-2</v>
      </c>
    </row>
    <row r="2515" spans="19:27" x14ac:dyDescent="0.2">
      <c r="S2515" s="1"/>
      <c r="T2515" s="109"/>
      <c r="W2515" s="130" t="str">
        <f t="shared" si="48"/>
        <v>1w</v>
      </c>
      <c r="X2515" s="128">
        <f>_xll.qlCalendarAdvance(Calendar,X2514,W2515,"f",FALSE)</f>
        <v>56892</v>
      </c>
      <c r="Y2515" s="131">
        <f>_xll.qlCalendarAdvance(Calendar,X2515,NDays&amp;"D")</f>
        <v>56894</v>
      </c>
      <c r="Z2515" s="132">
        <v>1.4553272852049989E-2</v>
      </c>
      <c r="AA2515" s="129">
        <v>1.4597406035532501E-2</v>
      </c>
    </row>
    <row r="2516" spans="19:27" x14ac:dyDescent="0.2">
      <c r="S2516" s="1"/>
      <c r="T2516" s="109"/>
      <c r="W2516" s="130" t="str">
        <f t="shared" si="48"/>
        <v>1w</v>
      </c>
      <c r="X2516" s="128">
        <f>_xll.qlCalendarAdvance(Calendar,X2515,W2516,"f",FALSE)</f>
        <v>56899</v>
      </c>
      <c r="Y2516" s="131">
        <f>_xll.qlCalendarAdvance(Calendar,X2516,NDays&amp;"D")</f>
        <v>56901</v>
      </c>
      <c r="Z2516" s="132">
        <v>1.4542418480842055E-2</v>
      </c>
      <c r="AA2516" s="129">
        <v>1.4586386610000446E-2</v>
      </c>
    </row>
    <row r="2517" spans="19:27" x14ac:dyDescent="0.2">
      <c r="S2517" s="1"/>
      <c r="T2517" s="109"/>
      <c r="W2517" s="130" t="str">
        <f t="shared" ref="W2517:W2580" si="49">W2516</f>
        <v>1w</v>
      </c>
      <c r="X2517" s="128">
        <f>_xll.qlCalendarAdvance(Calendar,X2516,W2517,"f",FALSE)</f>
        <v>56906</v>
      </c>
      <c r="Y2517" s="131">
        <f>_xll.qlCalendarAdvance(Calendar,X2517,NDays&amp;"D")</f>
        <v>56908</v>
      </c>
      <c r="Z2517" s="132">
        <v>1.4531595766262744E-2</v>
      </c>
      <c r="AA2517" s="129">
        <v>1.4575398695662045E-2</v>
      </c>
    </row>
    <row r="2518" spans="19:27" x14ac:dyDescent="0.2">
      <c r="S2518" s="1"/>
      <c r="T2518" s="109"/>
      <c r="W2518" s="130" t="str">
        <f t="shared" si="49"/>
        <v>1w</v>
      </c>
      <c r="X2518" s="128">
        <f>_xll.qlCalendarAdvance(Calendar,X2517,W2518,"f",FALSE)</f>
        <v>56913</v>
      </c>
      <c r="Y2518" s="131">
        <f>_xll.qlCalendarAdvance(Calendar,X2518,NDays&amp;"D")</f>
        <v>56915</v>
      </c>
      <c r="Z2518" s="132">
        <v>1.4520804708053132E-2</v>
      </c>
      <c r="AA2518" s="129">
        <v>1.4564442292437363E-2</v>
      </c>
    </row>
    <row r="2519" spans="19:27" x14ac:dyDescent="0.2">
      <c r="S2519" s="1"/>
      <c r="T2519" s="109"/>
      <c r="W2519" s="130" t="str">
        <f t="shared" si="49"/>
        <v>1w</v>
      </c>
      <c r="X2519" s="128">
        <f>_xll.qlCalendarAdvance(Calendar,X2518,W2519,"f",FALSE)</f>
        <v>56920</v>
      </c>
      <c r="Y2519" s="131">
        <f>_xll.qlCalendarAdvance(Calendar,X2519,NDays&amp;"D")</f>
        <v>56922</v>
      </c>
      <c r="Z2519" s="132">
        <v>1.4510045305949952E-2</v>
      </c>
      <c r="AA2519" s="129">
        <v>1.4553517400486271E-2</v>
      </c>
    </row>
    <row r="2520" spans="19:27" x14ac:dyDescent="0.2">
      <c r="S2520" s="1"/>
      <c r="T2520" s="109"/>
      <c r="W2520" s="130" t="str">
        <f t="shared" si="49"/>
        <v>1w</v>
      </c>
      <c r="X2520" s="128">
        <f>_xll.qlCalendarAdvance(Calendar,X2519,W2520,"f",FALSE)</f>
        <v>56927</v>
      </c>
      <c r="Y2520" s="131">
        <f>_xll.qlCalendarAdvance(Calendar,X2520,NDays&amp;"D")</f>
        <v>56929</v>
      </c>
      <c r="Z2520" s="132">
        <v>1.4499317559696889E-2</v>
      </c>
      <c r="AA2520" s="129">
        <v>1.454262401980877E-2</v>
      </c>
    </row>
    <row r="2521" spans="19:27" x14ac:dyDescent="0.2">
      <c r="S2521" s="1"/>
      <c r="T2521" s="109"/>
      <c r="W2521" s="130" t="str">
        <f t="shared" si="49"/>
        <v>1w</v>
      </c>
      <c r="X2521" s="128">
        <f>_xll.qlCalendarAdvance(Calendar,X2520,W2521,"f",FALSE)</f>
        <v>56934</v>
      </c>
      <c r="Y2521" s="131">
        <f>_xll.qlCalendarAdvance(Calendar,X2521,NDays&amp;"D")</f>
        <v>56936</v>
      </c>
      <c r="Z2521" s="132">
        <v>1.4488621469029803E-2</v>
      </c>
      <c r="AA2521" s="129">
        <v>1.4531762150244987E-2</v>
      </c>
    </row>
    <row r="2522" spans="19:27" x14ac:dyDescent="0.2">
      <c r="S2522" s="1"/>
      <c r="T2522" s="109"/>
      <c r="W2522" s="130" t="str">
        <f t="shared" si="49"/>
        <v>1w</v>
      </c>
      <c r="X2522" s="128">
        <f>_xll.qlCalendarAdvance(Calendar,X2521,W2522,"f",FALSE)</f>
        <v>56941</v>
      </c>
      <c r="Y2522" s="131">
        <f>_xll.qlCalendarAdvance(Calendar,X2522,NDays&amp;"D")</f>
        <v>56943</v>
      </c>
      <c r="Z2522" s="132">
        <v>1.4477957033694117E-2</v>
      </c>
      <c r="AA2522" s="129">
        <v>1.452093179203473E-2</v>
      </c>
    </row>
    <row r="2523" spans="19:27" x14ac:dyDescent="0.2">
      <c r="S2523" s="1"/>
      <c r="T2523" s="109"/>
      <c r="W2523" s="130" t="str">
        <f t="shared" si="49"/>
        <v>1w</v>
      </c>
      <c r="X2523" s="128">
        <f>_xll.qlCalendarAdvance(Calendar,X2522,W2523,"f",FALSE)</f>
        <v>56948</v>
      </c>
      <c r="Y2523" s="131">
        <f>_xll.qlCalendarAdvance(Calendar,X2523,NDays&amp;"D")</f>
        <v>56950</v>
      </c>
      <c r="Z2523" s="132">
        <v>1.4467787398533443E-2</v>
      </c>
      <c r="AA2523" s="129">
        <v>1.451013294477832E-2</v>
      </c>
    </row>
    <row r="2524" spans="19:27" x14ac:dyDescent="0.2">
      <c r="S2524" s="1"/>
      <c r="T2524" s="109"/>
      <c r="W2524" s="130" t="str">
        <f t="shared" si="49"/>
        <v>1w</v>
      </c>
      <c r="X2524" s="128">
        <f>_xll.qlCalendarAdvance(Calendar,X2523,W2524,"f",FALSE)</f>
        <v>56955</v>
      </c>
      <c r="Y2524" s="131">
        <f>_xll.qlCalendarAdvance(Calendar,X2524,NDays&amp;"D")</f>
        <v>56957</v>
      </c>
      <c r="Z2524" s="132">
        <v>1.4457184437238551E-2</v>
      </c>
      <c r="AA2524" s="129">
        <v>1.4499365609035308E-2</v>
      </c>
    </row>
    <row r="2525" spans="19:27" x14ac:dyDescent="0.2">
      <c r="S2525" s="1"/>
      <c r="T2525" s="109"/>
      <c r="W2525" s="130" t="str">
        <f t="shared" si="49"/>
        <v>1w</v>
      </c>
      <c r="X2525" s="128">
        <f>_xll.qlCalendarAdvance(Calendar,X2524,W2525,"f",FALSE)</f>
        <v>56962</v>
      </c>
      <c r="Y2525" s="131">
        <f>_xll.qlCalendarAdvance(Calendar,X2525,NDays&amp;"D")</f>
        <v>56964</v>
      </c>
      <c r="Z2525" s="132">
        <v>1.4446613128942999E-2</v>
      </c>
      <c r="AA2525" s="129">
        <v>1.4488629784326079E-2</v>
      </c>
    </row>
    <row r="2526" spans="19:27" x14ac:dyDescent="0.2">
      <c r="S2526" s="1"/>
      <c r="T2526" s="109"/>
      <c r="W2526" s="130" t="str">
        <f t="shared" si="49"/>
        <v>1w</v>
      </c>
      <c r="X2526" s="128">
        <f>_xll.qlCalendarAdvance(Calendar,X2525,W2526,"f",FALSE)</f>
        <v>56969</v>
      </c>
      <c r="Y2526" s="131">
        <f>_xll.qlCalendarAdvance(Calendar,X2526,NDays&amp;"D")</f>
        <v>56971</v>
      </c>
      <c r="Z2526" s="132">
        <v>1.443607347339293E-2</v>
      </c>
      <c r="AA2526" s="129">
        <v>1.4477925470970376E-2</v>
      </c>
    </row>
    <row r="2527" spans="19:27" x14ac:dyDescent="0.2">
      <c r="S2527" s="1"/>
      <c r="T2527" s="109"/>
      <c r="W2527" s="130" t="str">
        <f t="shared" si="49"/>
        <v>1w</v>
      </c>
      <c r="X2527" s="128">
        <f>_xll.qlCalendarAdvance(Calendar,X2526,W2527,"f",FALSE)</f>
        <v>56976</v>
      </c>
      <c r="Y2527" s="131">
        <f>_xll.qlCalendarAdvance(Calendar,X2527,NDays&amp;"D")</f>
        <v>56978</v>
      </c>
      <c r="Z2527" s="132">
        <v>1.4425565470337111E-2</v>
      </c>
      <c r="AA2527" s="129">
        <v>1.446725266856852E-2</v>
      </c>
    </row>
    <row r="2528" spans="19:27" x14ac:dyDescent="0.2">
      <c r="S2528" s="1"/>
      <c r="T2528" s="109"/>
      <c r="W2528" s="130" t="str">
        <f t="shared" si="49"/>
        <v>1w</v>
      </c>
      <c r="X2528" s="128">
        <f>_xll.qlCalendarAdvance(Calendar,X2527,W2528,"f",FALSE)</f>
        <v>56983</v>
      </c>
      <c r="Y2528" s="131">
        <f>_xll.qlCalendarAdvance(Calendar,X2528,NDays&amp;"D")</f>
        <v>56985</v>
      </c>
      <c r="Z2528" s="132">
        <v>1.4415089119523437E-2</v>
      </c>
      <c r="AA2528" s="129">
        <v>1.445661137752019E-2</v>
      </c>
    </row>
    <row r="2529" spans="19:27" x14ac:dyDescent="0.2">
      <c r="S2529" s="1"/>
      <c r="T2529" s="109"/>
      <c r="W2529" s="130" t="str">
        <f t="shared" si="49"/>
        <v>1w</v>
      </c>
      <c r="X2529" s="128">
        <f>_xll.qlCalendarAdvance(Calendar,X2528,W2529,"f",FALSE)</f>
        <v>56990</v>
      </c>
      <c r="Y2529" s="131">
        <f>_xll.qlCalendarAdvance(Calendar,X2529,NDays&amp;"D")</f>
        <v>56992</v>
      </c>
      <c r="Z2529" s="132">
        <v>1.4404644420702439E-2</v>
      </c>
      <c r="AA2529" s="129">
        <v>1.4446001597665514E-2</v>
      </c>
    </row>
    <row r="2530" spans="19:27" x14ac:dyDescent="0.2">
      <c r="S2530" s="1"/>
      <c r="T2530" s="109"/>
      <c r="W2530" s="130" t="str">
        <f t="shared" si="49"/>
        <v>1w</v>
      </c>
      <c r="X2530" s="128">
        <f>_xll.qlCalendarAdvance(Calendar,X2529,W2530,"f",FALSE)</f>
        <v>56997</v>
      </c>
      <c r="Y2530" s="131">
        <f>_xll.qlCalendarAdvance(Calendar,X2530,NDays&amp;"D")</f>
        <v>56999</v>
      </c>
      <c r="Z2530" s="132">
        <v>1.4394231373624647E-2</v>
      </c>
      <c r="AA2530" s="129">
        <v>1.4435423329004493E-2</v>
      </c>
    </row>
    <row r="2531" spans="19:27" x14ac:dyDescent="0.2">
      <c r="S2531" s="1"/>
      <c r="T2531" s="109"/>
      <c r="W2531" s="130" t="str">
        <f t="shared" si="49"/>
        <v>1w</v>
      </c>
      <c r="X2531" s="128">
        <f>_xll.qlCalendarAdvance(Calendar,X2530,W2531,"f",FALSE)</f>
        <v>57004</v>
      </c>
      <c r="Y2531" s="131">
        <f>_xll.qlCalendarAdvance(Calendar,X2531,NDays&amp;"D")</f>
        <v>57006</v>
      </c>
      <c r="Z2531" s="132">
        <v>1.4383849978040587E-2</v>
      </c>
      <c r="AA2531" s="129">
        <v>1.4424876571617062E-2</v>
      </c>
    </row>
    <row r="2532" spans="19:27" x14ac:dyDescent="0.2">
      <c r="S2532" s="1"/>
      <c r="T2532" s="109"/>
      <c r="W2532" s="130" t="str">
        <f t="shared" si="49"/>
        <v>1w</v>
      </c>
      <c r="X2532" s="128">
        <f>_xll.qlCalendarAdvance(Calendar,X2531,W2532,"f",FALSE)</f>
        <v>57011</v>
      </c>
      <c r="Y2532" s="131">
        <f>_xll.qlCalendarAdvance(Calendar,X2532,NDays&amp;"D")</f>
        <v>57013</v>
      </c>
      <c r="Z2532" s="132">
        <v>1.4373946964666651E-2</v>
      </c>
      <c r="AA2532" s="129">
        <v>1.4414361325263414E-2</v>
      </c>
    </row>
    <row r="2533" spans="19:27" x14ac:dyDescent="0.2">
      <c r="S2533" s="1"/>
      <c r="T2533" s="109"/>
      <c r="W2533" s="130" t="str">
        <f t="shared" si="49"/>
        <v>1w</v>
      </c>
      <c r="X2533" s="128">
        <f>_xll.qlCalendarAdvance(Calendar,X2532,W2533,"f",FALSE)</f>
        <v>57018</v>
      </c>
      <c r="Y2533" s="131">
        <f>_xll.qlCalendarAdvance(Calendar,X2533,NDays&amp;"D")</f>
        <v>57020</v>
      </c>
      <c r="Z2533" s="132">
        <v>1.4363627021733549E-2</v>
      </c>
      <c r="AA2533" s="129">
        <v>1.4403877590263292E-2</v>
      </c>
    </row>
    <row r="2534" spans="19:27" x14ac:dyDescent="0.2">
      <c r="S2534" s="1"/>
      <c r="T2534" s="109"/>
      <c r="W2534" s="130" t="str">
        <f t="shared" si="49"/>
        <v>1w</v>
      </c>
      <c r="X2534" s="128">
        <f>_xll.qlCalendarAdvance(Calendar,X2533,W2534,"f",FALSE)</f>
        <v>57025</v>
      </c>
      <c r="Y2534" s="131">
        <f>_xll.qlCalendarAdvance(Calendar,X2534,NDays&amp;"D")</f>
        <v>57027</v>
      </c>
      <c r="Z2534" s="132">
        <v>1.4353338728015252E-2</v>
      </c>
      <c r="AA2534" s="129">
        <v>1.4393425366296952E-2</v>
      </c>
    </row>
    <row r="2535" spans="19:27" x14ac:dyDescent="0.2">
      <c r="S2535" s="1"/>
      <c r="T2535" s="109"/>
      <c r="W2535" s="130" t="str">
        <f t="shared" si="49"/>
        <v>1w</v>
      </c>
      <c r="X2535" s="128">
        <f>_xll.qlCalendarAdvance(Calendar,X2534,W2535,"f",FALSE)</f>
        <v>57032</v>
      </c>
      <c r="Y2535" s="131">
        <f>_xll.qlCalendarAdvance(Calendar,X2535,NDays&amp;"D")</f>
        <v>57034</v>
      </c>
      <c r="Z2535" s="132">
        <v>1.4343082083268399E-2</v>
      </c>
      <c r="AA2535" s="129">
        <v>1.4383004653524267E-2</v>
      </c>
    </row>
    <row r="2536" spans="19:27" x14ac:dyDescent="0.2">
      <c r="S2536" s="1"/>
      <c r="T2536" s="109"/>
      <c r="W2536" s="130" t="str">
        <f t="shared" si="49"/>
        <v>1w</v>
      </c>
      <c r="X2536" s="128">
        <f>_xll.qlCalendarAdvance(Calendar,X2535,W2536,"f",FALSE)</f>
        <v>57039</v>
      </c>
      <c r="Y2536" s="131">
        <f>_xll.qlCalendarAdvance(Calendar,X2536,NDays&amp;"D")</f>
        <v>57041</v>
      </c>
      <c r="Z2536" s="132">
        <v>1.4331978605727649E-2</v>
      </c>
      <c r="AA2536" s="129">
        <v>1.43726154518653E-2</v>
      </c>
    </row>
    <row r="2537" spans="19:27" x14ac:dyDescent="0.2">
      <c r="S2537" s="1"/>
      <c r="T2537" s="109"/>
      <c r="W2537" s="130" t="str">
        <f t="shared" si="49"/>
        <v>1w</v>
      </c>
      <c r="X2537" s="128">
        <f>_xll.qlCalendarAdvance(Calendar,X2536,W2537,"f",FALSE)</f>
        <v>57046</v>
      </c>
      <c r="Y2537" s="131">
        <f>_xll.qlCalendarAdvance(Calendar,X2537,NDays&amp;"D")</f>
        <v>57048</v>
      </c>
      <c r="Z2537" s="132">
        <v>1.4321788969848237E-2</v>
      </c>
      <c r="AA2537" s="129">
        <v>1.4362257761639796E-2</v>
      </c>
    </row>
    <row r="2538" spans="19:27" x14ac:dyDescent="0.2">
      <c r="S2538" s="1"/>
      <c r="T2538" s="109"/>
      <c r="W2538" s="130" t="str">
        <f t="shared" si="49"/>
        <v>1w</v>
      </c>
      <c r="X2538" s="128">
        <f>_xll.qlCalendarAdvance(Calendar,X2537,W2538,"f",FALSE)</f>
        <v>57053</v>
      </c>
      <c r="Y2538" s="131">
        <f>_xll.qlCalendarAdvance(Calendar,X2538,NDays&amp;"D")</f>
        <v>57055</v>
      </c>
      <c r="Z2538" s="132">
        <v>1.4311630985266928E-2</v>
      </c>
      <c r="AA2538" s="129">
        <v>1.4351931582448074E-2</v>
      </c>
    </row>
    <row r="2539" spans="19:27" x14ac:dyDescent="0.2">
      <c r="S2539" s="1"/>
      <c r="T2539" s="109"/>
      <c r="W2539" s="130" t="str">
        <f t="shared" si="49"/>
        <v>1w</v>
      </c>
      <c r="X2539" s="128">
        <f>_xll.qlCalendarAdvance(Calendar,X2538,W2539,"f",FALSE)</f>
        <v>57060</v>
      </c>
      <c r="Y2539" s="131">
        <f>_xll.qlCalendarAdvance(Calendar,X2539,NDays&amp;"D")</f>
        <v>57062</v>
      </c>
      <c r="Z2539" s="132">
        <v>1.4301504651737833E-2</v>
      </c>
      <c r="AA2539" s="129">
        <v>1.4341636914370071E-2</v>
      </c>
    </row>
    <row r="2540" spans="19:27" x14ac:dyDescent="0.2">
      <c r="S2540" s="1"/>
      <c r="T2540" s="109"/>
      <c r="W2540" s="130" t="str">
        <f t="shared" si="49"/>
        <v>1w</v>
      </c>
      <c r="X2540" s="128">
        <f>_xll.qlCalendarAdvance(Calendar,X2539,W2540,"f",FALSE)</f>
        <v>57067</v>
      </c>
      <c r="Y2540" s="131">
        <f>_xll.qlCalendarAdvance(Calendar,X2540,NDays&amp;"D")</f>
        <v>57069</v>
      </c>
      <c r="Z2540" s="132">
        <v>1.4291409969017668E-2</v>
      </c>
      <c r="AA2540" s="129">
        <v>1.4329588483285249E-2</v>
      </c>
    </row>
    <row r="2541" spans="19:27" x14ac:dyDescent="0.2">
      <c r="S2541" s="1"/>
      <c r="T2541" s="109"/>
      <c r="W2541" s="130" t="str">
        <f t="shared" si="49"/>
        <v>1w</v>
      </c>
      <c r="X2541" s="128">
        <f>_xll.qlCalendarAdvance(Calendar,X2540,W2541,"f",FALSE)</f>
        <v>57074</v>
      </c>
      <c r="Y2541" s="131">
        <f>_xll.qlCalendarAdvance(Calendar,X2541,NDays&amp;"D")</f>
        <v>57076</v>
      </c>
      <c r="Z2541" s="132">
        <v>1.4281776800133221E-2</v>
      </c>
      <c r="AA2541" s="129">
        <v>1.4321142111715091E-2</v>
      </c>
    </row>
    <row r="2542" spans="19:27" x14ac:dyDescent="0.2">
      <c r="S2542" s="1"/>
      <c r="T2542" s="109"/>
      <c r="W2542" s="130" t="str">
        <f t="shared" si="49"/>
        <v>1w</v>
      </c>
      <c r="X2542" s="128">
        <f>_xll.qlCalendarAdvance(Calendar,X2541,W2542,"f",FALSE)</f>
        <v>57081</v>
      </c>
      <c r="Y2542" s="131">
        <f>_xll.qlCalendarAdvance(Calendar,X2542,NDays&amp;"D")</f>
        <v>57083</v>
      </c>
      <c r="Z2542" s="132">
        <v>1.4271743554769904E-2</v>
      </c>
      <c r="AA2542" s="129">
        <v>1.4310941977297986E-2</v>
      </c>
    </row>
    <row r="2543" spans="19:27" x14ac:dyDescent="0.2">
      <c r="S2543" s="1"/>
      <c r="T2543" s="109"/>
      <c r="W2543" s="130" t="str">
        <f t="shared" si="49"/>
        <v>1w</v>
      </c>
      <c r="X2543" s="128">
        <f>_xll.qlCalendarAdvance(Calendar,X2542,W2543,"f",FALSE)</f>
        <v>57088</v>
      </c>
      <c r="Y2543" s="131">
        <f>_xll.qlCalendarAdvance(Calendar,X2543,NDays&amp;"D")</f>
        <v>57090</v>
      </c>
      <c r="Z2543" s="132">
        <v>1.4261741957971672E-2</v>
      </c>
      <c r="AA2543" s="129">
        <v>1.4300773353754792E-2</v>
      </c>
    </row>
    <row r="2544" spans="19:27" x14ac:dyDescent="0.2">
      <c r="S2544" s="1"/>
      <c r="T2544" s="109"/>
      <c r="W2544" s="130" t="str">
        <f t="shared" si="49"/>
        <v>1w</v>
      </c>
      <c r="X2544" s="128">
        <f>_xll.qlCalendarAdvance(Calendar,X2543,W2544,"f",FALSE)</f>
        <v>57095</v>
      </c>
      <c r="Y2544" s="131">
        <f>_xll.qlCalendarAdvance(Calendar,X2544,NDays&amp;"D")</f>
        <v>57097</v>
      </c>
      <c r="Z2544" s="132">
        <v>1.4251772009500476E-2</v>
      </c>
      <c r="AA2544" s="129">
        <v>1.4290636241565124E-2</v>
      </c>
    </row>
    <row r="2545" spans="19:27" x14ac:dyDescent="0.2">
      <c r="S2545" s="1"/>
      <c r="T2545" s="109"/>
      <c r="W2545" s="130" t="str">
        <f t="shared" si="49"/>
        <v>1w</v>
      </c>
      <c r="X2545" s="128">
        <f>_xll.qlCalendarAdvance(Calendar,X2544,W2545,"f",FALSE)</f>
        <v>57102</v>
      </c>
      <c r="Y2545" s="131">
        <f>_xll.qlCalendarAdvance(Calendar,X2545,NDays&amp;"D")</f>
        <v>57104</v>
      </c>
      <c r="Z2545" s="132">
        <v>1.4241411309035872E-2</v>
      </c>
      <c r="AA2545" s="129">
        <v>1.4280530640569111E-2</v>
      </c>
    </row>
    <row r="2546" spans="19:27" x14ac:dyDescent="0.2">
      <c r="S2546" s="1"/>
      <c r="T2546" s="109"/>
      <c r="W2546" s="130" t="str">
        <f t="shared" si="49"/>
        <v>1w</v>
      </c>
      <c r="X2546" s="128">
        <f>_xll.qlCalendarAdvance(Calendar,X2545,W2546,"f",FALSE)</f>
        <v>57109</v>
      </c>
      <c r="Y2546" s="131">
        <f>_xll.qlCalendarAdvance(Calendar,X2546,NDays&amp;"D")</f>
        <v>57111</v>
      </c>
      <c r="Z2546" s="132">
        <v>1.4231506526069889E-2</v>
      </c>
      <c r="AA2546" s="129">
        <v>1.427045655060688E-2</v>
      </c>
    </row>
    <row r="2547" spans="19:27" x14ac:dyDescent="0.2">
      <c r="S2547" s="1"/>
      <c r="T2547" s="109"/>
      <c r="W2547" s="130" t="str">
        <f t="shared" si="49"/>
        <v>1w</v>
      </c>
      <c r="X2547" s="128">
        <f>_xll.qlCalendarAdvance(Calendar,X2546,W2547,"f",FALSE)</f>
        <v>57116</v>
      </c>
      <c r="Y2547" s="131">
        <f>_xll.qlCalendarAdvance(Calendar,X2547,NDays&amp;"D")</f>
        <v>57118</v>
      </c>
      <c r="Z2547" s="132">
        <v>1.4221633392222016E-2</v>
      </c>
      <c r="AA2547" s="129">
        <v>1.4260413971758368E-2</v>
      </c>
    </row>
    <row r="2548" spans="19:27" x14ac:dyDescent="0.2">
      <c r="S2548" s="1"/>
      <c r="T2548" s="109"/>
      <c r="W2548" s="130" t="str">
        <f t="shared" si="49"/>
        <v>1w</v>
      </c>
      <c r="X2548" s="128">
        <f>_xll.qlCalendarAdvance(Calendar,X2547,W2548,"f",FALSE)</f>
        <v>57123</v>
      </c>
      <c r="Y2548" s="131">
        <f>_xll.qlCalendarAdvance(Calendar,X2548,NDays&amp;"D")</f>
        <v>57125</v>
      </c>
      <c r="Z2548" s="132">
        <v>1.4211791907252443E-2</v>
      </c>
      <c r="AA2548" s="129">
        <v>1.425040290410351E-2</v>
      </c>
    </row>
    <row r="2549" spans="19:27" x14ac:dyDescent="0.2">
      <c r="S2549" s="1"/>
      <c r="T2549" s="109"/>
      <c r="W2549" s="130" t="str">
        <f t="shared" si="49"/>
        <v>1w</v>
      </c>
      <c r="X2549" s="128">
        <f>_xll.qlCalendarAdvance(Calendar,X2548,W2549,"f",FALSE)</f>
        <v>57130</v>
      </c>
      <c r="Y2549" s="131">
        <f>_xll.qlCalendarAdvance(Calendar,X2549,NDays&amp;"D")</f>
        <v>57132</v>
      </c>
      <c r="Z2549" s="132">
        <v>1.4201982070925708E-2</v>
      </c>
      <c r="AA2549" s="129">
        <v>1.4240423347642306E-2</v>
      </c>
    </row>
    <row r="2550" spans="19:27" x14ac:dyDescent="0.2">
      <c r="S2550" s="1"/>
      <c r="T2550" s="109"/>
      <c r="W2550" s="130" t="str">
        <f t="shared" si="49"/>
        <v>1w</v>
      </c>
      <c r="X2550" s="128">
        <f>_xll.qlCalendarAdvance(Calendar,X2549,W2550,"f",FALSE)</f>
        <v>57137</v>
      </c>
      <c r="Y2550" s="131">
        <f>_xll.qlCalendarAdvance(Calendar,X2550,NDays&amp;"D")</f>
        <v>57139</v>
      </c>
      <c r="Z2550" s="132">
        <v>1.4192203883000264E-2</v>
      </c>
      <c r="AA2550" s="129">
        <v>1.423047530229482E-2</v>
      </c>
    </row>
    <row r="2551" spans="19:27" x14ac:dyDescent="0.2">
      <c r="S2551" s="1"/>
      <c r="T2551" s="109"/>
      <c r="W2551" s="130" t="str">
        <f t="shared" si="49"/>
        <v>1w</v>
      </c>
      <c r="X2551" s="128">
        <f>_xll.qlCalendarAdvance(Calendar,X2550,W2551,"f",FALSE)</f>
        <v>57144</v>
      </c>
      <c r="Y2551" s="131">
        <f>_xll.qlCalendarAdvance(Calendar,X2551,NDays&amp;"D")</f>
        <v>57146</v>
      </c>
      <c r="Z2551" s="132">
        <v>1.4182457343244121E-2</v>
      </c>
      <c r="AA2551" s="129">
        <v>1.4220558768220926E-2</v>
      </c>
    </row>
    <row r="2552" spans="19:27" x14ac:dyDescent="0.2">
      <c r="S2552" s="1"/>
      <c r="T2552" s="109"/>
      <c r="W2552" s="130" t="str">
        <f t="shared" si="49"/>
        <v>1w</v>
      </c>
      <c r="X2552" s="128">
        <f>_xll.qlCalendarAdvance(Calendar,X2551,W2552,"f",FALSE)</f>
        <v>57151</v>
      </c>
      <c r="Y2552" s="131">
        <f>_xll.qlCalendarAdvance(Calendar,X2552,NDays&amp;"D")</f>
        <v>57153</v>
      </c>
      <c r="Z2552" s="132">
        <v>1.4172742451419211E-2</v>
      </c>
      <c r="AA2552" s="129">
        <v>1.4210673745020941E-2</v>
      </c>
    </row>
    <row r="2553" spans="19:27" x14ac:dyDescent="0.2">
      <c r="S2553" s="1"/>
      <c r="T2553" s="109"/>
      <c r="W2553" s="130" t="str">
        <f t="shared" si="49"/>
        <v>1w</v>
      </c>
      <c r="X2553" s="128">
        <f>_xll.qlCalendarAdvance(Calendar,X2552,W2553,"f",FALSE)</f>
        <v>57158</v>
      </c>
      <c r="Y2553" s="131">
        <f>_xll.qlCalendarAdvance(Calendar,X2553,NDays&amp;"D")</f>
        <v>57160</v>
      </c>
      <c r="Z2553" s="132">
        <v>1.4163059207290069E-2</v>
      </c>
      <c r="AA2553" s="129">
        <v>1.4200820232934674E-2</v>
      </c>
    </row>
    <row r="2554" spans="19:27" x14ac:dyDescent="0.2">
      <c r="S2554" s="1"/>
      <c r="T2554" s="109"/>
      <c r="W2554" s="130" t="str">
        <f t="shared" si="49"/>
        <v>1w</v>
      </c>
      <c r="X2554" s="128">
        <f>_xll.qlCalendarAdvance(Calendar,X2553,W2554,"f",FALSE)</f>
        <v>57165</v>
      </c>
      <c r="Y2554" s="131">
        <f>_xll.qlCalendarAdvance(Calendar,X2554,NDays&amp;"D")</f>
        <v>57167</v>
      </c>
      <c r="Z2554" s="132">
        <v>1.4153407610625578E-2</v>
      </c>
      <c r="AA2554" s="129">
        <v>1.4190998232201935E-2</v>
      </c>
    </row>
    <row r="2555" spans="19:27" x14ac:dyDescent="0.2">
      <c r="S2555" s="1"/>
      <c r="T2555" s="109"/>
      <c r="W2555" s="130" t="str">
        <f t="shared" si="49"/>
        <v>1w</v>
      </c>
      <c r="X2555" s="128">
        <f>_xll.qlCalendarAdvance(Calendar,X2554,W2555,"f",FALSE)</f>
        <v>57172</v>
      </c>
      <c r="Y2555" s="131">
        <f>_xll.qlCalendarAdvance(Calendar,X2555,NDays&amp;"D")</f>
        <v>57174</v>
      </c>
      <c r="Z2555" s="132">
        <v>1.4143787661190269E-2</v>
      </c>
      <c r="AA2555" s="129">
        <v>1.4181207742582913E-2</v>
      </c>
    </row>
    <row r="2556" spans="19:27" x14ac:dyDescent="0.2">
      <c r="S2556" s="1"/>
      <c r="T2556" s="109"/>
      <c r="W2556" s="130" t="str">
        <f t="shared" si="49"/>
        <v>1w</v>
      </c>
      <c r="X2556" s="128">
        <f>_xll.qlCalendarAdvance(Calendar,X2555,W2556,"f",FALSE)</f>
        <v>57179</v>
      </c>
      <c r="Y2556" s="131">
        <f>_xll.qlCalendarAdvance(Calendar,X2556,NDays&amp;"D")</f>
        <v>57181</v>
      </c>
      <c r="Z2556" s="132">
        <v>1.4134199358753027E-2</v>
      </c>
      <c r="AA2556" s="129">
        <v>1.4171448763997674E-2</v>
      </c>
    </row>
    <row r="2557" spans="19:27" x14ac:dyDescent="0.2">
      <c r="S2557" s="1"/>
      <c r="T2557" s="109"/>
      <c r="W2557" s="130" t="str">
        <f t="shared" si="49"/>
        <v>1w</v>
      </c>
      <c r="X2557" s="128">
        <f>_xll.qlCalendarAdvance(Calendar,X2556,W2557,"f",FALSE)</f>
        <v>57186</v>
      </c>
      <c r="Y2557" s="131">
        <f>_xll.qlCalendarAdvance(Calendar,X2557,NDays&amp;"D")</f>
        <v>57188</v>
      </c>
      <c r="Z2557" s="132">
        <v>1.4124642703081863E-2</v>
      </c>
      <c r="AA2557" s="129">
        <v>1.4161721296526153E-2</v>
      </c>
    </row>
    <row r="2558" spans="19:27" x14ac:dyDescent="0.2">
      <c r="S2558" s="1"/>
      <c r="T2558" s="109"/>
      <c r="W2558" s="130" t="str">
        <f t="shared" si="49"/>
        <v>1w</v>
      </c>
      <c r="X2558" s="128">
        <f>_xll.qlCalendarAdvance(Calendar,X2557,W2558,"f",FALSE)</f>
        <v>57193</v>
      </c>
      <c r="Y2558" s="131">
        <f>_xll.qlCalendarAdvance(Calendar,X2558,NDays&amp;"D")</f>
        <v>57195</v>
      </c>
      <c r="Z2558" s="132">
        <v>1.4115117693943918E-2</v>
      </c>
      <c r="AA2558" s="129">
        <v>1.415202534016835E-2</v>
      </c>
    </row>
    <row r="2559" spans="19:27" x14ac:dyDescent="0.2">
      <c r="S2559" s="1"/>
      <c r="T2559" s="109"/>
      <c r="W2559" s="130" t="str">
        <f t="shared" si="49"/>
        <v>1w</v>
      </c>
      <c r="X2559" s="128">
        <f>_xll.qlCalendarAdvance(Calendar,X2558,W2559,"f",FALSE)</f>
        <v>57200</v>
      </c>
      <c r="Y2559" s="131">
        <f>_xll.qlCalendarAdvance(Calendar,X2559,NDays&amp;"D")</f>
        <v>57202</v>
      </c>
      <c r="Z2559" s="132">
        <v>1.4105624331112419E-2</v>
      </c>
      <c r="AA2559" s="129">
        <v>1.4142360895004202E-2</v>
      </c>
    </row>
    <row r="2560" spans="19:27" x14ac:dyDescent="0.2">
      <c r="S2560" s="1"/>
      <c r="T2560" s="109"/>
      <c r="W2560" s="130" t="str">
        <f t="shared" si="49"/>
        <v>1w</v>
      </c>
      <c r="X2560" s="128">
        <f>_xll.qlCalendarAdvance(Calendar,X2559,W2560,"f",FALSE)</f>
        <v>57207</v>
      </c>
      <c r="Y2560" s="131">
        <f>_xll.qlCalendarAdvance(Calendar,X2560,NDays&amp;"D")</f>
        <v>57209</v>
      </c>
      <c r="Z2560" s="132">
        <v>1.4096162614356245E-2</v>
      </c>
      <c r="AA2560" s="129">
        <v>1.41327279607939E-2</v>
      </c>
    </row>
    <row r="2561" spans="19:27" x14ac:dyDescent="0.2">
      <c r="S2561" s="1"/>
      <c r="T2561" s="109"/>
      <c r="W2561" s="130" t="str">
        <f t="shared" si="49"/>
        <v>1w</v>
      </c>
      <c r="X2561" s="128">
        <f>_xll.qlCalendarAdvance(Calendar,X2560,W2561,"f",FALSE)</f>
        <v>57214</v>
      </c>
      <c r="Y2561" s="131">
        <f>_xll.qlCalendarAdvance(Calendar,X2561,NDays&amp;"D")</f>
        <v>57216</v>
      </c>
      <c r="Z2561" s="132">
        <v>1.4086732543446882E-2</v>
      </c>
      <c r="AA2561" s="129">
        <v>1.4123126537857189E-2</v>
      </c>
    </row>
    <row r="2562" spans="19:27" x14ac:dyDescent="0.2">
      <c r="S2562" s="1"/>
      <c r="T2562" s="109"/>
      <c r="W2562" s="130" t="str">
        <f t="shared" si="49"/>
        <v>1w</v>
      </c>
      <c r="X2562" s="128">
        <f>_xll.qlCalendarAdvance(Calendar,X2561,W2562,"f",FALSE)</f>
        <v>57221</v>
      </c>
      <c r="Y2562" s="131">
        <f>_xll.qlCalendarAdvance(Calendar,X2562,NDays&amp;"D")</f>
        <v>57223</v>
      </c>
      <c r="Z2562" s="132">
        <v>1.4077724532965696E-2</v>
      </c>
      <c r="AA2562" s="129">
        <v>1.4113556626114132E-2</v>
      </c>
    </row>
    <row r="2563" spans="19:27" x14ac:dyDescent="0.2">
      <c r="S2563" s="1"/>
      <c r="T2563" s="109"/>
      <c r="W2563" s="130" t="str">
        <f t="shared" si="49"/>
        <v>1w</v>
      </c>
      <c r="X2563" s="128">
        <f>_xll.qlCalendarAdvance(Calendar,X2562,W2563,"f",FALSE)</f>
        <v>57228</v>
      </c>
      <c r="Y2563" s="131">
        <f>_xll.qlCalendarAdvance(Calendar,X2563,NDays&amp;"D")</f>
        <v>57230</v>
      </c>
      <c r="Z2563" s="132">
        <v>1.4068355858295358E-2</v>
      </c>
      <c r="AA2563" s="129">
        <v>1.4104018225244985E-2</v>
      </c>
    </row>
    <row r="2564" spans="19:27" x14ac:dyDescent="0.2">
      <c r="S2564" s="1"/>
      <c r="T2564" s="109"/>
      <c r="W2564" s="130" t="str">
        <f t="shared" si="49"/>
        <v>1w</v>
      </c>
      <c r="X2564" s="128">
        <f>_xll.qlCalendarAdvance(Calendar,X2563,W2564,"f",FALSE)</f>
        <v>57235</v>
      </c>
      <c r="Y2564" s="131">
        <f>_xll.qlCalendarAdvance(Calendar,X2564,NDays&amp;"D")</f>
        <v>57237</v>
      </c>
      <c r="Z2564" s="132">
        <v>1.4059018827330698E-2</v>
      </c>
      <c r="AA2564" s="129">
        <v>1.4094511335569493E-2</v>
      </c>
    </row>
    <row r="2565" spans="19:27" x14ac:dyDescent="0.2">
      <c r="S2565" s="1"/>
      <c r="T2565" s="109"/>
      <c r="W2565" s="130" t="str">
        <f t="shared" si="49"/>
        <v>1w</v>
      </c>
      <c r="X2565" s="128">
        <f>_xll.qlCalendarAdvance(Calendar,X2564,W2565,"f",FALSE)</f>
        <v>57242</v>
      </c>
      <c r="Y2565" s="131">
        <f>_xll.qlCalendarAdvance(Calendar,X2565,NDays&amp;"D")</f>
        <v>57244</v>
      </c>
      <c r="Z2565" s="132">
        <v>1.4049713439847721E-2</v>
      </c>
      <c r="AA2565" s="129">
        <v>1.4085035957007719E-2</v>
      </c>
    </row>
    <row r="2566" spans="19:27" x14ac:dyDescent="0.2">
      <c r="S2566" s="1"/>
      <c r="T2566" s="109"/>
      <c r="W2566" s="130" t="str">
        <f t="shared" si="49"/>
        <v>1w</v>
      </c>
      <c r="X2566" s="128">
        <f>_xll.qlCalendarAdvance(Calendar,X2565,W2566,"f",FALSE)</f>
        <v>57249</v>
      </c>
      <c r="Y2566" s="131">
        <f>_xll.qlCalendarAdvance(Calendar,X2566,NDays&amp;"D")</f>
        <v>57251</v>
      </c>
      <c r="Z2566" s="132">
        <v>1.4040439695624183E-2</v>
      </c>
      <c r="AA2566" s="129">
        <v>1.4075592089559663E-2</v>
      </c>
    </row>
    <row r="2567" spans="19:27" x14ac:dyDescent="0.2">
      <c r="S2567" s="1"/>
      <c r="T2567" s="109"/>
      <c r="W2567" s="130" t="str">
        <f t="shared" si="49"/>
        <v>1w</v>
      </c>
      <c r="X2567" s="128">
        <f>_xll.qlCalendarAdvance(Calendar,X2566,W2567,"f",FALSE)</f>
        <v>57256</v>
      </c>
      <c r="Y2567" s="131">
        <f>_xll.qlCalendarAdvance(Calendar,X2567,NDays&amp;"D")</f>
        <v>57258</v>
      </c>
      <c r="Z2567" s="132">
        <v>1.4030816668062208E-2</v>
      </c>
      <c r="AA2567" s="129">
        <v>1.4066179733225326E-2</v>
      </c>
    </row>
    <row r="2568" spans="19:27" x14ac:dyDescent="0.2">
      <c r="S2568" s="1"/>
      <c r="T2568" s="109"/>
      <c r="W2568" s="130" t="str">
        <f t="shared" si="49"/>
        <v>1w</v>
      </c>
      <c r="X2568" s="128">
        <f>_xll.qlCalendarAdvance(Calendar,X2567,W2568,"f",FALSE)</f>
        <v>57263</v>
      </c>
      <c r="Y2568" s="131">
        <f>_xll.qlCalendarAdvance(Calendar,X2568,NDays&amp;"D")</f>
        <v>57265</v>
      </c>
      <c r="Z2568" s="132">
        <v>1.4021608111741257E-2</v>
      </c>
      <c r="AA2568" s="129">
        <v>1.4056798887924771E-2</v>
      </c>
    </row>
    <row r="2569" spans="19:27" x14ac:dyDescent="0.2">
      <c r="S2569" s="1"/>
      <c r="T2569" s="109"/>
      <c r="W2569" s="130" t="str">
        <f t="shared" si="49"/>
        <v>1w</v>
      </c>
      <c r="X2569" s="128">
        <f>_xll.qlCalendarAdvance(Calendar,X2568,W2569,"f",FALSE)</f>
        <v>57270</v>
      </c>
      <c r="Y2569" s="131">
        <f>_xll.qlCalendarAdvance(Calendar,X2569,NDays&amp;"D")</f>
        <v>57272</v>
      </c>
      <c r="Z2569" s="132">
        <v>1.4012431199465951E-2</v>
      </c>
      <c r="AA2569" s="129">
        <v>1.4047449553737934E-2</v>
      </c>
    </row>
    <row r="2570" spans="19:27" x14ac:dyDescent="0.2">
      <c r="S2570" s="1"/>
      <c r="T2570" s="109"/>
      <c r="W2570" s="130" t="str">
        <f t="shared" si="49"/>
        <v>1w</v>
      </c>
      <c r="X2570" s="128">
        <f>_xll.qlCalendarAdvance(Calendar,X2569,W2570,"f",FALSE)</f>
        <v>57277</v>
      </c>
      <c r="Y2570" s="131">
        <f>_xll.qlCalendarAdvance(Calendar,X2570,NDays&amp;"D")</f>
        <v>57279</v>
      </c>
      <c r="Z2570" s="132">
        <v>1.4003285931015597E-2</v>
      </c>
      <c r="AA2570" s="129">
        <v>1.4038131730664816E-2</v>
      </c>
    </row>
    <row r="2571" spans="19:27" x14ac:dyDescent="0.2">
      <c r="S2571" s="1"/>
      <c r="T2571" s="109"/>
      <c r="W2571" s="130" t="str">
        <f t="shared" si="49"/>
        <v>1w</v>
      </c>
      <c r="X2571" s="128">
        <f>_xll.qlCalendarAdvance(Calendar,X2570,W2571,"f",FALSE)</f>
        <v>57284</v>
      </c>
      <c r="Y2571" s="131">
        <f>_xll.qlCalendarAdvance(Calendar,X2571,NDays&amp;"D")</f>
        <v>57286</v>
      </c>
      <c r="Z2571" s="132">
        <v>1.3994172306166026E-2</v>
      </c>
      <c r="AA2571" s="129">
        <v>1.402884541862548E-2</v>
      </c>
    </row>
    <row r="2572" spans="19:27" x14ac:dyDescent="0.2">
      <c r="S2572" s="1"/>
      <c r="T2572" s="109"/>
      <c r="W2572" s="130" t="str">
        <f t="shared" si="49"/>
        <v>1w</v>
      </c>
      <c r="X2572" s="128">
        <f>_xll.qlCalendarAdvance(Calendar,X2571,W2572,"f",FALSE)</f>
        <v>57291</v>
      </c>
      <c r="Y2572" s="131">
        <f>_xll.qlCalendarAdvance(Calendar,X2572,NDays&amp;"D")</f>
        <v>57293</v>
      </c>
      <c r="Z2572" s="132">
        <v>1.3985090324700021E-2</v>
      </c>
      <c r="AA2572" s="129">
        <v>1.4019590617619926E-2</v>
      </c>
    </row>
    <row r="2573" spans="19:27" x14ac:dyDescent="0.2">
      <c r="S2573" s="1"/>
      <c r="T2573" s="109"/>
      <c r="W2573" s="130" t="str">
        <f t="shared" si="49"/>
        <v>1w</v>
      </c>
      <c r="X2573" s="128">
        <f>_xll.qlCalendarAdvance(Calendar,X2572,W2573,"f",FALSE)</f>
        <v>57298</v>
      </c>
      <c r="Y2573" s="131">
        <f>_xll.qlCalendarAdvance(Calendar,X2573,NDays&amp;"D")</f>
        <v>57300</v>
      </c>
      <c r="Z2573" s="132">
        <v>1.397603998639515E-2</v>
      </c>
      <c r="AA2573" s="129">
        <v>1.4010367327808027E-2</v>
      </c>
    </row>
    <row r="2574" spans="19:27" x14ac:dyDescent="0.2">
      <c r="S2574" s="1"/>
      <c r="T2574" s="109"/>
      <c r="W2574" s="130" t="str">
        <f t="shared" si="49"/>
        <v>1w</v>
      </c>
      <c r="X2574" s="128">
        <f>_xll.qlCalendarAdvance(Calendar,X2573,W2574,"f",FALSE)</f>
        <v>57305</v>
      </c>
      <c r="Y2574" s="131">
        <f>_xll.qlCalendarAdvance(Calendar,X2574,NDays&amp;"D")</f>
        <v>57307</v>
      </c>
      <c r="Z2574" s="132">
        <v>1.3967021291037673E-2</v>
      </c>
      <c r="AA2574" s="129">
        <v>1.4001175549029909E-2</v>
      </c>
    </row>
    <row r="2575" spans="19:27" x14ac:dyDescent="0.2">
      <c r="S2575" s="1"/>
      <c r="T2575" s="109"/>
      <c r="W2575" s="130" t="str">
        <f t="shared" si="49"/>
        <v>1w</v>
      </c>
      <c r="X2575" s="128">
        <f>_xll.qlCalendarAdvance(Calendar,X2574,W2575,"f",FALSE)</f>
        <v>57312</v>
      </c>
      <c r="Y2575" s="131">
        <f>_xll.qlCalendarAdvance(Calendar,X2575,NDays&amp;"D")</f>
        <v>57314</v>
      </c>
      <c r="Z2575" s="132">
        <v>1.395876575047339E-2</v>
      </c>
      <c r="AA2575" s="129">
        <v>1.3992015281285575E-2</v>
      </c>
    </row>
    <row r="2576" spans="19:27" x14ac:dyDescent="0.2">
      <c r="S2576" s="1"/>
      <c r="T2576" s="109"/>
      <c r="W2576" s="130" t="str">
        <f t="shared" si="49"/>
        <v>1w</v>
      </c>
      <c r="X2576" s="128">
        <f>_xll.qlCalendarAdvance(Calendar,X2575,W2576,"f",FALSE)</f>
        <v>57319</v>
      </c>
      <c r="Y2576" s="131">
        <f>_xll.qlCalendarAdvance(Calendar,X2576,NDays&amp;"D")</f>
        <v>57321</v>
      </c>
      <c r="Z2576" s="132">
        <v>1.3949806513400276E-2</v>
      </c>
      <c r="AA2576" s="129">
        <v>1.398288652481483E-2</v>
      </c>
    </row>
    <row r="2577" spans="19:27" x14ac:dyDescent="0.2">
      <c r="S2577" s="1"/>
      <c r="T2577" s="109"/>
      <c r="W2577" s="130" t="str">
        <f t="shared" si="49"/>
        <v>1w</v>
      </c>
      <c r="X2577" s="128">
        <f>_xll.qlCalendarAdvance(Calendar,X2576,W2577,"f",FALSE)</f>
        <v>57326</v>
      </c>
      <c r="Y2577" s="131">
        <f>_xll.qlCalendarAdvance(Calendar,X2577,NDays&amp;"D")</f>
        <v>57328</v>
      </c>
      <c r="Z2577" s="132">
        <v>1.3940878915757793E-2</v>
      </c>
      <c r="AA2577" s="129">
        <v>1.3973789279297932E-2</v>
      </c>
    </row>
    <row r="2578" spans="19:27" x14ac:dyDescent="0.2">
      <c r="S2578" s="1"/>
      <c r="T2578" s="109"/>
      <c r="W2578" s="130" t="str">
        <f t="shared" si="49"/>
        <v>1w</v>
      </c>
      <c r="X2578" s="128">
        <f>_xll.qlCalendarAdvance(Calendar,X2577,W2578,"f",FALSE)</f>
        <v>57333</v>
      </c>
      <c r="Y2578" s="131">
        <f>_xll.qlCalendarAdvance(Calendar,X2578,NDays&amp;"D")</f>
        <v>57335</v>
      </c>
      <c r="Z2578" s="132">
        <v>1.3931982957338995E-2</v>
      </c>
      <c r="AA2578" s="129">
        <v>1.3964723544814817E-2</v>
      </c>
    </row>
    <row r="2579" spans="19:27" x14ac:dyDescent="0.2">
      <c r="S2579" s="1"/>
      <c r="T2579" s="109"/>
      <c r="W2579" s="130" t="str">
        <f t="shared" si="49"/>
        <v>1w</v>
      </c>
      <c r="X2579" s="128">
        <f>_xll.qlCalendarAdvance(Calendar,X2578,W2579,"f",FALSE)</f>
        <v>57341</v>
      </c>
      <c r="Y2579" s="131">
        <f>_xll.qlCalendarAdvance(Calendar,X2579,NDays&amp;"D")</f>
        <v>57343</v>
      </c>
      <c r="Z2579" s="132">
        <v>1.3921496982998235E-2</v>
      </c>
      <c r="AA2579" s="129">
        <v>1.3953282003560386E-2</v>
      </c>
    </row>
    <row r="2580" spans="19:27" x14ac:dyDescent="0.2">
      <c r="S2580" s="1"/>
      <c r="T2580" s="109"/>
      <c r="W2580" s="130" t="str">
        <f t="shared" si="49"/>
        <v>1w</v>
      </c>
      <c r="X2580" s="128">
        <f>_xll.qlCalendarAdvance(Calendar,X2579,W2580,"f",FALSE)</f>
        <v>57348</v>
      </c>
      <c r="Y2580" s="131">
        <f>_xll.qlCalendarAdvance(Calendar,X2580,NDays&amp;"D")</f>
        <v>57350</v>
      </c>
      <c r="Z2580" s="132">
        <v>1.3913026728556765E-2</v>
      </c>
      <c r="AA2580" s="129">
        <v>1.3944660521545416E-2</v>
      </c>
    </row>
    <row r="2581" spans="19:27" x14ac:dyDescent="0.2">
      <c r="S2581" s="1"/>
      <c r="T2581" s="109"/>
      <c r="W2581" s="130" t="str">
        <f t="shared" ref="W2581:W2644" si="50">W2580</f>
        <v>1w</v>
      </c>
      <c r="X2581" s="128">
        <f>_xll.qlCalendarAdvance(Calendar,X2580,W2581,"f",FALSE)</f>
        <v>57355</v>
      </c>
      <c r="Y2581" s="131">
        <f>_xll.qlCalendarAdvance(Calendar,X2581,NDays&amp;"D")</f>
        <v>57357</v>
      </c>
      <c r="Z2581" s="132">
        <v>1.390423020632614E-2</v>
      </c>
      <c r="AA2581" s="129">
        <v>1.3935697629383625E-2</v>
      </c>
    </row>
    <row r="2582" spans="19:27" x14ac:dyDescent="0.2">
      <c r="S2582" s="1"/>
      <c r="T2582" s="109"/>
      <c r="W2582" s="130" t="str">
        <f t="shared" si="50"/>
        <v>1w</v>
      </c>
      <c r="X2582" s="128">
        <f>_xll.qlCalendarAdvance(Calendar,X2581,W2582,"f",FALSE)</f>
        <v>57362</v>
      </c>
      <c r="Y2582" s="131">
        <f>_xll.qlCalendarAdvance(Calendar,X2582,NDays&amp;"D")</f>
        <v>57364</v>
      </c>
      <c r="Z2582" s="132">
        <v>1.3895465322450562E-2</v>
      </c>
      <c r="AA2582" s="129">
        <v>1.3926766251159961E-2</v>
      </c>
    </row>
    <row r="2583" spans="19:27" x14ac:dyDescent="0.2">
      <c r="S2583" s="1"/>
      <c r="T2583" s="109"/>
      <c r="W2583" s="130" t="str">
        <f t="shared" si="50"/>
        <v>1w</v>
      </c>
      <c r="X2583" s="128">
        <f>_xll.qlCalendarAdvance(Calendar,X2582,W2583,"f",FALSE)</f>
        <v>57369</v>
      </c>
      <c r="Y2583" s="131">
        <f>_xll.qlCalendarAdvance(Calendar,X2583,NDays&amp;"D")</f>
        <v>57371</v>
      </c>
      <c r="Z2583" s="132">
        <v>1.3886732076724861E-2</v>
      </c>
      <c r="AA2583" s="129">
        <v>1.3917866386874422E-2</v>
      </c>
    </row>
    <row r="2584" spans="19:27" x14ac:dyDescent="0.2">
      <c r="S2584" s="1"/>
      <c r="T2584" s="109"/>
      <c r="W2584" s="130" t="str">
        <f t="shared" si="50"/>
        <v>1w</v>
      </c>
      <c r="X2584" s="128">
        <f>_xll.qlCalendarAdvance(Calendar,X2583,W2584,"f",FALSE)</f>
        <v>57376</v>
      </c>
      <c r="Y2584" s="131">
        <f>_xll.qlCalendarAdvance(Calendar,X2584,NDays&amp;"D")</f>
        <v>57378</v>
      </c>
      <c r="Z2584" s="132">
        <v>1.3878378939330428E-2</v>
      </c>
      <c r="AA2584" s="129">
        <v>1.3908998036500364E-2</v>
      </c>
    </row>
    <row r="2585" spans="19:27" x14ac:dyDescent="0.2">
      <c r="S2585" s="1"/>
      <c r="T2585" s="109"/>
      <c r="W2585" s="130" t="str">
        <f t="shared" si="50"/>
        <v>1w</v>
      </c>
      <c r="X2585" s="128">
        <f>_xll.qlCalendarAdvance(Calendar,X2584,W2585,"f",FALSE)</f>
        <v>57383</v>
      </c>
      <c r="Y2585" s="131">
        <f>_xll.qlCalendarAdvance(Calendar,X2585,NDays&amp;"D")</f>
        <v>57385</v>
      </c>
      <c r="Z2585" s="132">
        <v>1.3869707043101007E-2</v>
      </c>
      <c r="AA2585" s="129">
        <v>1.3900161200037786E-2</v>
      </c>
    </row>
    <row r="2586" spans="19:27" x14ac:dyDescent="0.2">
      <c r="S2586" s="1"/>
      <c r="T2586" s="109"/>
      <c r="W2586" s="130" t="str">
        <f t="shared" si="50"/>
        <v>1w</v>
      </c>
      <c r="X2586" s="128">
        <f>_xll.qlCalendarAdvance(Calendar,X2585,W2586,"f",FALSE)</f>
        <v>57390</v>
      </c>
      <c r="Y2586" s="131">
        <f>_xll.qlCalendarAdvance(Calendar,X2586,NDays&amp;"D")</f>
        <v>57392</v>
      </c>
      <c r="Z2586" s="132">
        <v>1.386106678299452E-2</v>
      </c>
      <c r="AA2586" s="129">
        <v>1.3891355877513334E-2</v>
      </c>
    </row>
    <row r="2587" spans="19:27" x14ac:dyDescent="0.2">
      <c r="S2587" s="1"/>
      <c r="T2587" s="109"/>
      <c r="W2587" s="130" t="str">
        <f t="shared" si="50"/>
        <v>1w</v>
      </c>
      <c r="X2587" s="128">
        <f>_xll.qlCalendarAdvance(Calendar,X2586,W2587,"f",FALSE)</f>
        <v>57397</v>
      </c>
      <c r="Y2587" s="131">
        <f>_xll.qlCalendarAdvance(Calendar,X2587,NDays&amp;"D")</f>
        <v>57399</v>
      </c>
      <c r="Z2587" s="132">
        <v>1.3852458158806188E-2</v>
      </c>
      <c r="AA2587" s="129">
        <v>1.3882582068873717E-2</v>
      </c>
    </row>
    <row r="2588" spans="19:27" x14ac:dyDescent="0.2">
      <c r="S2588" s="1"/>
      <c r="T2588" s="109"/>
      <c r="W2588" s="130" t="str">
        <f t="shared" si="50"/>
        <v>1w</v>
      </c>
      <c r="X2588" s="128">
        <f>_xll.qlCalendarAdvance(Calendar,X2587,W2588,"f",FALSE)</f>
        <v>57404</v>
      </c>
      <c r="Y2588" s="131">
        <f>_xll.qlCalendarAdvance(Calendar,X2588,NDays&amp;"D")</f>
        <v>57406</v>
      </c>
      <c r="Z2588" s="132">
        <v>1.384217913871817E-2</v>
      </c>
      <c r="AA2588" s="129">
        <v>1.3873839774172225E-2</v>
      </c>
    </row>
    <row r="2589" spans="19:27" x14ac:dyDescent="0.2">
      <c r="S2589" s="1"/>
      <c r="T2589" s="109"/>
      <c r="W2589" s="130" t="str">
        <f t="shared" si="50"/>
        <v>1w</v>
      </c>
      <c r="X2589" s="128">
        <f>_xll.qlCalendarAdvance(Calendar,X2588,W2589,"f",FALSE)</f>
        <v>57411</v>
      </c>
      <c r="Y2589" s="131">
        <f>_xll.qlCalendarAdvance(Calendar,X2589,NDays&amp;"D")</f>
        <v>57413</v>
      </c>
      <c r="Z2589" s="132">
        <v>1.3833643446678182E-2</v>
      </c>
      <c r="AA2589" s="129">
        <v>1.3865128993355569E-2</v>
      </c>
    </row>
    <row r="2590" spans="19:27" x14ac:dyDescent="0.2">
      <c r="S2590" s="1"/>
      <c r="T2590" s="109"/>
      <c r="W2590" s="130" t="str">
        <f t="shared" si="50"/>
        <v>1w</v>
      </c>
      <c r="X2590" s="128">
        <f>_xll.qlCalendarAdvance(Calendar,X2589,W2590,"f",FALSE)</f>
        <v>57418</v>
      </c>
      <c r="Y2590" s="131">
        <f>_xll.qlCalendarAdvance(Calendar,X2590,NDays&amp;"D")</f>
        <v>57420</v>
      </c>
      <c r="Z2590" s="132">
        <v>1.3825139396958447E-2</v>
      </c>
      <c r="AA2590" s="129">
        <v>1.3856449726423747E-2</v>
      </c>
    </row>
    <row r="2591" spans="19:27" x14ac:dyDescent="0.2">
      <c r="S2591" s="1"/>
      <c r="T2591" s="109"/>
      <c r="W2591" s="130" t="str">
        <f t="shared" si="50"/>
        <v>1w</v>
      </c>
      <c r="X2591" s="128">
        <f>_xll.qlCalendarAdvance(Calendar,X2590,W2591,"f",FALSE)</f>
        <v>57425</v>
      </c>
      <c r="Y2591" s="131">
        <f>_xll.qlCalendarAdvance(Calendar,X2591,NDays&amp;"D")</f>
        <v>57427</v>
      </c>
      <c r="Z2591" s="132">
        <v>1.3816666989348072E-2</v>
      </c>
      <c r="AA2591" s="129">
        <v>1.3847801973376761E-2</v>
      </c>
    </row>
    <row r="2592" spans="19:27" x14ac:dyDescent="0.2">
      <c r="S2592" s="1"/>
      <c r="T2592" s="109"/>
      <c r="W2592" s="130" t="str">
        <f t="shared" si="50"/>
        <v>1w</v>
      </c>
      <c r="X2592" s="128">
        <f>_xll.qlCalendarAdvance(Calendar,X2591,W2592,"f",FALSE)</f>
        <v>57432</v>
      </c>
      <c r="Y2592" s="131">
        <f>_xll.qlCalendarAdvance(Calendar,X2592,NDays&amp;"D")</f>
        <v>57434</v>
      </c>
      <c r="Z2592" s="132">
        <v>1.3809223702617444E-2</v>
      </c>
      <c r="AA2592" s="129">
        <v>1.3839185734187964E-2</v>
      </c>
    </row>
    <row r="2593" spans="19:27" x14ac:dyDescent="0.2">
      <c r="S2593" s="1"/>
      <c r="T2593" s="109"/>
      <c r="W2593" s="130" t="str">
        <f t="shared" si="50"/>
        <v>1w</v>
      </c>
      <c r="X2593" s="128">
        <f>_xll.qlCalendarAdvance(Calendar,X2592,W2593,"f",FALSE)</f>
        <v>57439</v>
      </c>
      <c r="Y2593" s="131">
        <f>_xll.qlCalendarAdvance(Calendar,X2593,NDays&amp;"D")</f>
        <v>57441</v>
      </c>
      <c r="Z2593" s="132">
        <v>1.3800808764727206E-2</v>
      </c>
      <c r="AA2593" s="129">
        <v>1.3830601008884003E-2</v>
      </c>
    </row>
    <row r="2594" spans="19:27" x14ac:dyDescent="0.2">
      <c r="S2594" s="1"/>
      <c r="T2594" s="109"/>
      <c r="W2594" s="130" t="str">
        <f t="shared" si="50"/>
        <v>1w</v>
      </c>
      <c r="X2594" s="128">
        <f>_xll.qlCalendarAdvance(Calendar,X2593,W2594,"f",FALSE)</f>
        <v>57446</v>
      </c>
      <c r="Y2594" s="131">
        <f>_xll.qlCalendarAdvance(Calendar,X2594,NDays&amp;"D")</f>
        <v>57448</v>
      </c>
      <c r="Z2594" s="132">
        <v>1.3792425464147764E-2</v>
      </c>
      <c r="AA2594" s="129">
        <v>1.3822047797438231E-2</v>
      </c>
    </row>
    <row r="2595" spans="19:27" x14ac:dyDescent="0.2">
      <c r="S2595" s="1"/>
      <c r="T2595" s="109"/>
      <c r="W2595" s="130" t="str">
        <f t="shared" si="50"/>
        <v>1w</v>
      </c>
      <c r="X2595" s="128">
        <f>_xll.qlCalendarAdvance(Calendar,X2594,W2595,"f",FALSE)</f>
        <v>57453</v>
      </c>
      <c r="Y2595" s="131">
        <f>_xll.qlCalendarAdvance(Calendar,X2595,NDays&amp;"D")</f>
        <v>57459</v>
      </c>
      <c r="Z2595" s="132">
        <v>1.3779315625893665E-2</v>
      </c>
      <c r="AA2595" s="129">
        <v>1.3809353652343148E-2</v>
      </c>
    </row>
    <row r="2596" spans="19:27" x14ac:dyDescent="0.2">
      <c r="S2596" s="1"/>
      <c r="T2596" s="109"/>
      <c r="W2596" s="130" t="str">
        <f t="shared" si="50"/>
        <v>1w</v>
      </c>
      <c r="X2596" s="128">
        <f>_xll.qlCalendarAdvance(Calendar,X2595,W2596,"f",FALSE)</f>
        <v>57460</v>
      </c>
      <c r="Y2596" s="131">
        <f>_xll.qlCalendarAdvance(Calendar,X2596,NDays&amp;"D")</f>
        <v>57462</v>
      </c>
      <c r="Z2596" s="132">
        <v>1.3775753774119262E-2</v>
      </c>
      <c r="AA2596" s="129">
        <v>1.3805035916121255E-2</v>
      </c>
    </row>
    <row r="2597" spans="19:27" x14ac:dyDescent="0.2">
      <c r="S2597" s="1"/>
      <c r="T2597" s="109"/>
      <c r="W2597" s="130" t="str">
        <f t="shared" si="50"/>
        <v>1w</v>
      </c>
      <c r="X2597" s="128">
        <f>_xll.qlCalendarAdvance(Calendar,X2596,W2597,"f",FALSE)</f>
        <v>57467</v>
      </c>
      <c r="Y2597" s="131">
        <f>_xll.qlCalendarAdvance(Calendar,X2597,NDays&amp;"D")</f>
        <v>57469</v>
      </c>
      <c r="Z2597" s="132">
        <v>1.3766497016330381E-2</v>
      </c>
      <c r="AA2597" s="129">
        <v>1.3796577246196762E-2</v>
      </c>
    </row>
    <row r="2598" spans="19:27" x14ac:dyDescent="0.2">
      <c r="S2598" s="1"/>
      <c r="T2598" s="109"/>
      <c r="W2598" s="130" t="str">
        <f t="shared" si="50"/>
        <v>1w</v>
      </c>
      <c r="X2598" s="128">
        <f>_xll.qlCalendarAdvance(Calendar,X2597,W2598,"f",FALSE)</f>
        <v>57474</v>
      </c>
      <c r="Y2598" s="131">
        <f>_xll.qlCalendarAdvance(Calendar,X2598,NDays&amp;"D")</f>
        <v>57476</v>
      </c>
      <c r="Z2598" s="132">
        <v>1.3758246097676542E-2</v>
      </c>
      <c r="AA2598" s="129">
        <v>1.3788150090130458E-2</v>
      </c>
    </row>
    <row r="2599" spans="19:27" x14ac:dyDescent="0.2">
      <c r="S2599" s="1"/>
      <c r="T2599" s="109"/>
      <c r="W2599" s="130" t="str">
        <f t="shared" si="50"/>
        <v>1w</v>
      </c>
      <c r="X2599" s="128">
        <f>_xll.qlCalendarAdvance(Calendar,X2598,W2599,"f",FALSE)</f>
        <v>57481</v>
      </c>
      <c r="Y2599" s="131">
        <f>_xll.qlCalendarAdvance(Calendar,X2599,NDays&amp;"D")</f>
        <v>57483</v>
      </c>
      <c r="Z2599" s="132">
        <v>1.3750026819478916E-2</v>
      </c>
      <c r="AA2599" s="129">
        <v>1.3779754447895698E-2</v>
      </c>
    </row>
    <row r="2600" spans="19:27" x14ac:dyDescent="0.2">
      <c r="S2600" s="1"/>
      <c r="T2600" s="109"/>
      <c r="W2600" s="130" t="str">
        <f t="shared" si="50"/>
        <v>1w</v>
      </c>
      <c r="X2600" s="128">
        <f>_xll.qlCalendarAdvance(Calendar,X2599,W2600,"f",FALSE)</f>
        <v>57488</v>
      </c>
      <c r="Y2600" s="131">
        <f>_xll.qlCalendarAdvance(Calendar,X2600,NDays&amp;"D")</f>
        <v>57490</v>
      </c>
      <c r="Z2600" s="132">
        <v>1.3741839181538512E-2</v>
      </c>
      <c r="AA2600" s="129">
        <v>1.3771390319492482E-2</v>
      </c>
    </row>
    <row r="2601" spans="19:27" x14ac:dyDescent="0.2">
      <c r="S2601" s="1"/>
      <c r="T2601" s="109"/>
      <c r="W2601" s="130" t="str">
        <f t="shared" si="50"/>
        <v>1w</v>
      </c>
      <c r="X2601" s="128">
        <f>_xll.qlCalendarAdvance(Calendar,X2600,W2601,"f",FALSE)</f>
        <v>57495</v>
      </c>
      <c r="Y2601" s="131">
        <f>_xll.qlCalendarAdvance(Calendar,X2601,NDays&amp;"D")</f>
        <v>57497</v>
      </c>
      <c r="Z2601" s="132">
        <v>1.3733683183650388E-2</v>
      </c>
      <c r="AA2601" s="129">
        <v>1.3763057704894166E-2</v>
      </c>
    </row>
    <row r="2602" spans="19:27" x14ac:dyDescent="0.2">
      <c r="S2602" s="1"/>
      <c r="T2602" s="109"/>
      <c r="W2602" s="130" t="str">
        <f t="shared" si="50"/>
        <v>1w</v>
      </c>
      <c r="X2602" s="128">
        <f>_xll.qlCalendarAdvance(Calendar,X2601,W2602,"f",FALSE)</f>
        <v>57502</v>
      </c>
      <c r="Y2602" s="131">
        <f>_xll.qlCalendarAdvance(Calendar,X2602,NDays&amp;"D")</f>
        <v>57504</v>
      </c>
      <c r="Z2602" s="132">
        <v>1.3725558825614706E-2</v>
      </c>
      <c r="AA2602" s="129">
        <v>1.3754756604100749E-2</v>
      </c>
    </row>
    <row r="2603" spans="19:27" x14ac:dyDescent="0.2">
      <c r="S2603" s="1"/>
      <c r="T2603" s="109"/>
      <c r="W2603" s="130" t="str">
        <f t="shared" si="50"/>
        <v>1w</v>
      </c>
      <c r="X2603" s="128">
        <f>_xll.qlCalendarAdvance(Calendar,X2602,W2603,"f",FALSE)</f>
        <v>57509</v>
      </c>
      <c r="Y2603" s="131">
        <f>_xll.qlCalendarAdvance(Calendar,X2603,NDays&amp;"D")</f>
        <v>57511</v>
      </c>
      <c r="Z2603" s="132">
        <v>1.371746610722992E-2</v>
      </c>
      <c r="AA2603" s="129">
        <v>1.3746487017085585E-2</v>
      </c>
    </row>
    <row r="2604" spans="19:27" x14ac:dyDescent="0.2">
      <c r="S2604" s="1"/>
      <c r="T2604" s="109"/>
      <c r="W2604" s="130" t="str">
        <f t="shared" si="50"/>
        <v>1w</v>
      </c>
      <c r="X2604" s="128">
        <f>_xll.qlCalendarAdvance(Calendar,X2603,W2604,"f",FALSE)</f>
        <v>57516</v>
      </c>
      <c r="Y2604" s="131">
        <f>_xll.qlCalendarAdvance(Calendar,X2604,NDays&amp;"D")</f>
        <v>57518</v>
      </c>
      <c r="Z2604" s="132">
        <v>1.3709405028297046E-2</v>
      </c>
      <c r="AA2604" s="129">
        <v>1.3738248943901965E-2</v>
      </c>
    </row>
    <row r="2605" spans="19:27" x14ac:dyDescent="0.2">
      <c r="S2605" s="1"/>
      <c r="T2605" s="109"/>
      <c r="W2605" s="130" t="str">
        <f t="shared" si="50"/>
        <v>1w</v>
      </c>
      <c r="X2605" s="128">
        <f>_xll.qlCalendarAdvance(Calendar,X2604,W2605,"f",FALSE)</f>
        <v>57523</v>
      </c>
      <c r="Y2605" s="131">
        <f>_xll.qlCalendarAdvance(Calendar,X2605,NDays&amp;"D")</f>
        <v>57525</v>
      </c>
      <c r="Z2605" s="132">
        <v>1.3702297163514947E-2</v>
      </c>
      <c r="AA2605" s="129">
        <v>1.3730042384443308E-2</v>
      </c>
    </row>
    <row r="2606" spans="19:27" x14ac:dyDescent="0.2">
      <c r="S2606" s="1"/>
      <c r="T2606" s="109"/>
      <c r="W2606" s="130" t="str">
        <f t="shared" si="50"/>
        <v>1w</v>
      </c>
      <c r="X2606" s="128">
        <f>_xll.qlCalendarAdvance(Calendar,X2605,W2606,"f",FALSE)</f>
        <v>57530</v>
      </c>
      <c r="Y2606" s="131">
        <f>_xll.qlCalendarAdvance(Calendar,X2606,NDays&amp;"D")</f>
        <v>57532</v>
      </c>
      <c r="Z2606" s="132">
        <v>1.3693377787992768E-2</v>
      </c>
      <c r="AA2606" s="129">
        <v>1.3721867338869487E-2</v>
      </c>
    </row>
    <row r="2607" spans="19:27" x14ac:dyDescent="0.2">
      <c r="S2607" s="1"/>
      <c r="T2607" s="109"/>
      <c r="W2607" s="130" t="str">
        <f t="shared" si="50"/>
        <v>1w</v>
      </c>
      <c r="X2607" s="128">
        <f>_xll.qlCalendarAdvance(Calendar,X2606,W2607,"f",FALSE)</f>
        <v>57537</v>
      </c>
      <c r="Y2607" s="131">
        <f>_xll.qlCalendarAdvance(Calendar,X2607,NDays&amp;"D")</f>
        <v>57539</v>
      </c>
      <c r="Z2607" s="132">
        <v>1.3685411626222534E-2</v>
      </c>
      <c r="AA2607" s="129">
        <v>1.3713723807020628E-2</v>
      </c>
    </row>
    <row r="2608" spans="19:27" x14ac:dyDescent="0.2">
      <c r="S2608" s="1"/>
      <c r="T2608" s="109"/>
      <c r="W2608" s="130" t="str">
        <f t="shared" si="50"/>
        <v>1w</v>
      </c>
      <c r="X2608" s="128">
        <f>_xll.qlCalendarAdvance(Calendar,X2607,W2608,"f",FALSE)</f>
        <v>57544</v>
      </c>
      <c r="Y2608" s="131">
        <f>_xll.qlCalendarAdvance(Calendar,X2608,NDays&amp;"D")</f>
        <v>57546</v>
      </c>
      <c r="Z2608" s="132">
        <v>1.3677477103115053E-2</v>
      </c>
      <c r="AA2608" s="129">
        <v>1.3705611788923378E-2</v>
      </c>
    </row>
    <row r="2609" spans="19:27" x14ac:dyDescent="0.2">
      <c r="S2609" s="1"/>
      <c r="T2609" s="109"/>
      <c r="W2609" s="130" t="str">
        <f t="shared" si="50"/>
        <v>1w</v>
      </c>
      <c r="X2609" s="128">
        <f>_xll.qlCalendarAdvance(Calendar,X2608,W2609,"f",FALSE)</f>
        <v>57551</v>
      </c>
      <c r="Y2609" s="131">
        <f>_xll.qlCalendarAdvance(Calendar,X2609,NDays&amp;"D")</f>
        <v>57553</v>
      </c>
      <c r="Z2609" s="132">
        <v>1.3669574218470485E-2</v>
      </c>
      <c r="AA2609" s="129">
        <v>1.3697531284604381E-2</v>
      </c>
    </row>
    <row r="2610" spans="19:27" x14ac:dyDescent="0.2">
      <c r="S2610" s="1"/>
      <c r="T2610" s="109"/>
      <c r="W2610" s="130" t="str">
        <f t="shared" si="50"/>
        <v>1w</v>
      </c>
      <c r="X2610" s="128">
        <f>_xll.qlCalendarAdvance(Calendar,X2609,W2610,"f",FALSE)</f>
        <v>57558</v>
      </c>
      <c r="Y2610" s="131">
        <f>_xll.qlCalendarAdvance(Calendar,X2610,NDays&amp;"D")</f>
        <v>57560</v>
      </c>
      <c r="Z2610" s="132">
        <v>1.3661702972094944E-2</v>
      </c>
      <c r="AA2610" s="129">
        <v>1.3689482294010347E-2</v>
      </c>
    </row>
    <row r="2611" spans="19:27" x14ac:dyDescent="0.2">
      <c r="S2611" s="1"/>
      <c r="T2611" s="109"/>
      <c r="W2611" s="130" t="str">
        <f t="shared" si="50"/>
        <v>1w</v>
      </c>
      <c r="X2611" s="128">
        <f>_xll.qlCalendarAdvance(Calendar,X2610,W2611,"f",FALSE)</f>
        <v>57565</v>
      </c>
      <c r="Y2611" s="131">
        <f>_xll.qlCalendarAdvance(Calendar,X2611,NDays&amp;"D")</f>
        <v>57567</v>
      </c>
      <c r="Z2611" s="132">
        <v>1.3653863363796242E-2</v>
      </c>
      <c r="AA2611" s="129">
        <v>1.3681464817221212E-2</v>
      </c>
    </row>
    <row r="2612" spans="19:27" x14ac:dyDescent="0.2">
      <c r="S2612" s="1"/>
      <c r="T2612" s="109"/>
      <c r="W2612" s="130" t="str">
        <f t="shared" si="50"/>
        <v>1w</v>
      </c>
      <c r="X2612" s="128">
        <f>_xll.qlCalendarAdvance(Calendar,X2611,W2612,"f",FALSE)</f>
        <v>57572</v>
      </c>
      <c r="Y2612" s="131">
        <f>_xll.qlCalendarAdvance(Calendar,X2612,NDays&amp;"D")</f>
        <v>57574</v>
      </c>
      <c r="Z2612" s="132">
        <v>1.364605539337879E-2</v>
      </c>
      <c r="AA2612" s="129">
        <v>1.367347885415704E-2</v>
      </c>
    </row>
    <row r="2613" spans="19:27" x14ac:dyDescent="0.2">
      <c r="S2613" s="1"/>
      <c r="T2613" s="109"/>
      <c r="W2613" s="130" t="str">
        <f t="shared" si="50"/>
        <v>1w</v>
      </c>
      <c r="X2613" s="128">
        <f>_xll.qlCalendarAdvance(Calendar,X2612,W2613,"f",FALSE)</f>
        <v>57579</v>
      </c>
      <c r="Y2613" s="131">
        <f>_xll.qlCalendarAdvance(Calendar,X2613,NDays&amp;"D")</f>
        <v>57581</v>
      </c>
      <c r="Z2613" s="132">
        <v>1.3638279060647853E-2</v>
      </c>
      <c r="AA2613" s="129">
        <v>1.366552440481783E-2</v>
      </c>
    </row>
    <row r="2614" spans="19:27" x14ac:dyDescent="0.2">
      <c r="S2614" s="1"/>
      <c r="T2614" s="109"/>
      <c r="W2614" s="130" t="str">
        <f t="shared" si="50"/>
        <v>1w</v>
      </c>
      <c r="X2614" s="128">
        <f>_xll.qlCalendarAdvance(Calendar,X2613,W2614,"f",FALSE)</f>
        <v>57586</v>
      </c>
      <c r="Y2614" s="131">
        <f>_xll.qlCalendarAdvance(Calendar,X2614,NDays&amp;"D")</f>
        <v>57588</v>
      </c>
      <c r="Z2614" s="132">
        <v>1.3631402984780838E-2</v>
      </c>
      <c r="AA2614" s="129">
        <v>1.3657601469203584E-2</v>
      </c>
    </row>
    <row r="2615" spans="19:27" x14ac:dyDescent="0.2">
      <c r="S2615" s="1"/>
      <c r="T2615" s="109"/>
      <c r="W2615" s="130" t="str">
        <f t="shared" si="50"/>
        <v>1w</v>
      </c>
      <c r="X2615" s="128">
        <f>_xll.qlCalendarAdvance(Calendar,X2614,W2615,"f",FALSE)</f>
        <v>57593</v>
      </c>
      <c r="Y2615" s="131">
        <f>_xll.qlCalendarAdvance(Calendar,X2615,NDays&amp;"D")</f>
        <v>57595</v>
      </c>
      <c r="Z2615" s="132">
        <v>1.362368402260722E-2</v>
      </c>
      <c r="AA2615" s="129">
        <v>1.3649710047314301E-2</v>
      </c>
    </row>
    <row r="2616" spans="19:27" x14ac:dyDescent="0.2">
      <c r="S2616" s="1"/>
      <c r="T2616" s="109"/>
      <c r="W2616" s="130" t="str">
        <f t="shared" si="50"/>
        <v>1w</v>
      </c>
      <c r="X2616" s="128">
        <f>_xll.qlCalendarAdvance(Calendar,X2615,W2616,"f",FALSE)</f>
        <v>57600</v>
      </c>
      <c r="Y2616" s="131">
        <f>_xll.qlCalendarAdvance(Calendar,X2616,NDays&amp;"D")</f>
        <v>57602</v>
      </c>
      <c r="Z2616" s="132">
        <v>1.3615996693511299E-2</v>
      </c>
      <c r="AA2616" s="129">
        <v>1.364185013914998E-2</v>
      </c>
    </row>
    <row r="2617" spans="19:27" x14ac:dyDescent="0.2">
      <c r="S2617" s="1"/>
      <c r="T2617" s="109"/>
      <c r="W2617" s="130" t="str">
        <f t="shared" si="50"/>
        <v>1w</v>
      </c>
      <c r="X2617" s="128">
        <f>_xll.qlCalendarAdvance(Calendar,X2616,W2617,"f",FALSE)</f>
        <v>57607</v>
      </c>
      <c r="Y2617" s="131">
        <f>_xll.qlCalendarAdvance(Calendar,X2617,NDays&amp;"D")</f>
        <v>57609</v>
      </c>
      <c r="Z2617" s="132">
        <v>1.3608340997310361E-2</v>
      </c>
      <c r="AA2617" s="129">
        <v>1.3634021744710623E-2</v>
      </c>
    </row>
    <row r="2618" spans="19:27" x14ac:dyDescent="0.2">
      <c r="S2618" s="1"/>
      <c r="T2618" s="109"/>
      <c r="W2618" s="130" t="str">
        <f t="shared" si="50"/>
        <v>1w</v>
      </c>
      <c r="X2618" s="128">
        <f>_xll.qlCalendarAdvance(Calendar,X2617,W2618,"f",FALSE)</f>
        <v>57614</v>
      </c>
      <c r="Y2618" s="131">
        <f>_xll.qlCalendarAdvance(Calendar,X2618,NDays&amp;"D")</f>
        <v>57616</v>
      </c>
      <c r="Z2618" s="132">
        <v>1.3599871955640859E-2</v>
      </c>
      <c r="AA2618" s="129">
        <v>1.3626224863996228E-2</v>
      </c>
    </row>
    <row r="2619" spans="19:27" x14ac:dyDescent="0.2">
      <c r="S2619" s="1"/>
      <c r="T2619" s="109"/>
      <c r="W2619" s="130" t="str">
        <f t="shared" si="50"/>
        <v>1w</v>
      </c>
      <c r="X2619" s="128">
        <f>_xll.qlCalendarAdvance(Calendar,X2618,W2619,"f",FALSE)</f>
        <v>57621</v>
      </c>
      <c r="Y2619" s="131">
        <f>_xll.qlCalendarAdvance(Calendar,X2619,NDays&amp;"D")</f>
        <v>57623</v>
      </c>
      <c r="Z2619" s="132">
        <v>1.3592285445039851E-2</v>
      </c>
      <c r="AA2619" s="129">
        <v>1.3618459496953506E-2</v>
      </c>
    </row>
    <row r="2620" spans="19:27" x14ac:dyDescent="0.2">
      <c r="S2620" s="1"/>
      <c r="T2620" s="109"/>
      <c r="W2620" s="130" t="str">
        <f t="shared" si="50"/>
        <v>1w</v>
      </c>
      <c r="X2620" s="128">
        <f>_xll.qlCalendarAdvance(Calendar,X2619,W2620,"f",FALSE)</f>
        <v>57628</v>
      </c>
      <c r="Y2620" s="131">
        <f>_xll.qlCalendarAdvance(Calendar,X2620,NDays&amp;"D")</f>
        <v>57630</v>
      </c>
      <c r="Z2620" s="132">
        <v>1.3584730570800459E-2</v>
      </c>
      <c r="AA2620" s="129">
        <v>1.3610725643582455E-2</v>
      </c>
    </row>
    <row r="2621" spans="19:27" x14ac:dyDescent="0.2">
      <c r="S2621" s="1"/>
      <c r="T2621" s="109"/>
      <c r="W2621" s="130" t="str">
        <f t="shared" si="50"/>
        <v>1w</v>
      </c>
      <c r="X2621" s="128">
        <f>_xll.qlCalendarAdvance(Calendar,X2620,W2621,"f",FALSE)</f>
        <v>57635</v>
      </c>
      <c r="Y2621" s="131">
        <f>_xll.qlCalendarAdvance(Calendar,X2621,NDays&amp;"D")</f>
        <v>57637</v>
      </c>
      <c r="Z2621" s="132">
        <v>1.3577207332734745E-2</v>
      </c>
      <c r="AA2621" s="129">
        <v>1.3603023303936368E-2</v>
      </c>
    </row>
    <row r="2622" spans="19:27" x14ac:dyDescent="0.2">
      <c r="S2622" s="1"/>
      <c r="T2622" s="109"/>
      <c r="W2622" s="130" t="str">
        <f t="shared" si="50"/>
        <v>1w</v>
      </c>
      <c r="X2622" s="128">
        <f>_xll.qlCalendarAdvance(Calendar,X2621,W2622,"f",FALSE)</f>
        <v>57642</v>
      </c>
      <c r="Y2622" s="131">
        <f>_xll.qlCalendarAdvance(Calendar,X2622,NDays&amp;"D")</f>
        <v>57644</v>
      </c>
      <c r="Z2622" s="132">
        <v>1.3569715730659881E-2</v>
      </c>
      <c r="AA2622" s="129">
        <v>1.3595352477988598E-2</v>
      </c>
    </row>
    <row r="2623" spans="19:27" x14ac:dyDescent="0.2">
      <c r="S2623" s="1"/>
      <c r="T2623" s="109"/>
      <c r="W2623" s="130" t="str">
        <f t="shared" si="50"/>
        <v>1w</v>
      </c>
      <c r="X2623" s="128">
        <f>_xll.qlCalendarAdvance(Calendar,X2622,W2623,"f",FALSE)</f>
        <v>57649</v>
      </c>
      <c r="Y2623" s="131">
        <f>_xll.qlCalendarAdvance(Calendar,X2623,NDays&amp;"D")</f>
        <v>57651</v>
      </c>
      <c r="Z2623" s="132">
        <v>1.356225576438793E-2</v>
      </c>
      <c r="AA2623" s="129">
        <v>1.358771316565921E-2</v>
      </c>
    </row>
    <row r="2624" spans="19:27" x14ac:dyDescent="0.2">
      <c r="S2624" s="1"/>
      <c r="T2624" s="109"/>
      <c r="W2624" s="130" t="str">
        <f t="shared" si="50"/>
        <v>1w</v>
      </c>
      <c r="X2624" s="128">
        <f>_xll.qlCalendarAdvance(Calendar,X2623,W2624,"f",FALSE)</f>
        <v>57656</v>
      </c>
      <c r="Y2624" s="131">
        <f>_xll.qlCalendarAdvance(Calendar,X2624,NDays&amp;"D")</f>
        <v>57658</v>
      </c>
      <c r="Z2624" s="132">
        <v>1.3554827433736061E-2</v>
      </c>
      <c r="AA2624" s="129">
        <v>1.3580105367054784E-2</v>
      </c>
    </row>
    <row r="2625" spans="19:27" x14ac:dyDescent="0.2">
      <c r="S2625" s="1"/>
      <c r="T2625" s="109"/>
      <c r="W2625" s="130" t="str">
        <f t="shared" si="50"/>
        <v>1w</v>
      </c>
      <c r="X2625" s="128">
        <f>_xll.qlCalendarAdvance(Calendar,X2624,W2625,"f",FALSE)</f>
        <v>57663</v>
      </c>
      <c r="Y2625" s="131">
        <f>_xll.qlCalendarAdvance(Calendar,X2625,NDays&amp;"D")</f>
        <v>57665</v>
      </c>
      <c r="Z2625" s="132">
        <v>1.3547430738521441E-2</v>
      </c>
      <c r="AA2625" s="129">
        <v>1.3572529082095386E-2</v>
      </c>
    </row>
    <row r="2626" spans="19:27" x14ac:dyDescent="0.2">
      <c r="S2626" s="1"/>
      <c r="T2626" s="109"/>
      <c r="W2626" s="130" t="str">
        <f t="shared" si="50"/>
        <v>1w</v>
      </c>
      <c r="X2626" s="128">
        <f>_xll.qlCalendarAdvance(Calendar,X2625,W2626,"f",FALSE)</f>
        <v>57670</v>
      </c>
      <c r="Y2626" s="131">
        <f>_xll.qlCalendarAdvance(Calendar,X2626,NDays&amp;"D")</f>
        <v>57672</v>
      </c>
      <c r="Z2626" s="132">
        <v>1.3540065678560385E-2</v>
      </c>
      <c r="AA2626" s="129">
        <v>1.3564984310754369E-2</v>
      </c>
    </row>
    <row r="2627" spans="19:27" x14ac:dyDescent="0.2">
      <c r="S2627" s="1"/>
      <c r="T2627" s="109"/>
      <c r="W2627" s="130" t="str">
        <f t="shared" si="50"/>
        <v>1w</v>
      </c>
      <c r="X2627" s="128">
        <f>_xll.qlCalendarAdvance(Calendar,X2626,W2627,"f",FALSE)</f>
        <v>57677</v>
      </c>
      <c r="Y2627" s="131">
        <f>_xll.qlCalendarAdvance(Calendar,X2627,NDays&amp;"D")</f>
        <v>57679</v>
      </c>
      <c r="Z2627" s="132">
        <v>1.3533788020142268E-2</v>
      </c>
      <c r="AA2627" s="129">
        <v>1.3557471053085024E-2</v>
      </c>
    </row>
    <row r="2628" spans="19:27" x14ac:dyDescent="0.2">
      <c r="S2628" s="1"/>
      <c r="T2628" s="109"/>
      <c r="W2628" s="130" t="str">
        <f t="shared" si="50"/>
        <v>1w</v>
      </c>
      <c r="X2628" s="128">
        <f>_xll.qlCalendarAdvance(Calendar,X2627,W2628,"f",FALSE)</f>
        <v>57684</v>
      </c>
      <c r="Y2628" s="131">
        <f>_xll.qlCalendarAdvance(Calendar,X2628,NDays&amp;"D")</f>
        <v>57686</v>
      </c>
      <c r="Z2628" s="132">
        <v>1.3526478288795829E-2</v>
      </c>
      <c r="AA2628" s="129">
        <v>1.3549989309087351E-2</v>
      </c>
    </row>
    <row r="2629" spans="19:27" x14ac:dyDescent="0.2">
      <c r="S2629" s="1"/>
      <c r="T2629" s="109"/>
      <c r="W2629" s="130" t="str">
        <f t="shared" si="50"/>
        <v>1w</v>
      </c>
      <c r="X2629" s="128">
        <f>_xll.qlCalendarAdvance(Calendar,X2628,W2629,"f",FALSE)</f>
        <v>57691</v>
      </c>
      <c r="Y2629" s="131">
        <f>_xll.qlCalendarAdvance(Calendar,X2629,NDays&amp;"D")</f>
        <v>57693</v>
      </c>
      <c r="Z2629" s="132">
        <v>1.3519200186877356E-2</v>
      </c>
      <c r="AA2629" s="129">
        <v>1.3542539078761351E-2</v>
      </c>
    </row>
    <row r="2630" spans="19:27" x14ac:dyDescent="0.2">
      <c r="S2630" s="1"/>
      <c r="T2630" s="109"/>
      <c r="W2630" s="130" t="str">
        <f t="shared" si="50"/>
        <v>1w</v>
      </c>
      <c r="X2630" s="128">
        <f>_xll.qlCalendarAdvance(Calendar,X2629,W2630,"f",FALSE)</f>
        <v>57698</v>
      </c>
      <c r="Y2630" s="131">
        <f>_xll.qlCalendarAdvance(Calendar,X2630,NDays&amp;"D")</f>
        <v>57700</v>
      </c>
      <c r="Z2630" s="132">
        <v>1.3511953714211877E-2</v>
      </c>
      <c r="AA2630" s="129">
        <v>1.3535120361973796E-2</v>
      </c>
    </row>
    <row r="2631" spans="19:27" x14ac:dyDescent="0.2">
      <c r="S2631" s="1"/>
      <c r="T2631" s="109"/>
      <c r="W2631" s="130" t="str">
        <f t="shared" si="50"/>
        <v>1w</v>
      </c>
      <c r="X2631" s="128">
        <f>_xll.qlCalendarAdvance(Calendar,X2630,W2631,"f",FALSE)</f>
        <v>57706</v>
      </c>
      <c r="Y2631" s="131">
        <f>_xll.qlCalendarAdvance(Calendar,X2631,NDays&amp;"D")</f>
        <v>57710</v>
      </c>
      <c r="Z2631" s="132">
        <v>1.3502167856316609E-2</v>
      </c>
      <c r="AA2631" s="129">
        <v>1.3524848320809468E-2</v>
      </c>
    </row>
    <row r="2632" spans="19:27" x14ac:dyDescent="0.2">
      <c r="S2632" s="1"/>
      <c r="T2632" s="109"/>
      <c r="W2632" s="130" t="str">
        <f t="shared" si="50"/>
        <v>1w</v>
      </c>
      <c r="X2632" s="128">
        <f>_xll.qlCalendarAdvance(Calendar,X2631,W2632,"f",FALSE)</f>
        <v>57713</v>
      </c>
      <c r="Y2632" s="131">
        <f>_xll.qlCalendarAdvance(Calendar,X2632,NDays&amp;"D")</f>
        <v>57717</v>
      </c>
      <c r="Z2632" s="132">
        <v>1.3494233394046972E-2</v>
      </c>
      <c r="AA2632" s="129">
        <v>1.3517773827338431E-2</v>
      </c>
    </row>
    <row r="2633" spans="19:27" x14ac:dyDescent="0.2">
      <c r="S2633" s="1"/>
      <c r="T2633" s="109"/>
      <c r="W2633" s="130" t="str">
        <f t="shared" si="50"/>
        <v>1w</v>
      </c>
      <c r="X2633" s="128">
        <f>_xll.qlCalendarAdvance(Calendar,X2632,W2633,"f",FALSE)</f>
        <v>57720</v>
      </c>
      <c r="Y2633" s="131">
        <f>_xll.qlCalendarAdvance(Calendar,X2633,NDays&amp;"D")</f>
        <v>57724</v>
      </c>
      <c r="Z2633" s="132">
        <v>1.3486846107826937E-2</v>
      </c>
      <c r="AA2633" s="129">
        <v>1.3510459204670866E-2</v>
      </c>
    </row>
    <row r="2634" spans="19:27" x14ac:dyDescent="0.2">
      <c r="S2634" s="1"/>
      <c r="T2634" s="109"/>
      <c r="W2634" s="130" t="str">
        <f t="shared" si="50"/>
        <v>1w</v>
      </c>
      <c r="X2634" s="128">
        <f>_xll.qlCalendarAdvance(Calendar,X2633,W2634,"f",FALSE)</f>
        <v>57727</v>
      </c>
      <c r="Y2634" s="131">
        <f>_xll.qlCalendarAdvance(Calendar,X2634,NDays&amp;"D")</f>
        <v>57731</v>
      </c>
      <c r="Z2634" s="132">
        <v>1.3479992946698174E-2</v>
      </c>
      <c r="AA2634" s="129">
        <v>1.3503176092797275E-2</v>
      </c>
    </row>
    <row r="2635" spans="19:27" x14ac:dyDescent="0.2">
      <c r="S2635" s="1"/>
      <c r="T2635" s="109"/>
      <c r="W2635" s="130" t="str">
        <f t="shared" si="50"/>
        <v>1w</v>
      </c>
      <c r="X2635" s="128">
        <f>_xll.qlCalendarAdvance(Calendar,X2634,W2635,"f",FALSE)</f>
        <v>57734</v>
      </c>
      <c r="Y2635" s="131">
        <f>_xll.qlCalendarAdvance(Calendar,X2635,NDays&amp;"D")</f>
        <v>57738</v>
      </c>
      <c r="Z2635" s="132">
        <v>1.3472920167572726E-2</v>
      </c>
      <c r="AA2635" s="129">
        <v>1.3495924491877531E-2</v>
      </c>
    </row>
    <row r="2636" spans="19:27" x14ac:dyDescent="0.2">
      <c r="S2636" s="1"/>
      <c r="T2636" s="109"/>
      <c r="W2636" s="130" t="str">
        <f t="shared" si="50"/>
        <v>1w</v>
      </c>
      <c r="X2636" s="128">
        <f>_xll.qlCalendarAdvance(Calendar,X2635,W2636,"f",FALSE)</f>
        <v>57741</v>
      </c>
      <c r="Y2636" s="131">
        <f>_xll.qlCalendarAdvance(Calendar,X2636,NDays&amp;"D")</f>
        <v>57745</v>
      </c>
      <c r="Z2636" s="132">
        <v>1.346587901792258E-2</v>
      </c>
      <c r="AA2636" s="129">
        <v>1.3488704401911633E-2</v>
      </c>
    </row>
    <row r="2637" spans="19:27" x14ac:dyDescent="0.2">
      <c r="S2637" s="1"/>
      <c r="T2637" s="109"/>
      <c r="W2637" s="130" t="str">
        <f t="shared" si="50"/>
        <v>1w</v>
      </c>
      <c r="X2637" s="128">
        <f>_xll.qlCalendarAdvance(Calendar,X2636,W2637,"f",FALSE)</f>
        <v>57748</v>
      </c>
      <c r="Y2637" s="131">
        <f>_xll.qlCalendarAdvance(Calendar,X2637,NDays&amp;"D")</f>
        <v>57752</v>
      </c>
      <c r="Z2637" s="132">
        <v>1.3458869497579079E-2</v>
      </c>
      <c r="AA2637" s="129">
        <v>1.3481515822899581E-2</v>
      </c>
    </row>
    <row r="2638" spans="19:27" x14ac:dyDescent="0.2">
      <c r="S2638" s="1"/>
      <c r="T2638" s="109"/>
      <c r="W2638" s="130" t="str">
        <f t="shared" si="50"/>
        <v>1w</v>
      </c>
      <c r="X2638" s="128">
        <f>_xll.qlCalendarAdvance(Calendar,X2637,W2638,"f",FALSE)</f>
        <v>57755</v>
      </c>
      <c r="Y2638" s="131">
        <f>_xll.qlCalendarAdvance(Calendar,X2638,NDays&amp;"D")</f>
        <v>57759</v>
      </c>
      <c r="Z2638" s="132">
        <v>1.345189160637269E-2</v>
      </c>
      <c r="AA2638" s="129">
        <v>1.347435875476144E-2</v>
      </c>
    </row>
    <row r="2639" spans="19:27" x14ac:dyDescent="0.2">
      <c r="S2639" s="1"/>
      <c r="T2639" s="109"/>
      <c r="W2639" s="130" t="str">
        <f t="shared" si="50"/>
        <v>1w</v>
      </c>
      <c r="X2639" s="128">
        <f>_xll.qlCalendarAdvance(Calendar,X2638,W2639,"f",FALSE)</f>
        <v>57762</v>
      </c>
      <c r="Y2639" s="131">
        <f>_xll.qlCalendarAdvance(Calendar,X2639,NDays&amp;"D")</f>
        <v>57766</v>
      </c>
      <c r="Z2639" s="132">
        <v>1.3444945344139149E-2</v>
      </c>
      <c r="AA2639" s="129">
        <v>1.346723319765708E-2</v>
      </c>
    </row>
    <row r="2640" spans="19:27" x14ac:dyDescent="0.2">
      <c r="S2640" s="1"/>
      <c r="T2640" s="109"/>
      <c r="W2640" s="130" t="str">
        <f t="shared" si="50"/>
        <v>1w</v>
      </c>
      <c r="X2640" s="128">
        <f>_xll.qlCalendarAdvance(Calendar,X2639,W2640,"f",FALSE)</f>
        <v>57769</v>
      </c>
      <c r="Y2640" s="131">
        <f>_xll.qlCalendarAdvance(Calendar,X2640,NDays&amp;"D")</f>
        <v>57773</v>
      </c>
      <c r="Z2640" s="132">
        <v>1.3437793446464579E-2</v>
      </c>
      <c r="AA2640" s="129">
        <v>1.3460139151506567E-2</v>
      </c>
    </row>
    <row r="2641" spans="19:27" x14ac:dyDescent="0.2">
      <c r="S2641" s="1"/>
      <c r="T2641" s="109"/>
      <c r="W2641" s="130" t="str">
        <f t="shared" si="50"/>
        <v>1w</v>
      </c>
      <c r="X2641" s="128">
        <f>_xll.qlCalendarAdvance(Calendar,X2640,W2641,"f",FALSE)</f>
        <v>57776</v>
      </c>
      <c r="Y2641" s="131">
        <f>_xll.qlCalendarAdvance(Calendar,X2641,NDays&amp;"D")</f>
        <v>57780</v>
      </c>
      <c r="Z2641" s="132">
        <v>1.3430912444514607E-2</v>
      </c>
      <c r="AA2641" s="129">
        <v>1.3453076616389836E-2</v>
      </c>
    </row>
    <row r="2642" spans="19:27" x14ac:dyDescent="0.2">
      <c r="S2642" s="1"/>
      <c r="T2642" s="109"/>
      <c r="W2642" s="130" t="str">
        <f t="shared" si="50"/>
        <v>1w</v>
      </c>
      <c r="X2642" s="128">
        <f>_xll.qlCalendarAdvance(Calendar,X2641,W2642,"f",FALSE)</f>
        <v>57783</v>
      </c>
      <c r="Y2642" s="131">
        <f>_xll.qlCalendarAdvance(Calendar,X2642,NDays&amp;"D")</f>
        <v>57787</v>
      </c>
      <c r="Z2642" s="132">
        <v>1.3424063072335613E-2</v>
      </c>
      <c r="AA2642" s="129">
        <v>1.3446045591987144E-2</v>
      </c>
    </row>
    <row r="2643" spans="19:27" x14ac:dyDescent="0.2">
      <c r="S2643" s="1"/>
      <c r="T2643" s="109"/>
      <c r="W2643" s="130" t="str">
        <f t="shared" si="50"/>
        <v>1w</v>
      </c>
      <c r="X2643" s="128">
        <f>_xll.qlCalendarAdvance(Calendar,X2642,W2643,"f",FALSE)</f>
        <v>57790</v>
      </c>
      <c r="Y2643" s="131">
        <f>_xll.qlCalendarAdvance(Calendar,X2643,NDays&amp;"D")</f>
        <v>57794</v>
      </c>
      <c r="Z2643" s="132">
        <v>1.3417245329765985E-2</v>
      </c>
      <c r="AA2643" s="129">
        <v>1.3439046078538297E-2</v>
      </c>
    </row>
    <row r="2644" spans="19:27" x14ac:dyDescent="0.2">
      <c r="S2644" s="1"/>
      <c r="T2644" s="109"/>
      <c r="W2644" s="130" t="str">
        <f t="shared" si="50"/>
        <v>1w</v>
      </c>
      <c r="X2644" s="128">
        <f>_xll.qlCalendarAdvance(Calendar,X2643,W2644,"f",FALSE)</f>
        <v>57797</v>
      </c>
      <c r="Y2644" s="131">
        <f>_xll.qlCalendarAdvance(Calendar,X2644,NDays&amp;"D")</f>
        <v>57801</v>
      </c>
      <c r="Z2644" s="132">
        <v>1.3410688461771866E-2</v>
      </c>
      <c r="AA2644" s="129">
        <v>1.3432078076043297E-2</v>
      </c>
    </row>
    <row r="2645" spans="19:27" x14ac:dyDescent="0.2">
      <c r="S2645" s="1"/>
      <c r="T2645" s="109"/>
      <c r="W2645" s="130" t="str">
        <f t="shared" ref="W2645:W2708" si="51">W2644</f>
        <v>1w</v>
      </c>
      <c r="X2645" s="128">
        <f>_xll.qlCalendarAdvance(Calendar,X2644,W2645,"f",FALSE)</f>
        <v>57804</v>
      </c>
      <c r="Y2645" s="131">
        <f>_xll.qlCalendarAdvance(Calendar,X2645,NDays&amp;"D")</f>
        <v>57808</v>
      </c>
      <c r="Z2645" s="132">
        <v>1.3403931969911806E-2</v>
      </c>
      <c r="AA2645" s="129">
        <v>1.3425141584582079E-2</v>
      </c>
    </row>
    <row r="2646" spans="19:27" x14ac:dyDescent="0.2">
      <c r="S2646" s="1"/>
      <c r="T2646" s="109"/>
      <c r="W2646" s="130" t="str">
        <f t="shared" si="51"/>
        <v>1w</v>
      </c>
      <c r="X2646" s="128">
        <f>_xll.qlCalendarAdvance(Calendar,X2645,W2646,"f",FALSE)</f>
        <v>57811</v>
      </c>
      <c r="Y2646" s="131">
        <f>_xll.qlCalendarAdvance(Calendar,X2646,NDays&amp;"D")</f>
        <v>57817</v>
      </c>
      <c r="Z2646" s="132">
        <v>1.3395291525322541E-2</v>
      </c>
      <c r="AA2646" s="129">
        <v>1.341626953996311E-2</v>
      </c>
    </row>
    <row r="2647" spans="19:27" x14ac:dyDescent="0.2">
      <c r="S2647" s="1"/>
      <c r="T2647" s="109"/>
      <c r="W2647" s="130" t="str">
        <f t="shared" si="51"/>
        <v>1w</v>
      </c>
      <c r="X2647" s="128">
        <f>_xll.qlCalendarAdvance(Calendar,X2646,W2647,"f",FALSE)</f>
        <v>57818</v>
      </c>
      <c r="Y2647" s="131">
        <f>_xll.qlCalendarAdvance(Calendar,X2647,NDays&amp;"D")</f>
        <v>57822</v>
      </c>
      <c r="Z2647" s="132">
        <v>1.3390513869506957E-2</v>
      </c>
      <c r="AA2647" s="129">
        <v>1.3411363134201437E-2</v>
      </c>
    </row>
    <row r="2648" spans="19:27" x14ac:dyDescent="0.2">
      <c r="S2648" s="1"/>
      <c r="T2648" s="109"/>
      <c r="W2648" s="130" t="str">
        <f t="shared" si="51"/>
        <v>1w</v>
      </c>
      <c r="X2648" s="128">
        <f>_xll.qlCalendarAdvance(Calendar,X2647,W2648,"f",FALSE)</f>
        <v>57825</v>
      </c>
      <c r="Y2648" s="131">
        <f>_xll.qlCalendarAdvance(Calendar,X2648,NDays&amp;"D")</f>
        <v>57829</v>
      </c>
      <c r="Z2648" s="132">
        <v>1.3383852260643302E-2</v>
      </c>
      <c r="AA2648" s="129">
        <v>1.3404521175441886E-2</v>
      </c>
    </row>
    <row r="2649" spans="19:27" x14ac:dyDescent="0.2">
      <c r="S2649" s="1"/>
      <c r="T2649" s="109"/>
      <c r="W2649" s="130" t="str">
        <f t="shared" si="51"/>
        <v>1w</v>
      </c>
      <c r="X2649" s="128">
        <f>_xll.qlCalendarAdvance(Calendar,X2648,W2649,"f",FALSE)</f>
        <v>57832</v>
      </c>
      <c r="Y2649" s="131">
        <f>_xll.qlCalendarAdvance(Calendar,X2649,NDays&amp;"D")</f>
        <v>57836</v>
      </c>
      <c r="Z2649" s="132">
        <v>1.3377003086934016E-2</v>
      </c>
      <c r="AA2649" s="129">
        <v>1.3397710727556245E-2</v>
      </c>
    </row>
    <row r="2650" spans="19:27" x14ac:dyDescent="0.2">
      <c r="S2650" s="1"/>
      <c r="T2650" s="109"/>
      <c r="W2650" s="130" t="str">
        <f t="shared" si="51"/>
        <v>1w</v>
      </c>
      <c r="X2650" s="128">
        <f>_xll.qlCalendarAdvance(Calendar,X2649,W2650,"f",FALSE)</f>
        <v>57839</v>
      </c>
      <c r="Y2650" s="131">
        <f>_xll.qlCalendarAdvance(Calendar,X2650,NDays&amp;"D")</f>
        <v>57843</v>
      </c>
      <c r="Z2650" s="132">
        <v>1.3370406747047529E-2</v>
      </c>
      <c r="AA2650" s="129">
        <v>1.3390931790544514E-2</v>
      </c>
    </row>
    <row r="2651" spans="19:27" x14ac:dyDescent="0.2">
      <c r="S2651" s="1"/>
      <c r="T2651" s="109"/>
      <c r="W2651" s="130" t="str">
        <f t="shared" si="51"/>
        <v>1w</v>
      </c>
      <c r="X2651" s="128">
        <f>_xll.qlCalendarAdvance(Calendar,X2650,W2651,"f",FALSE)</f>
        <v>57846</v>
      </c>
      <c r="Y2651" s="131">
        <f>_xll.qlCalendarAdvance(Calendar,X2651,NDays&amp;"D")</f>
        <v>57850</v>
      </c>
      <c r="Z2651" s="132">
        <v>1.3363842035474057E-2</v>
      </c>
      <c r="AA2651" s="129">
        <v>1.3384184364726437E-2</v>
      </c>
    </row>
    <row r="2652" spans="19:27" x14ac:dyDescent="0.2">
      <c r="S2652" s="1"/>
      <c r="T2652" s="109"/>
      <c r="W2652" s="130" t="str">
        <f t="shared" si="51"/>
        <v>1w</v>
      </c>
      <c r="X2652" s="128">
        <f>_xll.qlCalendarAdvance(Calendar,X2651,W2652,"f",FALSE)</f>
        <v>57853</v>
      </c>
      <c r="Y2652" s="131">
        <f>_xll.qlCalendarAdvance(Calendar,X2652,NDays&amp;"D")</f>
        <v>57857</v>
      </c>
      <c r="Z2652" s="132">
        <v>1.3357308952051986E-2</v>
      </c>
      <c r="AA2652" s="129">
        <v>1.3377468449542462E-2</v>
      </c>
    </row>
    <row r="2653" spans="19:27" x14ac:dyDescent="0.2">
      <c r="S2653" s="1"/>
      <c r="T2653" s="109"/>
      <c r="W2653" s="130" t="str">
        <f t="shared" si="51"/>
        <v>1w</v>
      </c>
      <c r="X2653" s="128">
        <f>_xll.qlCalendarAdvance(Calendar,X2652,W2653,"f",FALSE)</f>
        <v>57860</v>
      </c>
      <c r="Y2653" s="131">
        <f>_xll.qlCalendarAdvance(Calendar,X2653,NDays&amp;"D")</f>
        <v>57864</v>
      </c>
      <c r="Z2653" s="132">
        <v>1.3350807496623185E-2</v>
      </c>
      <c r="AA2653" s="129">
        <v>1.337078404539227E-2</v>
      </c>
    </row>
    <row r="2654" spans="19:27" x14ac:dyDescent="0.2">
      <c r="S2654" s="1"/>
      <c r="T2654" s="109"/>
      <c r="W2654" s="130" t="str">
        <f t="shared" si="51"/>
        <v>1w</v>
      </c>
      <c r="X2654" s="128">
        <f>_xll.qlCalendarAdvance(Calendar,X2653,W2654,"f",FALSE)</f>
        <v>57867</v>
      </c>
      <c r="Y2654" s="131">
        <f>_xll.qlCalendarAdvance(Calendar,X2654,NDays&amp;"D")</f>
        <v>57871</v>
      </c>
      <c r="Z2654" s="132">
        <v>1.3344337669033859E-2</v>
      </c>
      <c r="AA2654" s="129">
        <v>1.3364131152195924E-2</v>
      </c>
    </row>
    <row r="2655" spans="19:27" x14ac:dyDescent="0.2">
      <c r="S2655" s="1"/>
      <c r="T2655" s="109"/>
      <c r="W2655" s="130" t="str">
        <f t="shared" si="51"/>
        <v>1w</v>
      </c>
      <c r="X2655" s="128">
        <f>_xll.qlCalendarAdvance(Calendar,X2654,W2655,"f",FALSE)</f>
        <v>57874</v>
      </c>
      <c r="Y2655" s="131">
        <f>_xll.qlCalendarAdvance(Calendar,X2655,NDays&amp;"D")</f>
        <v>57878</v>
      </c>
      <c r="Z2655" s="132">
        <v>1.3337899469125008E-2</v>
      </c>
      <c r="AA2655" s="129">
        <v>1.3357509769713616E-2</v>
      </c>
    </row>
    <row r="2656" spans="19:27" x14ac:dyDescent="0.2">
      <c r="S2656" s="1"/>
      <c r="T2656" s="109"/>
      <c r="W2656" s="130" t="str">
        <f t="shared" si="51"/>
        <v>1w</v>
      </c>
      <c r="X2656" s="128">
        <f>_xll.qlCalendarAdvance(Calendar,X2655,W2656,"f",FALSE)</f>
        <v>57881</v>
      </c>
      <c r="Y2656" s="131">
        <f>_xll.qlCalendarAdvance(Calendar,X2656,NDays&amp;"D")</f>
        <v>57885</v>
      </c>
      <c r="Z2656" s="132">
        <v>1.3331492896743713E-2</v>
      </c>
      <c r="AA2656" s="129">
        <v>1.3350919898345026E-2</v>
      </c>
    </row>
    <row r="2657" spans="19:27" x14ac:dyDescent="0.2">
      <c r="S2657" s="1"/>
      <c r="T2657" s="109"/>
      <c r="W2657" s="130" t="str">
        <f t="shared" si="51"/>
        <v>1w</v>
      </c>
      <c r="X2657" s="128">
        <f>_xll.qlCalendarAdvance(Calendar,X2656,W2657,"f",FALSE)</f>
        <v>57888</v>
      </c>
      <c r="Y2657" s="131">
        <f>_xll.qlCalendarAdvance(Calendar,X2657,NDays&amp;"D")</f>
        <v>57892</v>
      </c>
      <c r="Z2657" s="132">
        <v>1.3325117951730966E-2</v>
      </c>
      <c r="AA2657" s="129">
        <v>1.3344361537610538E-2</v>
      </c>
    </row>
    <row r="2658" spans="19:27" x14ac:dyDescent="0.2">
      <c r="S2658" s="1"/>
      <c r="T2658" s="109"/>
      <c r="W2658" s="130" t="str">
        <f t="shared" si="51"/>
        <v>1w</v>
      </c>
      <c r="X2658" s="128">
        <f>_xll.qlCalendarAdvance(Calendar,X2657,W2658,"f",FALSE)</f>
        <v>57895</v>
      </c>
      <c r="Y2658" s="131">
        <f>_xll.qlCalendarAdvance(Calendar,X2658,NDays&amp;"D")</f>
        <v>57899</v>
      </c>
      <c r="Z2658" s="132">
        <v>1.3318774633936454E-2</v>
      </c>
      <c r="AA2658" s="129">
        <v>1.3337834688069705E-2</v>
      </c>
    </row>
    <row r="2659" spans="19:27" x14ac:dyDescent="0.2">
      <c r="S2659" s="1"/>
      <c r="T2659" s="109"/>
      <c r="W2659" s="130" t="str">
        <f t="shared" si="51"/>
        <v>1w</v>
      </c>
      <c r="X2659" s="128">
        <f>_xll.qlCalendarAdvance(Calendar,X2658,W2659,"f",FALSE)</f>
        <v>57902</v>
      </c>
      <c r="Y2659" s="131">
        <f>_xll.qlCalendarAdvance(Calendar,X2659,NDays&amp;"D")</f>
        <v>57906</v>
      </c>
      <c r="Z2659" s="132">
        <v>1.3312462943206389E-2</v>
      </c>
      <c r="AA2659" s="129">
        <v>1.3331339349402782E-2</v>
      </c>
    </row>
    <row r="2660" spans="19:27" x14ac:dyDescent="0.2">
      <c r="S2660" s="1"/>
      <c r="T2660" s="109"/>
      <c r="W2660" s="130" t="str">
        <f t="shared" si="51"/>
        <v>1w</v>
      </c>
      <c r="X2660" s="128">
        <f>_xll.qlCalendarAdvance(Calendar,X2659,W2660,"f",FALSE)</f>
        <v>57909</v>
      </c>
      <c r="Y2660" s="131">
        <f>_xll.qlCalendarAdvance(Calendar,X2660,NDays&amp;"D")</f>
        <v>57913</v>
      </c>
      <c r="Z2660" s="132">
        <v>1.3306182879387849E-2</v>
      </c>
      <c r="AA2660" s="129">
        <v>1.3324875521529833E-2</v>
      </c>
    </row>
    <row r="2661" spans="19:27" x14ac:dyDescent="0.2">
      <c r="S2661" s="1"/>
      <c r="T2661" s="109"/>
      <c r="W2661" s="130" t="str">
        <f t="shared" si="51"/>
        <v>1w</v>
      </c>
      <c r="X2661" s="128">
        <f>_xll.qlCalendarAdvance(Calendar,X2660,W2661,"f",FALSE)</f>
        <v>57916</v>
      </c>
      <c r="Y2661" s="131">
        <f>_xll.qlCalendarAdvance(Calendar,X2661,NDays&amp;"D")</f>
        <v>57920</v>
      </c>
      <c r="Z2661" s="132">
        <v>1.3299934442327912E-2</v>
      </c>
      <c r="AA2661" s="129">
        <v>1.3318443204530794E-2</v>
      </c>
    </row>
    <row r="2662" spans="19:27" x14ac:dyDescent="0.2">
      <c r="S2662" s="1"/>
      <c r="T2662" s="109"/>
      <c r="W2662" s="130" t="str">
        <f t="shared" si="51"/>
        <v>1w</v>
      </c>
      <c r="X2662" s="128">
        <f>_xll.qlCalendarAdvance(Calendar,X2661,W2662,"f",FALSE)</f>
        <v>57923</v>
      </c>
      <c r="Y2662" s="131">
        <f>_xll.qlCalendarAdvance(Calendar,X2662,NDays&amp;"D")</f>
        <v>57927</v>
      </c>
      <c r="Z2662" s="132">
        <v>1.3293717631876261E-2</v>
      </c>
      <c r="AA2662" s="129">
        <v>1.3312042398485602E-2</v>
      </c>
    </row>
    <row r="2663" spans="19:27" x14ac:dyDescent="0.2">
      <c r="S2663" s="1"/>
      <c r="T2663" s="109"/>
      <c r="W2663" s="130" t="str">
        <f t="shared" si="51"/>
        <v>1w</v>
      </c>
      <c r="X2663" s="128">
        <f>_xll.qlCalendarAdvance(Calendar,X2662,W2663,"f",FALSE)</f>
        <v>57930</v>
      </c>
      <c r="Y2663" s="131">
        <f>_xll.qlCalendarAdvance(Calendar,X2663,NDays&amp;"D")</f>
        <v>57934</v>
      </c>
      <c r="Z2663" s="132">
        <v>1.3287532447884325E-2</v>
      </c>
      <c r="AA2663" s="129">
        <v>1.3305673103394255E-2</v>
      </c>
    </row>
    <row r="2664" spans="19:27" x14ac:dyDescent="0.2">
      <c r="S2664" s="1"/>
      <c r="T2664" s="109"/>
      <c r="W2664" s="130" t="str">
        <f t="shared" si="51"/>
        <v>1w</v>
      </c>
      <c r="X2664" s="128">
        <f>_xll.qlCalendarAdvance(Calendar,X2663,W2664,"f",FALSE)</f>
        <v>57937</v>
      </c>
      <c r="Y2664" s="131">
        <f>_xll.qlCalendarAdvance(Calendar,X2664,NDays&amp;"D")</f>
        <v>57941</v>
      </c>
      <c r="Z2664" s="132">
        <v>1.3281378890201785E-2</v>
      </c>
      <c r="AA2664" s="129">
        <v>1.3299335319176819E-2</v>
      </c>
    </row>
    <row r="2665" spans="19:27" x14ac:dyDescent="0.2">
      <c r="S2665" s="1"/>
      <c r="T2665" s="109"/>
      <c r="W2665" s="130" t="str">
        <f t="shared" si="51"/>
        <v>1w</v>
      </c>
      <c r="X2665" s="128">
        <f>_xll.qlCalendarAdvance(Calendar,X2664,W2665,"f",FALSE)</f>
        <v>57944</v>
      </c>
      <c r="Y2665" s="131">
        <f>_xll.qlCalendarAdvance(Calendar,X2665,NDays&amp;"D")</f>
        <v>57948</v>
      </c>
      <c r="Z2665" s="132">
        <v>1.3275256958679198E-2</v>
      </c>
      <c r="AA2665" s="129">
        <v>1.3293029045913229E-2</v>
      </c>
    </row>
    <row r="2666" spans="19:27" x14ac:dyDescent="0.2">
      <c r="S2666" s="1"/>
      <c r="T2666" s="109"/>
      <c r="W2666" s="130" t="str">
        <f t="shared" si="51"/>
        <v>1w</v>
      </c>
      <c r="X2666" s="128">
        <f>_xll.qlCalendarAdvance(Calendar,X2665,W2666,"f",FALSE)</f>
        <v>57951</v>
      </c>
      <c r="Y2666" s="131">
        <f>_xll.qlCalendarAdvance(Calendar,X2666,NDays&amp;"D")</f>
        <v>57955</v>
      </c>
      <c r="Z2666" s="132">
        <v>1.3269351426663353E-2</v>
      </c>
      <c r="AA2666" s="129">
        <v>1.3286754283363678E-2</v>
      </c>
    </row>
    <row r="2667" spans="19:27" x14ac:dyDescent="0.2">
      <c r="S2667" s="1"/>
      <c r="T2667" s="109"/>
      <c r="W2667" s="130" t="str">
        <f t="shared" si="51"/>
        <v>1w</v>
      </c>
      <c r="X2667" s="128">
        <f>_xll.qlCalendarAdvance(Calendar,X2666,W2667,"f",FALSE)</f>
        <v>57958</v>
      </c>
      <c r="Y2667" s="131">
        <f>_xll.qlCalendarAdvance(Calendar,X2667,NDays&amp;"D")</f>
        <v>57962</v>
      </c>
      <c r="Z2667" s="132">
        <v>1.3263290711013566E-2</v>
      </c>
      <c r="AA2667" s="129">
        <v>1.3280511031767972E-2</v>
      </c>
    </row>
    <row r="2668" spans="19:27" x14ac:dyDescent="0.2">
      <c r="S2668" s="1"/>
      <c r="T2668" s="109"/>
      <c r="W2668" s="130" t="str">
        <f t="shared" si="51"/>
        <v>1w</v>
      </c>
      <c r="X2668" s="128">
        <f>_xll.qlCalendarAdvance(Calendar,X2667,W2668,"f",FALSE)</f>
        <v>57965</v>
      </c>
      <c r="Y2668" s="131">
        <f>_xll.qlCalendarAdvance(Calendar,X2668,NDays&amp;"D")</f>
        <v>57969</v>
      </c>
      <c r="Z2668" s="132">
        <v>1.3257261619826826E-2</v>
      </c>
      <c r="AA2668" s="129">
        <v>1.3274299290966241E-2</v>
      </c>
    </row>
    <row r="2669" spans="19:27" x14ac:dyDescent="0.2">
      <c r="S2669" s="1"/>
      <c r="T2669" s="109"/>
      <c r="W2669" s="130" t="str">
        <f t="shared" si="51"/>
        <v>1w</v>
      </c>
      <c r="X2669" s="128">
        <f>_xll.qlCalendarAdvance(Calendar,X2668,W2669,"f",FALSE)</f>
        <v>57972</v>
      </c>
      <c r="Y2669" s="131">
        <f>_xll.qlCalendarAdvance(Calendar,X2669,NDays&amp;"D")</f>
        <v>57976</v>
      </c>
      <c r="Z2669" s="132">
        <v>1.3251264152963469E-2</v>
      </c>
      <c r="AA2669" s="129">
        <v>1.3268119061358163E-2</v>
      </c>
    </row>
    <row r="2670" spans="19:27" x14ac:dyDescent="0.2">
      <c r="S2670" s="1"/>
      <c r="T2670" s="109"/>
      <c r="W2670" s="130" t="str">
        <f t="shared" si="51"/>
        <v>1w</v>
      </c>
      <c r="X2670" s="128">
        <f>_xll.qlCalendarAdvance(Calendar,X2669,W2670,"f",FALSE)</f>
        <v>57979</v>
      </c>
      <c r="Y2670" s="131">
        <f>_xll.qlCalendarAdvance(Calendar,X2670,NDays&amp;"D")</f>
        <v>57983</v>
      </c>
      <c r="Z2670" s="132">
        <v>1.3245121688317481E-2</v>
      </c>
      <c r="AA2670" s="129">
        <v>1.3261970342384188E-2</v>
      </c>
    </row>
    <row r="2671" spans="19:27" x14ac:dyDescent="0.2">
      <c r="S2671" s="1"/>
      <c r="T2671" s="109"/>
      <c r="W2671" s="130" t="str">
        <f t="shared" si="51"/>
        <v>1w</v>
      </c>
      <c r="X2671" s="128">
        <f>_xll.qlCalendarAdvance(Calendar,X2670,W2671,"f",FALSE)</f>
        <v>57986</v>
      </c>
      <c r="Y2671" s="131">
        <f>_xll.qlCalendarAdvance(Calendar,X2671,NDays&amp;"D")</f>
        <v>57990</v>
      </c>
      <c r="Z2671" s="132">
        <v>1.3239189510677067E-2</v>
      </c>
      <c r="AA2671" s="129">
        <v>1.3255853134284123E-2</v>
      </c>
    </row>
    <row r="2672" spans="19:27" x14ac:dyDescent="0.2">
      <c r="S2672" s="1"/>
      <c r="T2672" s="109"/>
      <c r="W2672" s="130" t="str">
        <f t="shared" si="51"/>
        <v>1w</v>
      </c>
      <c r="X2672" s="128">
        <f>_xll.qlCalendarAdvance(Calendar,X2671,W2672,"f",FALSE)</f>
        <v>57993</v>
      </c>
      <c r="Y2672" s="131">
        <f>_xll.qlCalendarAdvance(Calendar,X2672,NDays&amp;"D")</f>
        <v>57997</v>
      </c>
      <c r="Z2672" s="132">
        <v>1.3233288958177417E-2</v>
      </c>
      <c r="AA2672" s="129">
        <v>1.3249767437137905E-2</v>
      </c>
    </row>
    <row r="2673" spans="19:27" x14ac:dyDescent="0.2">
      <c r="S2673" s="1"/>
      <c r="T2673" s="109"/>
      <c r="W2673" s="130" t="str">
        <f t="shared" si="51"/>
        <v>1w</v>
      </c>
      <c r="X2673" s="128">
        <f>_xll.qlCalendarAdvance(Calendar,X2672,W2673,"f",FALSE)</f>
        <v>58000</v>
      </c>
      <c r="Y2673" s="131">
        <f>_xll.qlCalendarAdvance(Calendar,X2673,NDays&amp;"D")</f>
        <v>58004</v>
      </c>
      <c r="Z2673" s="132">
        <v>1.3227420030676911E-2</v>
      </c>
      <c r="AA2673" s="129">
        <v>1.3243713250945532E-2</v>
      </c>
    </row>
    <row r="2674" spans="19:27" x14ac:dyDescent="0.2">
      <c r="S2674" s="1"/>
      <c r="T2674" s="109"/>
      <c r="W2674" s="130" t="str">
        <f t="shared" si="51"/>
        <v>1w</v>
      </c>
      <c r="X2674" s="128">
        <f>_xll.qlCalendarAdvance(Calendar,X2673,W2674,"f",FALSE)</f>
        <v>58007</v>
      </c>
      <c r="Y2674" s="131">
        <f>_xll.qlCalendarAdvance(Calendar,X2674,NDays&amp;"D")</f>
        <v>58011</v>
      </c>
      <c r="Z2674" s="132">
        <v>1.3221582728033919E-2</v>
      </c>
      <c r="AA2674" s="129">
        <v>1.323769057562707E-2</v>
      </c>
    </row>
    <row r="2675" spans="19:27" x14ac:dyDescent="0.2">
      <c r="S2675" s="1"/>
      <c r="T2675" s="109"/>
      <c r="W2675" s="130" t="str">
        <f t="shared" si="51"/>
        <v>1w</v>
      </c>
      <c r="X2675" s="128">
        <f>_xll.qlCalendarAdvance(Calendar,X2674,W2675,"f",FALSE)</f>
        <v>58014</v>
      </c>
      <c r="Y2675" s="131">
        <f>_xll.qlCalendarAdvance(Calendar,X2675,NDays&amp;"D")</f>
        <v>58018</v>
      </c>
      <c r="Z2675" s="132">
        <v>1.321577705010421E-2</v>
      </c>
      <c r="AA2675" s="129">
        <v>1.323169941094271E-2</v>
      </c>
    </row>
    <row r="2676" spans="19:27" x14ac:dyDescent="0.2">
      <c r="S2676" s="1"/>
      <c r="T2676" s="109"/>
      <c r="W2676" s="130" t="str">
        <f t="shared" si="51"/>
        <v>1w</v>
      </c>
      <c r="X2676" s="128">
        <f>_xll.qlCalendarAdvance(Calendar,X2675,W2676,"f",FALSE)</f>
        <v>58021</v>
      </c>
      <c r="Y2676" s="131">
        <f>_xll.qlCalendarAdvance(Calendar,X2676,NDays&amp;"D")</f>
        <v>58025</v>
      </c>
      <c r="Z2676" s="132">
        <v>1.3210002996751373E-2</v>
      </c>
      <c r="AA2676" s="129">
        <v>1.3225739757292132E-2</v>
      </c>
    </row>
    <row r="2677" spans="19:27" x14ac:dyDescent="0.2">
      <c r="S2677" s="1"/>
      <c r="T2677" s="109"/>
      <c r="W2677" s="130" t="str">
        <f t="shared" si="51"/>
        <v>1w</v>
      </c>
      <c r="X2677" s="128">
        <f>_xll.qlCalendarAdvance(Calendar,X2676,W2677,"f",FALSE)</f>
        <v>58028</v>
      </c>
      <c r="Y2677" s="131">
        <f>_xll.qlCalendarAdvance(Calendar,X2677,NDays&amp;"D")</f>
        <v>58032</v>
      </c>
      <c r="Z2677" s="132">
        <v>1.3204260567834646E-2</v>
      </c>
      <c r="AA2677" s="129">
        <v>1.3219811614675336E-2</v>
      </c>
    </row>
    <row r="2678" spans="19:27" x14ac:dyDescent="0.2">
      <c r="S2678" s="1"/>
      <c r="T2678" s="109"/>
      <c r="W2678" s="130" t="str">
        <f t="shared" si="51"/>
        <v>1w</v>
      </c>
      <c r="X2678" s="128">
        <f>_xll.qlCalendarAdvance(Calendar,X2677,W2678,"f",FALSE)</f>
        <v>58035</v>
      </c>
      <c r="Y2678" s="131">
        <f>_xll.qlCalendarAdvance(Calendar,X2678,NDays&amp;"D")</f>
        <v>58039</v>
      </c>
      <c r="Z2678" s="132">
        <v>1.3198549763215016E-2</v>
      </c>
      <c r="AA2678" s="129">
        <v>1.3213914982772579E-2</v>
      </c>
    </row>
    <row r="2679" spans="19:27" x14ac:dyDescent="0.2">
      <c r="S2679" s="1"/>
      <c r="T2679" s="109"/>
      <c r="W2679" s="130" t="str">
        <f t="shared" si="51"/>
        <v>1w</v>
      </c>
      <c r="X2679" s="128">
        <f>_xll.qlCalendarAdvance(Calendar,X2678,W2679,"f",FALSE)</f>
        <v>58042</v>
      </c>
      <c r="Y2679" s="131">
        <f>_xll.qlCalendarAdvance(Calendar,X2679,NDays&amp;"D")</f>
        <v>58046</v>
      </c>
      <c r="Z2679" s="132">
        <v>1.319302879081158E-2</v>
      </c>
      <c r="AA2679" s="129">
        <v>1.3208049861583859E-2</v>
      </c>
    </row>
    <row r="2680" spans="19:27" x14ac:dyDescent="0.2">
      <c r="S2680" s="1"/>
      <c r="T2680" s="109"/>
      <c r="W2680" s="130" t="str">
        <f t="shared" si="51"/>
        <v>1w</v>
      </c>
      <c r="X2680" s="128">
        <f>_xll.qlCalendarAdvance(Calendar,X2679,W2680,"f",FALSE)</f>
        <v>58049</v>
      </c>
      <c r="Y2680" s="131">
        <f>_xll.qlCalendarAdvance(Calendar,X2680,NDays&amp;"D")</f>
        <v>58053</v>
      </c>
      <c r="Z2680" s="132">
        <v>1.3187379182183625E-2</v>
      </c>
      <c r="AA2680" s="129">
        <v>1.3202216251508858E-2</v>
      </c>
    </row>
    <row r="2681" spans="19:27" x14ac:dyDescent="0.2">
      <c r="S2681" s="1"/>
      <c r="T2681" s="109"/>
      <c r="W2681" s="130" t="str">
        <f t="shared" si="51"/>
        <v>1w</v>
      </c>
      <c r="X2681" s="128">
        <f>_xll.qlCalendarAdvance(Calendar,X2680,W2681,"f",FALSE)</f>
        <v>58056</v>
      </c>
      <c r="Y2681" s="131">
        <f>_xll.qlCalendarAdvance(Calendar,X2681,NDays&amp;"D")</f>
        <v>58060</v>
      </c>
      <c r="Z2681" s="132">
        <v>1.3181761196207419E-2</v>
      </c>
      <c r="AA2681" s="129">
        <v>1.3196414152227831E-2</v>
      </c>
    </row>
    <row r="2682" spans="19:27" x14ac:dyDescent="0.2">
      <c r="S2682" s="1"/>
      <c r="T2682" s="109"/>
      <c r="W2682" s="130" t="str">
        <f t="shared" si="51"/>
        <v>1w</v>
      </c>
      <c r="X2682" s="128">
        <f>_xll.qlCalendarAdvance(Calendar,X2681,W2682,"f",FALSE)</f>
        <v>58063</v>
      </c>
      <c r="Y2682" s="131">
        <f>_xll.qlCalendarAdvance(Calendar,X2682,NDays&amp;"D")</f>
        <v>58067</v>
      </c>
      <c r="Z2682" s="132">
        <v>1.317617483274681E-2</v>
      </c>
      <c r="AA2682" s="129">
        <v>1.3190643563740778E-2</v>
      </c>
    </row>
    <row r="2683" spans="19:27" x14ac:dyDescent="0.2">
      <c r="S2683" s="1"/>
      <c r="T2683" s="109"/>
      <c r="W2683" s="130" t="str">
        <f t="shared" si="51"/>
        <v>1w</v>
      </c>
      <c r="X2683" s="128">
        <f>_xll.qlCalendarAdvance(Calendar,X2682,W2683,"f",FALSE)</f>
        <v>58071</v>
      </c>
      <c r="Y2683" s="131">
        <f>_xll.qlCalendarAdvance(Calendar,X2683,NDays&amp;"D")</f>
        <v>58075</v>
      </c>
      <c r="Z2683" s="132">
        <v>1.3170580515357203E-2</v>
      </c>
      <c r="AA2683" s="129">
        <v>1.318392026582238E-2</v>
      </c>
    </row>
    <row r="2684" spans="19:27" x14ac:dyDescent="0.2">
      <c r="S2684" s="1"/>
      <c r="T2684" s="109"/>
      <c r="W2684" s="130" t="str">
        <f t="shared" si="51"/>
        <v>1w</v>
      </c>
      <c r="X2684" s="128">
        <f>_xll.qlCalendarAdvance(Calendar,X2683,W2684,"f",FALSE)</f>
        <v>58078</v>
      </c>
      <c r="Y2684" s="131">
        <f>_xll.qlCalendarAdvance(Calendar,X2684,NDays&amp;"D")</f>
        <v>58082</v>
      </c>
      <c r="Z2684" s="132">
        <v>1.3164458370687804E-2</v>
      </c>
      <c r="AA2684" s="129">
        <v>1.3178384125156484E-2</v>
      </c>
    </row>
    <row r="2685" spans="19:27" x14ac:dyDescent="0.2">
      <c r="S2685" s="1"/>
      <c r="T2685" s="109"/>
      <c r="W2685" s="130" t="str">
        <f t="shared" si="51"/>
        <v>1w</v>
      </c>
      <c r="X2685" s="128">
        <f>_xll.qlCalendarAdvance(Calendar,X2684,W2685,"f",FALSE)</f>
        <v>58085</v>
      </c>
      <c r="Y2685" s="131">
        <f>_xll.qlCalendarAdvance(Calendar,X2685,NDays&amp;"D")</f>
        <v>58089</v>
      </c>
      <c r="Z2685" s="132">
        <v>1.3158969333059822E-2</v>
      </c>
      <c r="AA2685" s="129">
        <v>1.3172712570970191E-2</v>
      </c>
    </row>
    <row r="2686" spans="19:27" x14ac:dyDescent="0.2">
      <c r="S2686" s="1"/>
      <c r="T2686" s="109"/>
      <c r="W2686" s="130" t="str">
        <f t="shared" si="51"/>
        <v>1w</v>
      </c>
      <c r="X2686" s="128">
        <f>_xll.qlCalendarAdvance(Calendar,X2685,W2686,"f",FALSE)</f>
        <v>58092</v>
      </c>
      <c r="Y2686" s="131">
        <f>_xll.qlCalendarAdvance(Calendar,X2686,NDays&amp;"D")</f>
        <v>58096</v>
      </c>
      <c r="Z2686" s="132">
        <v>1.3153511916171645E-2</v>
      </c>
      <c r="AA2686" s="129">
        <v>1.3167072527497936E-2</v>
      </c>
    </row>
    <row r="2687" spans="19:27" x14ac:dyDescent="0.2">
      <c r="S2687" s="1"/>
      <c r="T2687" s="109"/>
      <c r="W2687" s="130" t="str">
        <f t="shared" si="51"/>
        <v>1w</v>
      </c>
      <c r="X2687" s="128">
        <f>_xll.qlCalendarAdvance(Calendar,X2686,W2687,"f",FALSE)</f>
        <v>58099</v>
      </c>
      <c r="Y2687" s="131">
        <f>_xll.qlCalendarAdvance(Calendar,X2687,NDays&amp;"D")</f>
        <v>58103</v>
      </c>
      <c r="Z2687" s="132">
        <v>1.3148086119896263E-2</v>
      </c>
      <c r="AA2687" s="129">
        <v>1.3161463994899592E-2</v>
      </c>
    </row>
    <row r="2688" spans="19:27" x14ac:dyDescent="0.2">
      <c r="S2688" s="1"/>
      <c r="T2688" s="109"/>
      <c r="W2688" s="130" t="str">
        <f t="shared" si="51"/>
        <v>1w</v>
      </c>
      <c r="X2688" s="128">
        <f>_xll.qlCalendarAdvance(Calendar,X2687,W2688,"f",FALSE)</f>
        <v>58106</v>
      </c>
      <c r="Y2688" s="131">
        <f>_xll.qlCalendarAdvance(Calendar,X2688,NDays&amp;"D")</f>
        <v>58110</v>
      </c>
      <c r="Z2688" s="132">
        <v>1.3142691944104001E-2</v>
      </c>
      <c r="AA2688" s="129">
        <v>1.3155886973175157E-2</v>
      </c>
    </row>
    <row r="2689" spans="19:27" x14ac:dyDescent="0.2">
      <c r="S2689" s="1"/>
      <c r="T2689" s="109"/>
      <c r="W2689" s="130" t="str">
        <f t="shared" si="51"/>
        <v>1w</v>
      </c>
      <c r="X2689" s="128">
        <f>_xll.qlCalendarAdvance(Calendar,X2688,W2689,"f",FALSE)</f>
        <v>58113</v>
      </c>
      <c r="Y2689" s="131">
        <f>_xll.qlCalendarAdvance(Calendar,X2689,NDays&amp;"D")</f>
        <v>58117</v>
      </c>
      <c r="Z2689" s="132">
        <v>1.3137329388667851E-2</v>
      </c>
      <c r="AA2689" s="129">
        <v>1.3150341462244697E-2</v>
      </c>
    </row>
    <row r="2690" spans="19:27" x14ac:dyDescent="0.2">
      <c r="S2690" s="1"/>
      <c r="T2690" s="109"/>
      <c r="W2690" s="130" t="str">
        <f t="shared" si="51"/>
        <v>1w</v>
      </c>
      <c r="X2690" s="128">
        <f>_xll.qlCalendarAdvance(Calendar,X2689,W2690,"f",FALSE)</f>
        <v>58120</v>
      </c>
      <c r="Y2690" s="131">
        <f>_xll.qlCalendarAdvance(Calendar,X2690,NDays&amp;"D")</f>
        <v>58124</v>
      </c>
      <c r="Z2690" s="132">
        <v>1.3131998453461691E-2</v>
      </c>
      <c r="AA2690" s="129">
        <v>1.3144827462348019E-2</v>
      </c>
    </row>
    <row r="2691" spans="19:27" x14ac:dyDescent="0.2">
      <c r="S2691" s="1"/>
      <c r="T2691" s="109"/>
      <c r="W2691" s="130" t="str">
        <f t="shared" si="51"/>
        <v>1w</v>
      </c>
      <c r="X2691" s="128">
        <f>_xll.qlCalendarAdvance(Calendar,X2690,W2691,"f",FALSE)</f>
        <v>58127</v>
      </c>
      <c r="Y2691" s="131">
        <f>_xll.qlCalendarAdvance(Calendar,X2691,NDays&amp;"D")</f>
        <v>58131</v>
      </c>
      <c r="Z2691" s="132">
        <v>1.3126699138358511E-2</v>
      </c>
      <c r="AA2691" s="129">
        <v>1.3139344973245315E-2</v>
      </c>
    </row>
    <row r="2692" spans="19:27" x14ac:dyDescent="0.2">
      <c r="S2692" s="1"/>
      <c r="T2692" s="109"/>
      <c r="W2692" s="130" t="str">
        <f t="shared" si="51"/>
        <v>1w</v>
      </c>
      <c r="X2692" s="128">
        <f>_xll.qlCalendarAdvance(Calendar,X2691,W2692,"f",FALSE)</f>
        <v>58134</v>
      </c>
      <c r="Y2692" s="131">
        <f>_xll.qlCalendarAdvance(Calendar,X2692,NDays&amp;"D")</f>
        <v>58138</v>
      </c>
      <c r="Z2692" s="132">
        <v>1.3121168972626806E-2</v>
      </c>
      <c r="AA2692" s="129">
        <v>1.3133893994856649E-2</v>
      </c>
    </row>
    <row r="2693" spans="19:27" x14ac:dyDescent="0.2">
      <c r="S2693" s="1"/>
      <c r="T2693" s="109"/>
      <c r="W2693" s="130" t="str">
        <f t="shared" si="51"/>
        <v>1w</v>
      </c>
      <c r="X2693" s="128">
        <f>_xll.qlCalendarAdvance(Calendar,X2692,W2693,"f",FALSE)</f>
        <v>58141</v>
      </c>
      <c r="Y2693" s="131">
        <f>_xll.qlCalendarAdvance(Calendar,X2693,NDays&amp;"D")</f>
        <v>58145</v>
      </c>
      <c r="Z2693" s="132">
        <v>1.3115937033799411E-2</v>
      </c>
      <c r="AA2693" s="129">
        <v>1.3128474527501766E-2</v>
      </c>
    </row>
    <row r="2694" spans="19:27" x14ac:dyDescent="0.2">
      <c r="S2694" s="1"/>
      <c r="T2694" s="109"/>
      <c r="W2694" s="130" t="str">
        <f t="shared" si="51"/>
        <v>1w</v>
      </c>
      <c r="X2694" s="128">
        <f>_xll.qlCalendarAdvance(Calendar,X2693,W2694,"f",FALSE)</f>
        <v>58148</v>
      </c>
      <c r="Y2694" s="131">
        <f>_xll.qlCalendarAdvance(Calendar,X2694,NDays&amp;"D")</f>
        <v>58152</v>
      </c>
      <c r="Z2694" s="132">
        <v>1.3110736717133429E-2</v>
      </c>
      <c r="AA2694" s="129">
        <v>1.3123086570780984E-2</v>
      </c>
    </row>
    <row r="2695" spans="19:27" x14ac:dyDescent="0.2">
      <c r="S2695" s="1"/>
      <c r="T2695" s="109"/>
      <c r="W2695" s="130" t="str">
        <f t="shared" si="51"/>
        <v>1w</v>
      </c>
      <c r="X2695" s="128">
        <f>_xll.qlCalendarAdvance(Calendar,X2694,W2695,"f",FALSE)</f>
        <v>58155</v>
      </c>
      <c r="Y2695" s="131">
        <f>_xll.qlCalendarAdvance(Calendar,X2695,NDays&amp;"D")</f>
        <v>58159</v>
      </c>
      <c r="Z2695" s="132">
        <v>1.3105568022506345E-2</v>
      </c>
      <c r="AA2695" s="129">
        <v>1.3117730125014049E-2</v>
      </c>
    </row>
    <row r="2696" spans="19:27" x14ac:dyDescent="0.2">
      <c r="S2696" s="1"/>
      <c r="T2696" s="109"/>
      <c r="W2696" s="130" t="str">
        <f t="shared" si="51"/>
        <v>1w</v>
      </c>
      <c r="X2696" s="128">
        <f>_xll.qlCalendarAdvance(Calendar,X2695,W2696,"f",FALSE)</f>
        <v>58166</v>
      </c>
      <c r="Y2696" s="131">
        <f>_xll.qlCalendarAdvance(Calendar,X2696,NDays&amp;"D")</f>
        <v>58168</v>
      </c>
      <c r="Z2696" s="132">
        <v>1.3099091288422102E-2</v>
      </c>
      <c r="AA2696" s="129">
        <v>1.311088956793327E-2</v>
      </c>
    </row>
    <row r="2697" spans="19:27" x14ac:dyDescent="0.2">
      <c r="S2697" s="1"/>
      <c r="T2697" s="109"/>
      <c r="W2697" s="130" t="str">
        <f t="shared" si="51"/>
        <v>1w</v>
      </c>
      <c r="X2697" s="128">
        <f>_xll.qlCalendarAdvance(Calendar,X2696,W2697,"f",FALSE)</f>
        <v>58173</v>
      </c>
      <c r="Y2697" s="131">
        <f>_xll.qlCalendarAdvance(Calendar,X2697,NDays&amp;"D")</f>
        <v>58175</v>
      </c>
      <c r="Z2697" s="132">
        <v>1.3093992798759996E-2</v>
      </c>
      <c r="AA2697" s="129">
        <v>1.310560514695247E-2</v>
      </c>
    </row>
    <row r="2698" spans="19:27" x14ac:dyDescent="0.2">
      <c r="S2698" s="1"/>
      <c r="T2698" s="109"/>
      <c r="W2698" s="130" t="str">
        <f t="shared" si="51"/>
        <v>1w</v>
      </c>
      <c r="X2698" s="128">
        <f>_xll.qlCalendarAdvance(Calendar,X2697,W2698,"f",FALSE)</f>
        <v>58180</v>
      </c>
      <c r="Y2698" s="131">
        <f>_xll.qlCalendarAdvance(Calendar,X2698,NDays&amp;"D")</f>
        <v>58182</v>
      </c>
      <c r="Z2698" s="132">
        <v>1.3088925929517579E-2</v>
      </c>
      <c r="AA2698" s="129">
        <v>1.310035223684558E-2</v>
      </c>
    </row>
    <row r="2699" spans="19:27" x14ac:dyDescent="0.2">
      <c r="S2699" s="1"/>
      <c r="T2699" s="109"/>
      <c r="W2699" s="130" t="str">
        <f t="shared" si="51"/>
        <v>1w</v>
      </c>
      <c r="X2699" s="128">
        <f>_xll.qlCalendarAdvance(Calendar,X2698,W2699,"f",FALSE)</f>
        <v>58187</v>
      </c>
      <c r="Y2699" s="131">
        <f>_xll.qlCalendarAdvance(Calendar,X2699,NDays&amp;"D")</f>
        <v>58189</v>
      </c>
      <c r="Z2699" s="132">
        <v>1.3083890680573628E-2</v>
      </c>
      <c r="AA2699" s="129">
        <v>1.3095130837452729E-2</v>
      </c>
    </row>
    <row r="2700" spans="19:27" x14ac:dyDescent="0.2">
      <c r="S2700" s="1"/>
      <c r="T2700" s="109"/>
      <c r="W2700" s="130" t="str">
        <f t="shared" si="51"/>
        <v>1w</v>
      </c>
      <c r="X2700" s="128">
        <f>_xll.qlCalendarAdvance(Calendar,X2699,W2700,"f",FALSE)</f>
        <v>58194</v>
      </c>
      <c r="Y2700" s="131">
        <f>_xll.qlCalendarAdvance(Calendar,X2700,NDays&amp;"D")</f>
        <v>58197</v>
      </c>
      <c r="Z2700" s="132">
        <v>1.3077834412716004E-2</v>
      </c>
      <c r="AA2700" s="129">
        <v>1.3088939986927173E-2</v>
      </c>
    </row>
    <row r="2701" spans="19:27" x14ac:dyDescent="0.2">
      <c r="S2701" s="1"/>
      <c r="T2701" s="109"/>
      <c r="W2701" s="130" t="str">
        <f t="shared" si="51"/>
        <v>1w</v>
      </c>
      <c r="X2701" s="128">
        <f>_xll.qlCalendarAdvance(Calendar,X2700,W2701,"f",FALSE)</f>
        <v>58201</v>
      </c>
      <c r="Y2701" s="131">
        <f>_xll.qlCalendarAdvance(Calendar,X2701,NDays&amp;"D")</f>
        <v>58203</v>
      </c>
      <c r="Z2701" s="132">
        <v>1.3073803157145686E-2</v>
      </c>
      <c r="AA2701" s="129">
        <v>1.3084782571528564E-2</v>
      </c>
    </row>
    <row r="2702" spans="19:27" x14ac:dyDescent="0.2">
      <c r="S2702" s="1"/>
      <c r="T2702" s="109"/>
      <c r="W2702" s="130" t="str">
        <f t="shared" si="51"/>
        <v>1w</v>
      </c>
      <c r="X2702" s="128">
        <f>_xll.qlCalendarAdvance(Calendar,X2701,W2702,"f",FALSE)</f>
        <v>58208</v>
      </c>
      <c r="Y2702" s="131">
        <f>_xll.qlCalendarAdvance(Calendar,X2702,NDays&amp;"D")</f>
        <v>58210</v>
      </c>
      <c r="Z2702" s="132">
        <v>1.3068864847928484E-2</v>
      </c>
      <c r="AA2702" s="129">
        <v>1.307965570459757E-2</v>
      </c>
    </row>
    <row r="2703" spans="19:27" x14ac:dyDescent="0.2">
      <c r="S2703" s="1"/>
      <c r="T2703" s="109"/>
      <c r="W2703" s="130" t="str">
        <f t="shared" si="51"/>
        <v>1w</v>
      </c>
      <c r="X2703" s="128">
        <f>_xll.qlCalendarAdvance(Calendar,X2702,W2703,"f",FALSE)</f>
        <v>58215</v>
      </c>
      <c r="Y2703" s="131">
        <f>_xll.qlCalendarAdvance(Calendar,X2703,NDays&amp;"D")</f>
        <v>58217</v>
      </c>
      <c r="Z2703" s="132">
        <v>1.3063958159739686E-2</v>
      </c>
      <c r="AA2703" s="129">
        <v>1.3074560348700359E-2</v>
      </c>
    </row>
    <row r="2704" spans="19:27" x14ac:dyDescent="0.2">
      <c r="S2704" s="1"/>
      <c r="T2704" s="109"/>
      <c r="W2704" s="130" t="str">
        <f t="shared" si="51"/>
        <v>1w</v>
      </c>
      <c r="X2704" s="128">
        <f>_xll.qlCalendarAdvance(Calendar,X2703,W2704,"f",FALSE)</f>
        <v>58222</v>
      </c>
      <c r="Y2704" s="131">
        <f>_xll.qlCalendarAdvance(Calendar,X2704,NDays&amp;"D")</f>
        <v>58224</v>
      </c>
      <c r="Z2704" s="132">
        <v>1.3059083092456781E-2</v>
      </c>
      <c r="AA2704" s="129">
        <v>1.3069496503597122E-2</v>
      </c>
    </row>
    <row r="2705" spans="19:27" x14ac:dyDescent="0.2">
      <c r="S2705" s="1"/>
      <c r="T2705" s="109"/>
      <c r="W2705" s="130" t="str">
        <f t="shared" si="51"/>
        <v>1w</v>
      </c>
      <c r="X2705" s="128">
        <f>_xll.qlCalendarAdvance(Calendar,X2704,W2705,"f",FALSE)</f>
        <v>58229</v>
      </c>
      <c r="Y2705" s="131">
        <f>_xll.qlCalendarAdvance(Calendar,X2705,NDays&amp;"D")</f>
        <v>58231</v>
      </c>
      <c r="Z2705" s="132">
        <v>1.3054239645965079E-2</v>
      </c>
      <c r="AA2705" s="129">
        <v>1.3064464169367795E-2</v>
      </c>
    </row>
    <row r="2706" spans="19:27" x14ac:dyDescent="0.2">
      <c r="S2706" s="1"/>
      <c r="T2706" s="109"/>
      <c r="W2706" s="130" t="str">
        <f t="shared" si="51"/>
        <v>1w</v>
      </c>
      <c r="X2706" s="128">
        <f>_xll.qlCalendarAdvance(Calendar,X2705,W2706,"f",FALSE)</f>
        <v>58236</v>
      </c>
      <c r="Y2706" s="131">
        <f>_xll.qlCalendarAdvance(Calendar,X2706,NDays&amp;"D")</f>
        <v>58238</v>
      </c>
      <c r="Z2706" s="132">
        <v>1.3049427820145544E-2</v>
      </c>
      <c r="AA2706" s="129">
        <v>1.3059463346012379E-2</v>
      </c>
    </row>
    <row r="2707" spans="19:27" x14ac:dyDescent="0.2">
      <c r="S2707" s="1"/>
      <c r="T2707" s="109"/>
      <c r="W2707" s="130" t="str">
        <f t="shared" si="51"/>
        <v>1w</v>
      </c>
      <c r="X2707" s="128">
        <f>_xll.qlCalendarAdvance(Calendar,X2706,W2707,"f",FALSE)</f>
        <v>58243</v>
      </c>
      <c r="Y2707" s="131">
        <f>_xll.qlCalendarAdvance(Calendar,X2707,NDays&amp;"D")</f>
        <v>58245</v>
      </c>
      <c r="Z2707" s="132">
        <v>1.3044647614881749E-2</v>
      </c>
      <c r="AA2707" s="129">
        <v>1.3054494033450936E-2</v>
      </c>
    </row>
    <row r="2708" spans="19:27" x14ac:dyDescent="0.2">
      <c r="S2708" s="1"/>
      <c r="T2708" s="109"/>
      <c r="W2708" s="130" t="str">
        <f t="shared" si="51"/>
        <v>1w</v>
      </c>
      <c r="X2708" s="128">
        <f>_xll.qlCalendarAdvance(Calendar,X2707,W2708,"f",FALSE)</f>
        <v>58250</v>
      </c>
      <c r="Y2708" s="131">
        <f>_xll.qlCalendarAdvance(Calendar,X2708,NDays&amp;"D")</f>
        <v>58252</v>
      </c>
      <c r="Z2708" s="132">
        <v>1.303989903005987E-2</v>
      </c>
      <c r="AA2708" s="129">
        <v>1.3049556231603532E-2</v>
      </c>
    </row>
    <row r="2709" spans="19:27" x14ac:dyDescent="0.2">
      <c r="S2709" s="1"/>
      <c r="T2709" s="109"/>
      <c r="W2709" s="130" t="str">
        <f t="shared" ref="W2709:W2772" si="52">W2708</f>
        <v>1w</v>
      </c>
      <c r="X2709" s="128">
        <f>_xll.qlCalendarAdvance(Calendar,X2708,W2709,"f",FALSE)</f>
        <v>58257</v>
      </c>
      <c r="Y2709" s="131">
        <f>_xll.qlCalendarAdvance(Calendar,X2709,NDays&amp;"D")</f>
        <v>58259</v>
      </c>
      <c r="Z2709" s="132">
        <v>1.303518206556435E-2</v>
      </c>
      <c r="AA2709" s="129">
        <v>1.3044649940709974E-2</v>
      </c>
    </row>
    <row r="2710" spans="19:27" x14ac:dyDescent="0.2">
      <c r="S2710" s="1"/>
      <c r="T2710" s="109"/>
      <c r="W2710" s="130" t="str">
        <f t="shared" si="52"/>
        <v>1w</v>
      </c>
      <c r="X2710" s="128">
        <f>_xll.qlCalendarAdvance(Calendar,X2709,W2710,"f",FALSE)</f>
        <v>58264</v>
      </c>
      <c r="Y2710" s="131">
        <f>_xll.qlCalendarAdvance(Calendar,X2710,NDays&amp;"D")</f>
        <v>58266</v>
      </c>
      <c r="Z2710" s="132">
        <v>1.3030496721279627E-2</v>
      </c>
      <c r="AA2710" s="129">
        <v>1.3039775160530453E-2</v>
      </c>
    </row>
    <row r="2711" spans="19:27" x14ac:dyDescent="0.2">
      <c r="S2711" s="1"/>
      <c r="T2711" s="109"/>
      <c r="W2711" s="130" t="str">
        <f t="shared" si="52"/>
        <v>1w</v>
      </c>
      <c r="X2711" s="128">
        <f>_xll.qlCalendarAdvance(Calendar,X2710,W2711,"f",FALSE)</f>
        <v>58271</v>
      </c>
      <c r="Y2711" s="131">
        <f>_xll.qlCalendarAdvance(Calendar,X2711,NDays&amp;"D")</f>
        <v>58273</v>
      </c>
      <c r="Z2711" s="132">
        <v>1.3025842997096223E-2</v>
      </c>
      <c r="AA2711" s="129">
        <v>1.3034931891224844E-2</v>
      </c>
    </row>
    <row r="2712" spans="19:27" x14ac:dyDescent="0.2">
      <c r="S2712" s="1"/>
      <c r="T2712" s="109"/>
      <c r="W2712" s="130" t="str">
        <f t="shared" si="52"/>
        <v>1w</v>
      </c>
      <c r="X2712" s="128">
        <f>_xll.qlCalendarAdvance(Calendar,X2711,W2712,"f",FALSE)</f>
        <v>58278</v>
      </c>
      <c r="Y2712" s="131">
        <f>_xll.qlCalendarAdvance(Calendar,X2712,NDays&amp;"D")</f>
        <v>58280</v>
      </c>
      <c r="Z2712" s="132">
        <v>1.3021220892899449E-2</v>
      </c>
      <c r="AA2712" s="129">
        <v>1.3030120132793144E-2</v>
      </c>
    </row>
    <row r="2713" spans="19:27" x14ac:dyDescent="0.2">
      <c r="S2713" s="1"/>
      <c r="T2713" s="109"/>
      <c r="W2713" s="130" t="str">
        <f t="shared" si="52"/>
        <v>1w</v>
      </c>
      <c r="X2713" s="128">
        <f>_xll.qlCalendarAdvance(Calendar,X2712,W2713,"f",FALSE)</f>
        <v>58285</v>
      </c>
      <c r="Y2713" s="131">
        <f>_xll.qlCalendarAdvance(Calendar,X2713,NDays&amp;"D")</f>
        <v>58287</v>
      </c>
      <c r="Z2713" s="132">
        <v>1.3016630408577218E-2</v>
      </c>
      <c r="AA2713" s="129">
        <v>1.3025339885155418E-2</v>
      </c>
    </row>
    <row r="2714" spans="19:27" x14ac:dyDescent="0.2">
      <c r="S2714" s="1"/>
      <c r="T2714" s="109"/>
      <c r="W2714" s="130" t="str">
        <f t="shared" si="52"/>
        <v>1w</v>
      </c>
      <c r="X2714" s="128">
        <f>_xll.qlCalendarAdvance(Calendar,X2713,W2714,"f",FALSE)</f>
        <v>58292</v>
      </c>
      <c r="Y2714" s="131">
        <f>_xll.qlCalendarAdvance(Calendar,X2714,NDays&amp;"D")</f>
        <v>58294</v>
      </c>
      <c r="Z2714" s="132">
        <v>1.3012071544019187E-2</v>
      </c>
      <c r="AA2714" s="129">
        <v>1.3020591148311667E-2</v>
      </c>
    </row>
    <row r="2715" spans="19:27" x14ac:dyDescent="0.2">
      <c r="S2715" s="1"/>
      <c r="T2715" s="109"/>
      <c r="W2715" s="130" t="str">
        <f t="shared" si="52"/>
        <v>1w</v>
      </c>
      <c r="X2715" s="128">
        <f>_xll.qlCalendarAdvance(Calendar,X2714,W2715,"f",FALSE)</f>
        <v>58299</v>
      </c>
      <c r="Y2715" s="131">
        <f>_xll.qlCalendarAdvance(Calendar,X2715,NDays&amp;"D")</f>
        <v>58301</v>
      </c>
      <c r="Z2715" s="132">
        <v>1.3007544299114139E-2</v>
      </c>
      <c r="AA2715" s="129">
        <v>1.3015873922181953E-2</v>
      </c>
    </row>
    <row r="2716" spans="19:27" x14ac:dyDescent="0.2">
      <c r="S2716" s="1"/>
      <c r="T2716" s="109"/>
      <c r="W2716" s="130" t="str">
        <f t="shared" si="52"/>
        <v>1w</v>
      </c>
      <c r="X2716" s="128">
        <f>_xll.qlCalendarAdvance(Calendar,X2715,W2716,"f",FALSE)</f>
        <v>58306</v>
      </c>
      <c r="Y2716" s="131">
        <f>_xll.qlCalendarAdvance(Calendar,X2716,NDays&amp;"D")</f>
        <v>58308</v>
      </c>
      <c r="Z2716" s="132">
        <v>1.3003048673755202E-2</v>
      </c>
      <c r="AA2716" s="129">
        <v>1.3011188207086022E-2</v>
      </c>
    </row>
    <row r="2717" spans="19:27" x14ac:dyDescent="0.2">
      <c r="S2717" s="1"/>
      <c r="T2717" s="109"/>
      <c r="W2717" s="130" t="str">
        <f t="shared" si="52"/>
        <v>1w</v>
      </c>
      <c r="X2717" s="128">
        <f>_xll.qlCalendarAdvance(Calendar,X2716,W2717,"f",FALSE)</f>
        <v>58313</v>
      </c>
      <c r="Y2717" s="131">
        <f>_xll.qlCalendarAdvance(Calendar,X2717,NDays&amp;"D")</f>
        <v>58315</v>
      </c>
      <c r="Z2717" s="132">
        <v>1.2998584667832032E-2</v>
      </c>
      <c r="AA2717" s="129">
        <v>1.3006534002704129E-2</v>
      </c>
    </row>
    <row r="2718" spans="19:27" x14ac:dyDescent="0.2">
      <c r="S2718" s="1"/>
      <c r="T2718" s="109"/>
      <c r="W2718" s="130" t="str">
        <f t="shared" si="52"/>
        <v>1w</v>
      </c>
      <c r="X2718" s="128">
        <f>_xll.qlCalendarAdvance(Calendar,X2717,W2718,"f",FALSE)</f>
        <v>58320</v>
      </c>
      <c r="Y2718" s="131">
        <f>_xll.qlCalendarAdvance(Calendar,X2718,NDays&amp;"D")</f>
        <v>58322</v>
      </c>
      <c r="Z2718" s="132">
        <v>1.2994228651788316E-2</v>
      </c>
      <c r="AA2718" s="129">
        <v>1.3001911309196146E-2</v>
      </c>
    </row>
    <row r="2719" spans="19:27" x14ac:dyDescent="0.2">
      <c r="S2719" s="1"/>
      <c r="T2719" s="109"/>
      <c r="W2719" s="130" t="str">
        <f t="shared" si="52"/>
        <v>1w</v>
      </c>
      <c r="X2719" s="128">
        <f>_xll.qlCalendarAdvance(Calendar,X2718,W2719,"f",FALSE)</f>
        <v>58327</v>
      </c>
      <c r="Y2719" s="131">
        <f>_xll.qlCalendarAdvance(Calendar,X2719,NDays&amp;"D")</f>
        <v>58329</v>
      </c>
      <c r="Z2719" s="132">
        <v>1.2989825784543899E-2</v>
      </c>
      <c r="AA2719" s="129">
        <v>1.2997320126322265E-2</v>
      </c>
    </row>
    <row r="2720" spans="19:27" x14ac:dyDescent="0.2">
      <c r="S2720" s="1"/>
      <c r="T2720" s="109"/>
      <c r="W2720" s="130" t="str">
        <f t="shared" si="52"/>
        <v>1w</v>
      </c>
      <c r="X2720" s="128">
        <f>_xll.qlCalendarAdvance(Calendar,X2719,W2720,"f",FALSE)</f>
        <v>58334</v>
      </c>
      <c r="Y2720" s="131">
        <f>_xll.qlCalendarAdvance(Calendar,X2720,NDays&amp;"D")</f>
        <v>58336</v>
      </c>
      <c r="Z2720" s="132">
        <v>1.298545453523149E-2</v>
      </c>
      <c r="AA2720" s="129">
        <v>1.299276045440223E-2</v>
      </c>
    </row>
    <row r="2721" spans="19:27" x14ac:dyDescent="0.2">
      <c r="S2721" s="1"/>
      <c r="T2721" s="109"/>
      <c r="W2721" s="130" t="str">
        <f t="shared" si="52"/>
        <v>1w</v>
      </c>
      <c r="X2721" s="128">
        <f>_xll.qlCalendarAdvance(Calendar,X2720,W2721,"f",FALSE)</f>
        <v>58341</v>
      </c>
      <c r="Y2721" s="131">
        <f>_xll.qlCalendarAdvance(Calendar,X2721,NDays&amp;"D")</f>
        <v>58343</v>
      </c>
      <c r="Z2721" s="132">
        <v>1.2980835827249567E-2</v>
      </c>
      <c r="AA2721" s="129">
        <v>1.298823229327617E-2</v>
      </c>
    </row>
    <row r="2722" spans="19:27" x14ac:dyDescent="0.2">
      <c r="S2722" s="1"/>
      <c r="T2722" s="109"/>
      <c r="W2722" s="130" t="str">
        <f t="shared" si="52"/>
        <v>1w</v>
      </c>
      <c r="X2722" s="128">
        <f>_xll.qlCalendarAdvance(Calendar,X2721,W2722,"f",FALSE)</f>
        <v>58348</v>
      </c>
      <c r="Y2722" s="131">
        <f>_xll.qlCalendarAdvance(Calendar,X2722,NDays&amp;"D")</f>
        <v>58350</v>
      </c>
      <c r="Z2722" s="132">
        <v>1.2976738926009562E-2</v>
      </c>
      <c r="AA2722" s="129">
        <v>1.2983735642944083E-2</v>
      </c>
    </row>
    <row r="2723" spans="19:27" x14ac:dyDescent="0.2">
      <c r="S2723" s="1"/>
      <c r="T2723" s="109"/>
      <c r="W2723" s="130" t="str">
        <f t="shared" si="52"/>
        <v>1w</v>
      </c>
      <c r="X2723" s="128">
        <f>_xll.qlCalendarAdvance(Calendar,X2722,W2723,"f",FALSE)</f>
        <v>58355</v>
      </c>
      <c r="Y2723" s="131">
        <f>_xll.qlCalendarAdvance(Calendar,X2723,NDays&amp;"D")</f>
        <v>58357</v>
      </c>
      <c r="Z2723" s="132">
        <v>1.2972464634464512E-2</v>
      </c>
      <c r="AA2723" s="129">
        <v>1.2979270503405971E-2</v>
      </c>
    </row>
    <row r="2724" spans="19:27" x14ac:dyDescent="0.2">
      <c r="S2724" s="1"/>
      <c r="T2724" s="109"/>
      <c r="W2724" s="130" t="str">
        <f t="shared" si="52"/>
        <v>1w</v>
      </c>
      <c r="X2724" s="128">
        <f>_xll.qlCalendarAdvance(Calendar,X2723,W2724,"f",FALSE)</f>
        <v>58362</v>
      </c>
      <c r="Y2724" s="131">
        <f>_xll.qlCalendarAdvance(Calendar,X2724,NDays&amp;"D")</f>
        <v>58364</v>
      </c>
      <c r="Z2724" s="132">
        <v>1.2968221961617555E-2</v>
      </c>
      <c r="AA2724" s="129">
        <v>1.2974836874821705E-2</v>
      </c>
    </row>
    <row r="2725" spans="19:27" x14ac:dyDescent="0.2">
      <c r="S2725" s="1"/>
      <c r="T2725" s="109"/>
      <c r="W2725" s="130" t="str">
        <f t="shared" si="52"/>
        <v>1w</v>
      </c>
      <c r="X2725" s="128">
        <f>_xll.qlCalendarAdvance(Calendar,X2724,W2725,"f",FALSE)</f>
        <v>58369</v>
      </c>
      <c r="Y2725" s="131">
        <f>_xll.qlCalendarAdvance(Calendar,X2725,NDays&amp;"D")</f>
        <v>58371</v>
      </c>
      <c r="Z2725" s="132">
        <v>1.2964010907365297E-2</v>
      </c>
      <c r="AA2725" s="129">
        <v>1.2970434756951477E-2</v>
      </c>
    </row>
    <row r="2726" spans="19:27" x14ac:dyDescent="0.2">
      <c r="S2726" s="1"/>
      <c r="T2726" s="109"/>
      <c r="W2726" s="130" t="str">
        <f t="shared" si="52"/>
        <v>1w</v>
      </c>
      <c r="X2726" s="128">
        <f>_xll.qlCalendarAdvance(Calendar,X2725,W2726,"f",FALSE)</f>
        <v>58376</v>
      </c>
      <c r="Y2726" s="131">
        <f>_xll.qlCalendarAdvance(Calendar,X2726,NDays&amp;"D")</f>
        <v>58378</v>
      </c>
      <c r="Z2726" s="132">
        <v>1.2959831471605211E-2</v>
      </c>
      <c r="AA2726" s="129">
        <v>1.2966064149875223E-2</v>
      </c>
    </row>
    <row r="2727" spans="19:27" x14ac:dyDescent="0.2">
      <c r="S2727" s="1"/>
      <c r="T2727" s="109"/>
      <c r="W2727" s="130" t="str">
        <f t="shared" si="52"/>
        <v>1w</v>
      </c>
      <c r="X2727" s="128">
        <f>_xll.qlCalendarAdvance(Calendar,X2726,W2727,"f",FALSE)</f>
        <v>58383</v>
      </c>
      <c r="Y2727" s="131">
        <f>_xll.qlCalendarAdvance(Calendar,X2727,NDays&amp;"D")</f>
        <v>58385</v>
      </c>
      <c r="Z2727" s="132">
        <v>1.2955683654237379E-2</v>
      </c>
      <c r="AA2727" s="129">
        <v>1.2961725053592943E-2</v>
      </c>
    </row>
    <row r="2728" spans="19:27" x14ac:dyDescent="0.2">
      <c r="S2728" s="1"/>
      <c r="T2728" s="109"/>
      <c r="W2728" s="130" t="str">
        <f t="shared" si="52"/>
        <v>1w</v>
      </c>
      <c r="X2728" s="128">
        <f>_xll.qlCalendarAdvance(Calendar,X2727,W2728,"f",FALSE)</f>
        <v>58390</v>
      </c>
      <c r="Y2728" s="131">
        <f>_xll.qlCalendarAdvance(Calendar,X2728,NDays&amp;"D")</f>
        <v>58392</v>
      </c>
      <c r="Z2728" s="132">
        <v>1.2951567455161878E-2</v>
      </c>
      <c r="AA2728" s="129">
        <v>1.2957417468104637E-2</v>
      </c>
    </row>
    <row r="2729" spans="19:27" x14ac:dyDescent="0.2">
      <c r="S2729" s="1"/>
      <c r="T2729" s="109"/>
      <c r="W2729" s="130" t="str">
        <f t="shared" si="52"/>
        <v>1w</v>
      </c>
      <c r="X2729" s="128">
        <f>_xll.qlCalendarAdvance(Calendar,X2728,W2729,"f",FALSE)</f>
        <v>58397</v>
      </c>
      <c r="Y2729" s="131">
        <f>_xll.qlCalendarAdvance(Calendar,X2729,NDays&amp;"D")</f>
        <v>58399</v>
      </c>
      <c r="Z2729" s="132">
        <v>1.2947482874277919E-2</v>
      </c>
      <c r="AA2729" s="129">
        <v>1.2953141393490242E-2</v>
      </c>
    </row>
    <row r="2730" spans="19:27" x14ac:dyDescent="0.2">
      <c r="S2730" s="1"/>
      <c r="T2730" s="109"/>
      <c r="W2730" s="130" t="str">
        <f t="shared" si="52"/>
        <v>1w</v>
      </c>
      <c r="X2730" s="128">
        <f>_xll.qlCalendarAdvance(Calendar,X2729,W2730,"f",FALSE)</f>
        <v>58404</v>
      </c>
      <c r="Y2730" s="131">
        <f>_xll.qlCalendarAdvance(Calendar,X2730,NDays&amp;"D")</f>
        <v>58406</v>
      </c>
      <c r="Z2730" s="132">
        <v>1.2943429911488192E-2</v>
      </c>
      <c r="AA2730" s="129">
        <v>1.2948896829589884E-2</v>
      </c>
    </row>
    <row r="2731" spans="19:27" x14ac:dyDescent="0.2">
      <c r="S2731" s="1"/>
      <c r="T2731" s="109"/>
      <c r="W2731" s="130" t="str">
        <f t="shared" si="52"/>
        <v>1w</v>
      </c>
      <c r="X2731" s="128">
        <f>_xll.qlCalendarAdvance(Calendar,X2730,W2731,"f",FALSE)</f>
        <v>58411</v>
      </c>
      <c r="Y2731" s="131">
        <f>_xll.qlCalendarAdvance(Calendar,X2731,NDays&amp;"D")</f>
        <v>58413</v>
      </c>
      <c r="Z2731" s="132">
        <v>1.2939457546839285E-2</v>
      </c>
      <c r="AA2731" s="129">
        <v>1.2944683776563437E-2</v>
      </c>
    </row>
    <row r="2732" spans="19:27" x14ac:dyDescent="0.2">
      <c r="S2732" s="1"/>
      <c r="T2732" s="109"/>
      <c r="W2732" s="130" t="str">
        <f t="shared" si="52"/>
        <v>1w</v>
      </c>
      <c r="X2732" s="128">
        <f>_xll.qlCalendarAdvance(Calendar,X2731,W2732,"f",FALSE)</f>
        <v>58418</v>
      </c>
      <c r="Y2732" s="131">
        <f>_xll.qlCalendarAdvance(Calendar,X2732,NDays&amp;"D")</f>
        <v>58420</v>
      </c>
      <c r="Z2732" s="132">
        <v>1.2935465704756028E-2</v>
      </c>
      <c r="AA2732" s="129">
        <v>1.2940502234330964E-2</v>
      </c>
    </row>
    <row r="2733" spans="19:27" x14ac:dyDescent="0.2">
      <c r="S2733" s="1"/>
      <c r="T2733" s="109"/>
      <c r="W2733" s="130" t="str">
        <f t="shared" si="52"/>
        <v>1w</v>
      </c>
      <c r="X2733" s="128">
        <f>_xll.qlCalendarAdvance(Calendar,X2732,W2733,"f",FALSE)</f>
        <v>58425</v>
      </c>
      <c r="Y2733" s="131">
        <f>_xll.qlCalendarAdvance(Calendar,X2733,NDays&amp;"D")</f>
        <v>58427</v>
      </c>
      <c r="Z2733" s="132">
        <v>1.2931505479302963E-2</v>
      </c>
      <c r="AA2733" s="129">
        <v>1.2936352202812529E-2</v>
      </c>
    </row>
    <row r="2734" spans="19:27" x14ac:dyDescent="0.2">
      <c r="S2734" s="1"/>
      <c r="T2734" s="109"/>
      <c r="W2734" s="130" t="str">
        <f t="shared" si="52"/>
        <v>1w</v>
      </c>
      <c r="X2734" s="128">
        <f>_xll.qlCalendarAdvance(Calendar,X2733,W2734,"f",FALSE)</f>
        <v>58432</v>
      </c>
      <c r="Y2734" s="131">
        <f>_xll.qlCalendarAdvance(Calendar,X2734,NDays&amp;"D")</f>
        <v>58438</v>
      </c>
      <c r="Z2734" s="132">
        <v>1.2925346146150441E-2</v>
      </c>
      <c r="AA2734" s="129">
        <v>1.2929894389488439E-2</v>
      </c>
    </row>
    <row r="2735" spans="19:27" x14ac:dyDescent="0.2">
      <c r="S2735" s="1"/>
      <c r="T2735" s="109"/>
      <c r="W2735" s="130" t="str">
        <f t="shared" si="52"/>
        <v>1w</v>
      </c>
      <c r="X2735" s="128">
        <f>_xll.qlCalendarAdvance(Calendar,X2734,W2735,"f",FALSE)</f>
        <v>58439</v>
      </c>
      <c r="Y2735" s="131">
        <f>_xll.qlCalendarAdvance(Calendar,X2735,NDays&amp;"D")</f>
        <v>58442</v>
      </c>
      <c r="Z2735" s="132">
        <v>1.2923125745631169E-2</v>
      </c>
      <c r="AA2735" s="129">
        <v>1.2927449148731895E-2</v>
      </c>
    </row>
    <row r="2736" spans="19:27" x14ac:dyDescent="0.2">
      <c r="S2736" s="1"/>
      <c r="T2736" s="109"/>
      <c r="W2736" s="130" t="str">
        <f t="shared" si="52"/>
        <v>1w</v>
      </c>
      <c r="X2736" s="128">
        <f>_xll.qlCalendarAdvance(Calendar,X2735,W2736,"f",FALSE)</f>
        <v>58446</v>
      </c>
      <c r="Y2736" s="131">
        <f>_xll.qlCalendarAdvance(Calendar,X2736,NDays&amp;"D")</f>
        <v>58448</v>
      </c>
      <c r="Z2736" s="132">
        <v>1.2919814501789412E-2</v>
      </c>
      <c r="AA2736" s="129">
        <v>1.2924091173260877E-2</v>
      </c>
    </row>
    <row r="2737" spans="19:27" x14ac:dyDescent="0.2">
      <c r="S2737" s="1"/>
      <c r="T2737" s="109"/>
      <c r="W2737" s="130" t="str">
        <f t="shared" si="52"/>
        <v>1w</v>
      </c>
      <c r="X2737" s="128">
        <f>_xll.qlCalendarAdvance(Calendar,X2736,W2737,"f",FALSE)</f>
        <v>58453</v>
      </c>
      <c r="Y2737" s="131">
        <f>_xll.qlCalendarAdvance(Calendar,X2737,NDays&amp;"D")</f>
        <v>58455</v>
      </c>
      <c r="Z2737" s="132">
        <v>1.2915980741922482E-2</v>
      </c>
      <c r="AA2737" s="129">
        <v>1.2920067184918338E-2</v>
      </c>
    </row>
    <row r="2738" spans="19:27" x14ac:dyDescent="0.2">
      <c r="S2738" s="1"/>
      <c r="T2738" s="109"/>
      <c r="W2738" s="130" t="str">
        <f t="shared" si="52"/>
        <v>1w</v>
      </c>
      <c r="X2738" s="128">
        <f>_xll.qlCalendarAdvance(Calendar,X2737,W2738,"f",FALSE)</f>
        <v>58460</v>
      </c>
      <c r="Y2738" s="131">
        <f>_xll.qlCalendarAdvance(Calendar,X2738,NDays&amp;"D")</f>
        <v>58462</v>
      </c>
      <c r="Z2738" s="132">
        <v>1.2912178598221063E-2</v>
      </c>
      <c r="AA2738" s="129">
        <v>1.291607470744971E-2</v>
      </c>
    </row>
    <row r="2739" spans="19:27" x14ac:dyDescent="0.2">
      <c r="S2739" s="1"/>
      <c r="T2739" s="109"/>
      <c r="W2739" s="130" t="str">
        <f t="shared" si="52"/>
        <v>1w</v>
      </c>
      <c r="X2739" s="128">
        <f>_xll.qlCalendarAdvance(Calendar,X2738,W2739,"f",FALSE)</f>
        <v>58467</v>
      </c>
      <c r="Y2739" s="131">
        <f>_xll.qlCalendarAdvance(Calendar,X2739,NDays&amp;"D")</f>
        <v>58469</v>
      </c>
      <c r="Z2739" s="132">
        <v>1.2908408070594676E-2</v>
      </c>
      <c r="AA2739" s="129">
        <v>1.2912113740775055E-2</v>
      </c>
    </row>
    <row r="2740" spans="19:27" x14ac:dyDescent="0.2">
      <c r="S2740" s="1"/>
      <c r="T2740" s="109"/>
      <c r="W2740" s="130" t="str">
        <f t="shared" si="52"/>
        <v>1w</v>
      </c>
      <c r="X2740" s="128">
        <f>_xll.qlCalendarAdvance(Calendar,X2739,W2740,"f",FALSE)</f>
        <v>58474</v>
      </c>
      <c r="Y2740" s="131">
        <f>_xll.qlCalendarAdvance(Calendar,X2740,NDays&amp;"D")</f>
        <v>58476</v>
      </c>
      <c r="Z2740" s="132">
        <v>1.2904699262219488E-2</v>
      </c>
      <c r="AA2740" s="129">
        <v>1.2908184284814439E-2</v>
      </c>
    </row>
    <row r="2741" spans="19:27" x14ac:dyDescent="0.2">
      <c r="S2741" s="1"/>
      <c r="T2741" s="109"/>
      <c r="W2741" s="130" t="str">
        <f t="shared" si="52"/>
        <v>1w</v>
      </c>
      <c r="X2741" s="128">
        <f>_xll.qlCalendarAdvance(Calendar,X2740,W2741,"f",FALSE)</f>
        <v>58481</v>
      </c>
      <c r="Y2741" s="131">
        <f>_xll.qlCalendarAdvance(Calendar,X2741,NDays&amp;"D")</f>
        <v>58483</v>
      </c>
      <c r="Z2741" s="132">
        <v>1.2900989840940902E-2</v>
      </c>
      <c r="AA2741" s="129">
        <v>1.2904286339727733E-2</v>
      </c>
    </row>
    <row r="2742" spans="19:27" x14ac:dyDescent="0.2">
      <c r="S2742" s="1"/>
      <c r="T2742" s="109"/>
      <c r="W2742" s="130" t="str">
        <f t="shared" si="52"/>
        <v>1w</v>
      </c>
      <c r="X2742" s="128">
        <f>_xll.qlCalendarAdvance(Calendar,X2741,W2742,"f",FALSE)</f>
        <v>58488</v>
      </c>
      <c r="Y2742" s="131">
        <f>_xll.qlCalendarAdvance(Calendar,X2742,NDays&amp;"D")</f>
        <v>58490</v>
      </c>
      <c r="Z2742" s="132">
        <v>1.2897312034305664E-2</v>
      </c>
      <c r="AA2742" s="129">
        <v>1.2900419905355065E-2</v>
      </c>
    </row>
    <row r="2743" spans="19:27" x14ac:dyDescent="0.2">
      <c r="S2743" s="1"/>
      <c r="T2743" s="109"/>
      <c r="W2743" s="130" t="str">
        <f t="shared" si="52"/>
        <v>1w</v>
      </c>
      <c r="X2743" s="128">
        <f>_xll.qlCalendarAdvance(Calendar,X2742,W2743,"f",FALSE)</f>
        <v>58495</v>
      </c>
      <c r="Y2743" s="131">
        <f>_xll.qlCalendarAdvance(Calendar,X2743,NDays&amp;"D")</f>
        <v>58497</v>
      </c>
      <c r="Z2743" s="132">
        <v>1.289366584222762E-2</v>
      </c>
      <c r="AA2743" s="129">
        <v>1.2896584981936243E-2</v>
      </c>
    </row>
    <row r="2744" spans="19:27" x14ac:dyDescent="0.2">
      <c r="S2744" s="1"/>
      <c r="T2744" s="109"/>
      <c r="W2744" s="130" t="str">
        <f t="shared" si="52"/>
        <v>1w</v>
      </c>
      <c r="X2744" s="128">
        <f>_xll.qlCalendarAdvance(Calendar,X2743,W2744,"f",FALSE)</f>
        <v>58502</v>
      </c>
      <c r="Y2744" s="131">
        <f>_xll.qlCalendarAdvance(Calendar,X2744,NDays&amp;"D")</f>
        <v>58504</v>
      </c>
      <c r="Z2744" s="132">
        <v>1.2890008278828049E-2</v>
      </c>
      <c r="AA2744" s="129">
        <v>1.2892781569071587E-2</v>
      </c>
    </row>
    <row r="2745" spans="19:27" x14ac:dyDescent="0.2">
      <c r="S2745" s="1"/>
      <c r="T2745" s="109"/>
      <c r="W2745" s="130" t="str">
        <f t="shared" si="52"/>
        <v>1w</v>
      </c>
      <c r="X2745" s="128">
        <f>_xll.qlCalendarAdvance(Calendar,X2744,W2745,"f",FALSE)</f>
        <v>58509</v>
      </c>
      <c r="Y2745" s="131">
        <f>_xll.qlCalendarAdvance(Calendar,X2745,NDays&amp;"D")</f>
        <v>58511</v>
      </c>
      <c r="Z2745" s="132">
        <v>1.2886429576122569E-2</v>
      </c>
      <c r="AA2745" s="129">
        <v>1.2889009667240714E-2</v>
      </c>
    </row>
    <row r="2746" spans="19:27" x14ac:dyDescent="0.2">
      <c r="S2746" s="1"/>
      <c r="T2746" s="109"/>
      <c r="W2746" s="130" t="str">
        <f t="shared" si="52"/>
        <v>1w</v>
      </c>
      <c r="X2746" s="128">
        <f>_xll.qlCalendarAdvance(Calendar,X2745,W2746,"f",FALSE)</f>
        <v>58516</v>
      </c>
      <c r="Y2746" s="131">
        <f>_xll.qlCalendarAdvance(Calendar,X2746,NDays&amp;"D")</f>
        <v>58518</v>
      </c>
      <c r="Z2746" s="132">
        <v>1.288288249003511E-2</v>
      </c>
      <c r="AA2746" s="129">
        <v>1.2885269275964006E-2</v>
      </c>
    </row>
    <row r="2747" spans="19:27" x14ac:dyDescent="0.2">
      <c r="S2747" s="1"/>
      <c r="T2747" s="109"/>
      <c r="W2747" s="130" t="str">
        <f t="shared" si="52"/>
        <v>1w</v>
      </c>
      <c r="X2747" s="128">
        <f>_xll.qlCalendarAdvance(Calendar,X2746,W2747,"f",FALSE)</f>
        <v>58523</v>
      </c>
      <c r="Y2747" s="131">
        <f>_xll.qlCalendarAdvance(Calendar,X2747,NDays&amp;"D")</f>
        <v>58525</v>
      </c>
      <c r="Z2747" s="132">
        <v>1.2879367020481387E-2</v>
      </c>
      <c r="AA2747" s="129">
        <v>1.2881560395561209E-2</v>
      </c>
    </row>
    <row r="2748" spans="19:27" x14ac:dyDescent="0.2">
      <c r="S2748" s="1"/>
      <c r="T2748" s="109"/>
      <c r="W2748" s="130" t="str">
        <f t="shared" si="52"/>
        <v>1w</v>
      </c>
      <c r="X2748" s="128">
        <f>_xll.qlCalendarAdvance(Calendar,X2747,W2748,"f",FALSE)</f>
        <v>58530</v>
      </c>
      <c r="Y2748" s="131">
        <f>_xll.qlCalendarAdvance(Calendar,X2748,NDays&amp;"D")</f>
        <v>58532</v>
      </c>
      <c r="Z2748" s="132">
        <v>1.2875896030693947E-2</v>
      </c>
      <c r="AA2748" s="129">
        <v>1.2877883025952386E-2</v>
      </c>
    </row>
    <row r="2749" spans="19:27" x14ac:dyDescent="0.2">
      <c r="S2749" s="1"/>
      <c r="T2749" s="109"/>
      <c r="W2749" s="130" t="str">
        <f t="shared" si="52"/>
        <v>1w</v>
      </c>
      <c r="X2749" s="128">
        <f>_xll.qlCalendarAdvance(Calendar,X2748,W2749,"f",FALSE)</f>
        <v>58537</v>
      </c>
      <c r="Y2749" s="131">
        <f>_xll.qlCalendarAdvance(Calendar,X2749,NDays&amp;"D")</f>
        <v>58539</v>
      </c>
      <c r="Z2749" s="132">
        <v>1.2872441658983073E-2</v>
      </c>
      <c r="AA2749" s="129">
        <v>1.2874237167217473E-2</v>
      </c>
    </row>
    <row r="2750" spans="19:27" x14ac:dyDescent="0.2">
      <c r="S2750" s="1"/>
      <c r="T2750" s="109"/>
      <c r="W2750" s="130" t="str">
        <f t="shared" si="52"/>
        <v>1w</v>
      </c>
      <c r="X2750" s="128">
        <f>_xll.qlCalendarAdvance(Calendar,X2749,W2750,"f",FALSE)</f>
        <v>58544</v>
      </c>
      <c r="Y2750" s="131">
        <f>_xll.qlCalendarAdvance(Calendar,X2750,NDays&amp;"D")</f>
        <v>58546</v>
      </c>
      <c r="Z2750" s="132">
        <v>1.2869018902396783E-2</v>
      </c>
      <c r="AA2750" s="129">
        <v>1.2870516759219797E-2</v>
      </c>
    </row>
    <row r="2751" spans="19:27" x14ac:dyDescent="0.2">
      <c r="S2751" s="1"/>
      <c r="T2751" s="109"/>
      <c r="W2751" s="130" t="str">
        <f t="shared" si="52"/>
        <v>1w</v>
      </c>
      <c r="X2751" s="128">
        <f>_xll.qlCalendarAdvance(Calendar,X2750,W2751,"f",FALSE)</f>
        <v>58551</v>
      </c>
      <c r="Y2751" s="131">
        <f>_xll.qlCalendarAdvance(Calendar,X2751,NDays&amp;"D")</f>
        <v>58553</v>
      </c>
      <c r="Z2751" s="132">
        <v>1.2865627760853385E-2</v>
      </c>
      <c r="AA2751" s="129">
        <v>1.2867039981809825E-2</v>
      </c>
    </row>
    <row r="2752" spans="19:27" x14ac:dyDescent="0.2">
      <c r="S2752" s="1"/>
      <c r="T2752" s="109"/>
      <c r="W2752" s="130" t="str">
        <f t="shared" si="52"/>
        <v>1w</v>
      </c>
      <c r="X2752" s="128">
        <f>_xll.qlCalendarAdvance(Calendar,X2751,W2752,"f",FALSE)</f>
        <v>58558</v>
      </c>
      <c r="Y2752" s="131">
        <f>_xll.qlCalendarAdvance(Calendar,X2752,NDays&amp;"D")</f>
        <v>58560</v>
      </c>
      <c r="Z2752" s="132">
        <v>1.2862268234272943E-2</v>
      </c>
      <c r="AA2752" s="129">
        <v>1.2863488655376898E-2</v>
      </c>
    </row>
    <row r="2753" spans="19:27" x14ac:dyDescent="0.2">
      <c r="S2753" s="1"/>
      <c r="T2753" s="109"/>
      <c r="W2753" s="130" t="str">
        <f t="shared" si="52"/>
        <v>1w</v>
      </c>
      <c r="X2753" s="128">
        <f>_xll.qlCalendarAdvance(Calendar,X2752,W2753,"f",FALSE)</f>
        <v>58565</v>
      </c>
      <c r="Y2753" s="131">
        <f>_xll.qlCalendarAdvance(Calendar,X2753,NDays&amp;"D")</f>
        <v>58567</v>
      </c>
      <c r="Z2753" s="132">
        <v>1.2858938145647002E-2</v>
      </c>
      <c r="AA2753" s="129">
        <v>1.2859968839658009E-2</v>
      </c>
    </row>
    <row r="2754" spans="19:27" x14ac:dyDescent="0.2">
      <c r="S2754" s="1"/>
      <c r="T2754" s="109"/>
      <c r="W2754" s="130" t="str">
        <f t="shared" si="52"/>
        <v>1w</v>
      </c>
      <c r="X2754" s="128">
        <f>_xll.qlCalendarAdvance(Calendar,X2753,W2754,"f",FALSE)</f>
        <v>58572</v>
      </c>
      <c r="Y2754" s="131">
        <f>_xll.qlCalendarAdvance(Calendar,X2754,NDays&amp;"D")</f>
        <v>58574</v>
      </c>
      <c r="Z2754" s="132">
        <v>1.2855643989489584E-2</v>
      </c>
      <c r="AA2754" s="129">
        <v>1.2856480534813031E-2</v>
      </c>
    </row>
    <row r="2755" spans="19:27" x14ac:dyDescent="0.2">
      <c r="S2755" s="1"/>
      <c r="T2755" s="109"/>
      <c r="W2755" s="130" t="str">
        <f t="shared" si="52"/>
        <v>1w</v>
      </c>
      <c r="X2755" s="128">
        <f>_xll.qlCalendarAdvance(Calendar,X2754,W2755,"f",FALSE)</f>
        <v>58579</v>
      </c>
      <c r="Y2755" s="131">
        <f>_xll.qlCalendarAdvance(Calendar,X2755,NDays&amp;"D")</f>
        <v>58581</v>
      </c>
      <c r="Z2755" s="132">
        <v>1.2852381449206434E-2</v>
      </c>
      <c r="AA2755" s="129">
        <v>1.2853023740602154E-2</v>
      </c>
    </row>
    <row r="2756" spans="19:27" x14ac:dyDescent="0.2">
      <c r="S2756" s="1"/>
      <c r="T2756" s="109"/>
      <c r="W2756" s="130" t="str">
        <f t="shared" si="52"/>
        <v>1w</v>
      </c>
      <c r="X2756" s="128">
        <f>_xll.qlCalendarAdvance(Calendar,X2755,W2756,"f",FALSE)</f>
        <v>58586</v>
      </c>
      <c r="Y2756" s="131">
        <f>_xll.qlCalendarAdvance(Calendar,X2756,NDays&amp;"D")</f>
        <v>58588</v>
      </c>
      <c r="Z2756" s="132">
        <v>1.2849150524720221E-2</v>
      </c>
      <c r="AA2756" s="129">
        <v>1.2849598457185252E-2</v>
      </c>
    </row>
    <row r="2757" spans="19:27" x14ac:dyDescent="0.2">
      <c r="S2757" s="1"/>
      <c r="T2757" s="109"/>
      <c r="W2757" s="130" t="str">
        <f t="shared" si="52"/>
        <v>1w</v>
      </c>
      <c r="X2757" s="128">
        <f>_xll.qlCalendarAdvance(Calendar,X2756,W2757,"f",FALSE)</f>
        <v>58593</v>
      </c>
      <c r="Y2757" s="131">
        <f>_xll.qlCalendarAdvance(Calendar,X2757,NDays&amp;"D")</f>
        <v>58595</v>
      </c>
      <c r="Z2757" s="132">
        <v>1.2845951215951007E-2</v>
      </c>
      <c r="AA2757" s="129">
        <v>1.284620468464226E-2</v>
      </c>
    </row>
    <row r="2758" spans="19:27" x14ac:dyDescent="0.2">
      <c r="S2758" s="1"/>
      <c r="T2758" s="109"/>
      <c r="W2758" s="130" t="str">
        <f t="shared" si="52"/>
        <v>1w</v>
      </c>
      <c r="X2758" s="128">
        <f>_xll.qlCalendarAdvance(Calendar,X2757,W2758,"f",FALSE)</f>
        <v>58600</v>
      </c>
      <c r="Y2758" s="131">
        <f>_xll.qlCalendarAdvance(Calendar,X2758,NDays&amp;"D")</f>
        <v>58602</v>
      </c>
      <c r="Z2758" s="132">
        <v>1.2842783522823203E-2</v>
      </c>
      <c r="AA2758" s="129">
        <v>1.2842842422733369E-2</v>
      </c>
    </row>
    <row r="2759" spans="19:27" x14ac:dyDescent="0.2">
      <c r="S2759" s="1"/>
      <c r="T2759" s="109"/>
      <c r="W2759" s="130" t="str">
        <f t="shared" si="52"/>
        <v>1w</v>
      </c>
      <c r="X2759" s="128">
        <f>_xll.qlCalendarAdvance(Calendar,X2758,W2759,"f",FALSE)</f>
        <v>58607</v>
      </c>
      <c r="Y2759" s="131">
        <f>_xll.qlCalendarAdvance(Calendar,X2759,NDays&amp;"D")</f>
        <v>58609</v>
      </c>
      <c r="Z2759" s="132">
        <v>1.2839647445259479E-2</v>
      </c>
      <c r="AA2759" s="129">
        <v>1.2839511671698389E-2</v>
      </c>
    </row>
    <row r="2760" spans="19:27" x14ac:dyDescent="0.2">
      <c r="S2760" s="1"/>
      <c r="T2760" s="109"/>
      <c r="W2760" s="130" t="str">
        <f t="shared" si="52"/>
        <v>1w</v>
      </c>
      <c r="X2760" s="128">
        <f>_xll.qlCalendarAdvance(Calendar,X2759,W2760,"f",FALSE)</f>
        <v>58614</v>
      </c>
      <c r="Y2760" s="131">
        <f>_xll.qlCalendarAdvance(Calendar,X2760,NDays&amp;"D")</f>
        <v>58616</v>
      </c>
      <c r="Z2760" s="132">
        <v>1.2836542983185113E-2</v>
      </c>
      <c r="AA2760" s="129">
        <v>1.2836212431457383E-2</v>
      </c>
    </row>
    <row r="2761" spans="19:27" x14ac:dyDescent="0.2">
      <c r="S2761" s="1"/>
      <c r="T2761" s="109"/>
      <c r="W2761" s="130" t="str">
        <f t="shared" si="52"/>
        <v>1w</v>
      </c>
      <c r="X2761" s="128">
        <f>_xll.qlCalendarAdvance(Calendar,X2760,W2761,"f",FALSE)</f>
        <v>58621</v>
      </c>
      <c r="Y2761" s="131">
        <f>_xll.qlCalendarAdvance(Calendar,X2761,NDays&amp;"D")</f>
        <v>58623</v>
      </c>
      <c r="Z2761" s="132">
        <v>1.2833470136523643E-2</v>
      </c>
      <c r="AA2761" s="129">
        <v>1.2832944701930415E-2</v>
      </c>
    </row>
    <row r="2762" spans="19:27" x14ac:dyDescent="0.2">
      <c r="S2762" s="1"/>
      <c r="T2762" s="109"/>
      <c r="W2762" s="130" t="str">
        <f t="shared" si="52"/>
        <v>1w</v>
      </c>
      <c r="X2762" s="128">
        <f>_xll.qlCalendarAdvance(Calendar,X2761,W2762,"f",FALSE)</f>
        <v>58628</v>
      </c>
      <c r="Y2762" s="131">
        <f>_xll.qlCalendarAdvance(Calendar,X2762,NDays&amp;"D")</f>
        <v>58630</v>
      </c>
      <c r="Z2762" s="132">
        <v>1.2830428905202083E-2</v>
      </c>
      <c r="AA2762" s="129">
        <v>1.2829708483117486E-2</v>
      </c>
    </row>
    <row r="2763" spans="19:27" x14ac:dyDescent="0.2">
      <c r="S2763" s="1"/>
      <c r="T2763" s="109"/>
      <c r="W2763" s="130" t="str">
        <f t="shared" si="52"/>
        <v>1w</v>
      </c>
      <c r="X2763" s="128">
        <f>_xll.qlCalendarAdvance(Calendar,X2762,W2763,"f",FALSE)</f>
        <v>58635</v>
      </c>
      <c r="Y2763" s="131">
        <f>_xll.qlCalendarAdvance(Calendar,X2763,NDays&amp;"D")</f>
        <v>58637</v>
      </c>
      <c r="Z2763" s="132">
        <v>1.2827419289145712E-2</v>
      </c>
      <c r="AA2763" s="129">
        <v>1.2826503775178466E-2</v>
      </c>
    </row>
    <row r="2764" spans="19:27" x14ac:dyDescent="0.2">
      <c r="S2764" s="1"/>
      <c r="T2764" s="109"/>
      <c r="W2764" s="130" t="str">
        <f t="shared" si="52"/>
        <v>1w</v>
      </c>
      <c r="X2764" s="128">
        <f>_xll.qlCalendarAdvance(Calendar,X2763,W2764,"f",FALSE)</f>
        <v>58642</v>
      </c>
      <c r="Y2764" s="131">
        <f>_xll.qlCalendarAdvance(Calendar,X2764,NDays&amp;"D")</f>
        <v>58644</v>
      </c>
      <c r="Z2764" s="132">
        <v>1.2824441288283283E-2</v>
      </c>
      <c r="AA2764" s="129">
        <v>1.2823330578033421E-2</v>
      </c>
    </row>
    <row r="2765" spans="19:27" x14ac:dyDescent="0.2">
      <c r="S2765" s="1"/>
      <c r="T2765" s="109"/>
      <c r="W2765" s="130" t="str">
        <f t="shared" si="52"/>
        <v>1w</v>
      </c>
      <c r="X2765" s="128">
        <f>_xll.qlCalendarAdvance(Calendar,X2764,W2765,"f",FALSE)</f>
        <v>58649</v>
      </c>
      <c r="Y2765" s="131">
        <f>_xll.qlCalendarAdvance(Calendar,X2765,NDays&amp;"D")</f>
        <v>58651</v>
      </c>
      <c r="Z2765" s="132">
        <v>1.282149490254181E-2</v>
      </c>
      <c r="AA2765" s="129">
        <v>1.2820188891602413E-2</v>
      </c>
    </row>
    <row r="2766" spans="19:27" x14ac:dyDescent="0.2">
      <c r="S2766" s="1"/>
      <c r="T2766" s="109"/>
      <c r="W2766" s="130" t="str">
        <f t="shared" si="52"/>
        <v>1w</v>
      </c>
      <c r="X2766" s="128">
        <f>_xll.qlCalendarAdvance(Calendar,X2765,W2766,"f",FALSE)</f>
        <v>58656</v>
      </c>
      <c r="Y2766" s="131">
        <f>_xll.qlCalendarAdvance(Calendar,X2766,NDays&amp;"D")</f>
        <v>58658</v>
      </c>
      <c r="Z2766" s="132">
        <v>1.2818580131850044E-2</v>
      </c>
      <c r="AA2766" s="129">
        <v>1.2817078715805508E-2</v>
      </c>
    </row>
    <row r="2767" spans="19:27" x14ac:dyDescent="0.2">
      <c r="S2767" s="1"/>
      <c r="T2767" s="109"/>
      <c r="W2767" s="130" t="str">
        <f t="shared" si="52"/>
        <v>1w</v>
      </c>
      <c r="X2767" s="128">
        <f>_xll.qlCalendarAdvance(Calendar,X2766,W2767,"f",FALSE)</f>
        <v>58663</v>
      </c>
      <c r="Y2767" s="131">
        <f>_xll.qlCalendarAdvance(Calendar,X2767,NDays&amp;"D")</f>
        <v>58665</v>
      </c>
      <c r="Z2767" s="132">
        <v>1.2815696976138477E-2</v>
      </c>
      <c r="AA2767" s="129">
        <v>1.2814000051042385E-2</v>
      </c>
    </row>
    <row r="2768" spans="19:27" x14ac:dyDescent="0.2">
      <c r="S2768" s="1"/>
      <c r="T2768" s="109"/>
      <c r="W2768" s="130" t="str">
        <f t="shared" si="52"/>
        <v>1w</v>
      </c>
      <c r="X2768" s="128">
        <f>_xll.qlCalendarAdvance(Calendar,X2767,W2768,"f",FALSE)</f>
        <v>58670</v>
      </c>
      <c r="Y2768" s="131">
        <f>_xll.qlCalendarAdvance(Calendar,X2768,NDays&amp;"D")</f>
        <v>58672</v>
      </c>
      <c r="Z2768" s="132">
        <v>1.2812845435337601E-2</v>
      </c>
      <c r="AA2768" s="129">
        <v>1.2810952896913363E-2</v>
      </c>
    </row>
    <row r="2769" spans="19:27" x14ac:dyDescent="0.2">
      <c r="S2769" s="1"/>
      <c r="T2769" s="109"/>
      <c r="W2769" s="130" t="str">
        <f t="shared" si="52"/>
        <v>1w</v>
      </c>
      <c r="X2769" s="128">
        <f>_xll.qlCalendarAdvance(Calendar,X2768,W2769,"f",FALSE)</f>
        <v>58677</v>
      </c>
      <c r="Y2769" s="131">
        <f>_xll.qlCalendarAdvance(Calendar,X2769,NDays&amp;"D")</f>
        <v>58679</v>
      </c>
      <c r="Z2769" s="132">
        <v>1.2810025509376165E-2</v>
      </c>
      <c r="AA2769" s="129">
        <v>1.280793725349838E-2</v>
      </c>
    </row>
    <row r="2770" spans="19:27" x14ac:dyDescent="0.2">
      <c r="S2770" s="1"/>
      <c r="T2770" s="109"/>
      <c r="W2770" s="130" t="str">
        <f t="shared" si="52"/>
        <v>1w</v>
      </c>
      <c r="X2770" s="128">
        <f>_xll.qlCalendarAdvance(Calendar,X2769,W2770,"f",FALSE)</f>
        <v>58684</v>
      </c>
      <c r="Y2770" s="131">
        <f>_xll.qlCalendarAdvance(Calendar,X2770,NDays&amp;"D")</f>
        <v>58686</v>
      </c>
      <c r="Z2770" s="132">
        <v>1.2807202826511464E-2</v>
      </c>
      <c r="AA2770" s="129">
        <v>1.2804953120877371E-2</v>
      </c>
    </row>
    <row r="2771" spans="19:27" x14ac:dyDescent="0.2">
      <c r="S2771" s="1"/>
      <c r="T2771" s="109"/>
      <c r="W2771" s="130" t="str">
        <f t="shared" si="52"/>
        <v>1w</v>
      </c>
      <c r="X2771" s="128">
        <f>_xll.qlCalendarAdvance(Calendar,X2770,W2771,"f",FALSE)</f>
        <v>58691</v>
      </c>
      <c r="Y2771" s="131">
        <f>_xll.qlCalendarAdvance(Calendar,X2771,NDays&amp;"D")</f>
        <v>58693</v>
      </c>
      <c r="Z2771" s="132">
        <v>1.2804443969822868E-2</v>
      </c>
      <c r="AA2771" s="129">
        <v>1.2802000499050337E-2</v>
      </c>
    </row>
    <row r="2772" spans="19:27" x14ac:dyDescent="0.2">
      <c r="S2772" s="1"/>
      <c r="T2772" s="109"/>
      <c r="W2772" s="130" t="str">
        <f t="shared" si="52"/>
        <v>1w</v>
      </c>
      <c r="X2772" s="128">
        <f>_xll.qlCalendarAdvance(Calendar,X2771,W2772,"f",FALSE)</f>
        <v>58698</v>
      </c>
      <c r="Y2772" s="131">
        <f>_xll.qlCalendarAdvance(Calendar,X2772,NDays&amp;"D")</f>
        <v>58700</v>
      </c>
      <c r="Z2772" s="132">
        <v>1.2801716726634662E-2</v>
      </c>
      <c r="AA2772" s="129">
        <v>1.2799079388017276E-2</v>
      </c>
    </row>
    <row r="2773" spans="19:27" x14ac:dyDescent="0.2">
      <c r="S2773" s="1"/>
      <c r="T2773" s="109"/>
      <c r="W2773" s="130" t="str">
        <f t="shared" ref="W2773:W2836" si="53">W2772</f>
        <v>1w</v>
      </c>
      <c r="X2773" s="128">
        <f>_xll.qlCalendarAdvance(Calendar,X2772,W2773,"f",FALSE)</f>
        <v>58705</v>
      </c>
      <c r="Y2773" s="131">
        <f>_xll.qlCalendarAdvance(Calendar,X2773,NDays&amp;"D")</f>
        <v>58707</v>
      </c>
      <c r="Z2773" s="132">
        <v>1.2799021096880085E-2</v>
      </c>
      <c r="AA2773" s="129">
        <v>1.2796189787538381E-2</v>
      </c>
    </row>
    <row r="2774" spans="19:27" x14ac:dyDescent="0.2">
      <c r="S2774" s="1"/>
      <c r="T2774" s="109"/>
      <c r="W2774" s="130" t="str">
        <f t="shared" si="53"/>
        <v>1w</v>
      </c>
      <c r="X2774" s="128">
        <f>_xll.qlCalendarAdvance(Calendar,X2773,W2774,"f",FALSE)</f>
        <v>58712</v>
      </c>
      <c r="Y2774" s="131">
        <f>_xll.qlCalendarAdvance(Calendar,X2774,NDays&amp;"D")</f>
        <v>58714</v>
      </c>
      <c r="Z2774" s="132">
        <v>1.2796400099831181E-2</v>
      </c>
      <c r="AA2774" s="129">
        <v>1.2793331698093269E-2</v>
      </c>
    </row>
    <row r="2775" spans="19:27" x14ac:dyDescent="0.2">
      <c r="S2775" s="1"/>
      <c r="T2775" s="109"/>
      <c r="W2775" s="130" t="str">
        <f t="shared" si="53"/>
        <v>1w</v>
      </c>
      <c r="X2775" s="128">
        <f>_xll.qlCalendarAdvance(Calendar,X2774,W2775,"f",FALSE)</f>
        <v>58719</v>
      </c>
      <c r="Y2775" s="131">
        <f>_xll.qlCalendarAdvance(Calendar,X2775,NDays&amp;"D")</f>
        <v>58721</v>
      </c>
      <c r="Z2775" s="132">
        <v>1.2793769861514467E-2</v>
      </c>
      <c r="AA2775" s="129">
        <v>1.2790505119362194E-2</v>
      </c>
    </row>
    <row r="2776" spans="19:27" x14ac:dyDescent="0.2">
      <c r="S2776" s="1"/>
      <c r="T2776" s="109"/>
      <c r="W2776" s="130" t="str">
        <f t="shared" si="53"/>
        <v>1w</v>
      </c>
      <c r="X2776" s="128">
        <f>_xll.qlCalendarAdvance(Calendar,X2775,W2776,"f",FALSE)</f>
        <v>58726</v>
      </c>
      <c r="Y2776" s="131">
        <f>_xll.qlCalendarAdvance(Calendar,X2776,NDays&amp;"D")</f>
        <v>58728</v>
      </c>
      <c r="Z2776" s="132">
        <v>1.2791171237576695E-2</v>
      </c>
      <c r="AA2776" s="129">
        <v>1.2787710051265222E-2</v>
      </c>
    </row>
    <row r="2777" spans="19:27" x14ac:dyDescent="0.2">
      <c r="S2777" s="1"/>
      <c r="T2777" s="109"/>
      <c r="W2777" s="130" t="str">
        <f t="shared" si="53"/>
        <v>1w</v>
      </c>
      <c r="X2777" s="128">
        <f>_xll.qlCalendarAdvance(Calendar,X2776,W2777,"f",FALSE)</f>
        <v>58733</v>
      </c>
      <c r="Y2777" s="131">
        <f>_xll.qlCalendarAdvance(Calendar,X2777,NDays&amp;"D")</f>
        <v>58735</v>
      </c>
      <c r="Z2777" s="132">
        <v>1.2788604227956175E-2</v>
      </c>
      <c r="AA2777" s="129">
        <v>1.2784946493962224E-2</v>
      </c>
    </row>
    <row r="2778" spans="19:27" x14ac:dyDescent="0.2">
      <c r="S2778" s="1"/>
      <c r="T2778" s="109"/>
      <c r="W2778" s="130" t="str">
        <f t="shared" si="53"/>
        <v>1w</v>
      </c>
      <c r="X2778" s="128">
        <f>_xll.qlCalendarAdvance(Calendar,X2777,W2778,"f",FALSE)</f>
        <v>58740</v>
      </c>
      <c r="Y2778" s="131">
        <f>_xll.qlCalendarAdvance(Calendar,X2778,NDays&amp;"D")</f>
        <v>58742</v>
      </c>
      <c r="Z2778" s="132">
        <v>1.2786068832591216E-2</v>
      </c>
      <c r="AA2778" s="129">
        <v>1.27822144474532E-2</v>
      </c>
    </row>
    <row r="2779" spans="19:27" x14ac:dyDescent="0.2">
      <c r="S2779" s="1"/>
      <c r="T2779" s="109"/>
      <c r="W2779" s="130" t="str">
        <f t="shared" si="53"/>
        <v>1w</v>
      </c>
      <c r="X2779" s="128">
        <f>_xll.qlCalendarAdvance(Calendar,X2778,W2779,"f",FALSE)</f>
        <v>58747</v>
      </c>
      <c r="Y2779" s="131">
        <f>_xll.qlCalendarAdvance(Calendar,X2779,NDays&amp;"D")</f>
        <v>58749</v>
      </c>
      <c r="Z2779" s="132">
        <v>1.2783565051420996E-2</v>
      </c>
      <c r="AA2779" s="129">
        <v>1.2779513911658213E-2</v>
      </c>
    </row>
    <row r="2780" spans="19:27" x14ac:dyDescent="0.2">
      <c r="S2780" s="1"/>
      <c r="T2780" s="109"/>
      <c r="W2780" s="130" t="str">
        <f t="shared" si="53"/>
        <v>1w</v>
      </c>
      <c r="X2780" s="128">
        <f>_xll.qlCalendarAdvance(Calendar,X2779,W2780,"f",FALSE)</f>
        <v>58754</v>
      </c>
      <c r="Y2780" s="131">
        <f>_xll.qlCalendarAdvance(Calendar,X2780,NDays&amp;"D")</f>
        <v>58756</v>
      </c>
      <c r="Z2780" s="132">
        <v>1.2781092884383827E-2</v>
      </c>
      <c r="AA2780" s="129">
        <v>1.2776844886657202E-2</v>
      </c>
    </row>
    <row r="2781" spans="19:27" x14ac:dyDescent="0.2">
      <c r="S2781" s="1"/>
      <c r="T2781" s="109"/>
      <c r="W2781" s="130" t="str">
        <f t="shared" si="53"/>
        <v>1w</v>
      </c>
      <c r="X2781" s="128">
        <f>_xll.qlCalendarAdvance(Calendar,X2780,W2781,"f",FALSE)</f>
        <v>58761</v>
      </c>
      <c r="Y2781" s="131">
        <f>_xll.qlCalendarAdvance(Calendar,X2781,NDays&amp;"D")</f>
        <v>58763</v>
      </c>
      <c r="Z2781" s="132">
        <v>1.2778652331422363E-2</v>
      </c>
      <c r="AA2781" s="129">
        <v>1.2774207372370228E-2</v>
      </c>
    </row>
    <row r="2782" spans="19:27" x14ac:dyDescent="0.2">
      <c r="S2782" s="1"/>
      <c r="T2782" s="109"/>
      <c r="W2782" s="130" t="str">
        <f t="shared" si="53"/>
        <v>1w</v>
      </c>
      <c r="X2782" s="128">
        <f>_xll.qlCalendarAdvance(Calendar,X2781,W2782,"f",FALSE)</f>
        <v>58768</v>
      </c>
      <c r="Y2782" s="131">
        <f>_xll.qlCalendarAdvance(Calendar,X2782,NDays&amp;"D")</f>
        <v>58770</v>
      </c>
      <c r="Z2782" s="132">
        <v>1.2776243392474915E-2</v>
      </c>
      <c r="AA2782" s="129">
        <v>1.2771601368957164E-2</v>
      </c>
    </row>
    <row r="2783" spans="19:27" x14ac:dyDescent="0.2">
      <c r="S2783" s="1"/>
      <c r="T2783" s="109"/>
      <c r="W2783" s="130" t="str">
        <f t="shared" si="53"/>
        <v>1w</v>
      </c>
      <c r="X2783" s="128">
        <f>_xll.qlCalendarAdvance(Calendar,X2782,W2783,"f",FALSE)</f>
        <v>58775</v>
      </c>
      <c r="Y2783" s="131">
        <f>_xll.qlCalendarAdvance(Calendar,X2783,NDays&amp;"D")</f>
        <v>58777</v>
      </c>
      <c r="Z2783" s="132">
        <v>1.2773741190249766E-2</v>
      </c>
      <c r="AA2783" s="129">
        <v>1.2769026876258138E-2</v>
      </c>
    </row>
    <row r="2784" spans="19:27" x14ac:dyDescent="0.2">
      <c r="S2784" s="1"/>
      <c r="T2784" s="109"/>
      <c r="W2784" s="130" t="str">
        <f t="shared" si="53"/>
        <v>1w</v>
      </c>
      <c r="X2784" s="128">
        <f>_xll.qlCalendarAdvance(Calendar,X2783,W2784,"f",FALSE)</f>
        <v>58782</v>
      </c>
      <c r="Y2784" s="131">
        <f>_xll.qlCalendarAdvance(Calendar,X2784,NDays&amp;"D")</f>
        <v>58784</v>
      </c>
      <c r="Z2784" s="132">
        <v>1.2771391129393628E-2</v>
      </c>
      <c r="AA2784" s="129">
        <v>1.2766483894113279E-2</v>
      </c>
    </row>
    <row r="2785" spans="19:27" x14ac:dyDescent="0.2">
      <c r="S2785" s="1"/>
      <c r="T2785" s="109"/>
      <c r="W2785" s="130" t="str">
        <f t="shared" si="53"/>
        <v>1w</v>
      </c>
      <c r="X2785" s="128">
        <f>_xll.qlCalendarAdvance(Calendar,X2784,W2785,"f",FALSE)</f>
        <v>58789</v>
      </c>
      <c r="Y2785" s="131">
        <f>_xll.qlCalendarAdvance(Calendar,X2785,NDays&amp;"D")</f>
        <v>58791</v>
      </c>
      <c r="Z2785" s="132">
        <v>1.2769072680119287E-2</v>
      </c>
      <c r="AA2785" s="129">
        <v>1.2763972423002201E-2</v>
      </c>
    </row>
    <row r="2786" spans="19:27" x14ac:dyDescent="0.2">
      <c r="S2786" s="1"/>
      <c r="T2786" s="109"/>
      <c r="W2786" s="130" t="str">
        <f t="shared" si="53"/>
        <v>1w</v>
      </c>
      <c r="X2786" s="128">
        <f>_xll.qlCalendarAdvance(Calendar,X2785,W2786,"f",FALSE)</f>
        <v>58796</v>
      </c>
      <c r="Y2786" s="131">
        <f>_xll.qlCalendarAdvance(Calendar,X2786,NDays&amp;"D")</f>
        <v>58798</v>
      </c>
      <c r="Z2786" s="132">
        <v>1.2766785842370787E-2</v>
      </c>
      <c r="AA2786" s="129">
        <v>1.2761492462365354E-2</v>
      </c>
    </row>
    <row r="2787" spans="19:27" x14ac:dyDescent="0.2">
      <c r="S2787" s="1"/>
      <c r="T2787" s="109"/>
      <c r="W2787" s="130" t="str">
        <f t="shared" si="53"/>
        <v>1w</v>
      </c>
      <c r="X2787" s="128">
        <f>_xll.qlCalendarAdvance(Calendar,X2786,W2787,"f",FALSE)</f>
        <v>58803</v>
      </c>
      <c r="Y2787" s="131">
        <f>_xll.qlCalendarAdvance(Calendar,X2787,NDays&amp;"D")</f>
        <v>58805</v>
      </c>
      <c r="Z2787" s="132">
        <v>1.2764530616094838E-2</v>
      </c>
      <c r="AA2787" s="129">
        <v>1.2759044012682352E-2</v>
      </c>
    </row>
    <row r="2788" spans="19:27" x14ac:dyDescent="0.2">
      <c r="S2788" s="1"/>
      <c r="T2788" s="109"/>
      <c r="W2788" s="130" t="str">
        <f t="shared" si="53"/>
        <v>1w</v>
      </c>
      <c r="X2788" s="128">
        <f>_xll.qlCalendarAdvance(Calendar,X2787,W2788,"f",FALSE)</f>
        <v>58810</v>
      </c>
      <c r="Y2788" s="131">
        <f>_xll.qlCalendarAdvance(Calendar,X2788,NDays&amp;"D")</f>
        <v>58812</v>
      </c>
      <c r="Z2788" s="132">
        <v>1.2762307001238149E-2</v>
      </c>
      <c r="AA2788" s="129">
        <v>1.2756627073713389E-2</v>
      </c>
    </row>
    <row r="2789" spans="19:27" x14ac:dyDescent="0.2">
      <c r="S2789" s="1"/>
      <c r="T2789" s="109"/>
      <c r="W2789" s="130" t="str">
        <f t="shared" si="53"/>
        <v>1w</v>
      </c>
      <c r="X2789" s="128">
        <f>_xll.qlCalendarAdvance(Calendar,X2788,W2789,"f",FALSE)</f>
        <v>58817</v>
      </c>
      <c r="Y2789" s="131">
        <f>_xll.qlCalendarAdvance(Calendar,X2789,NDays&amp;"D")</f>
        <v>58819</v>
      </c>
      <c r="Z2789" s="132">
        <v>1.2760114997748317E-2</v>
      </c>
      <c r="AA2789" s="129">
        <v>1.2754241645458464E-2</v>
      </c>
    </row>
    <row r="2790" spans="19:27" x14ac:dyDescent="0.2">
      <c r="S2790" s="1"/>
      <c r="T2790" s="109"/>
      <c r="W2790" s="130" t="str">
        <f t="shared" si="53"/>
        <v>1w</v>
      </c>
      <c r="X2790" s="128">
        <f>_xll.qlCalendarAdvance(Calendar,X2789,W2790,"f",FALSE)</f>
        <v>58824</v>
      </c>
      <c r="Y2790" s="131">
        <f>_xll.qlCalendarAdvance(Calendar,X2790,NDays&amp;"D")</f>
        <v>58826</v>
      </c>
      <c r="Z2790" s="132">
        <v>1.2757954605572941E-2</v>
      </c>
      <c r="AA2790" s="129">
        <v>1.2751887727997513E-2</v>
      </c>
    </row>
    <row r="2791" spans="19:27" x14ac:dyDescent="0.2">
      <c r="S2791" s="1"/>
      <c r="T2791" s="109"/>
      <c r="W2791" s="130" t="str">
        <f t="shared" si="53"/>
        <v>1w</v>
      </c>
      <c r="X2791" s="128">
        <f>_xll.qlCalendarAdvance(Calendar,X2790,W2791,"f",FALSE)</f>
        <v>58831</v>
      </c>
      <c r="Y2791" s="131">
        <f>_xll.qlCalendarAdvance(Calendar,X2791,NDays&amp;"D")</f>
        <v>58833</v>
      </c>
      <c r="Z2791" s="132">
        <v>1.2755825824660505E-2</v>
      </c>
      <c r="AA2791" s="129">
        <v>1.27495653212506E-2</v>
      </c>
    </row>
    <row r="2792" spans="19:27" x14ac:dyDescent="0.2">
      <c r="S2792" s="1"/>
      <c r="T2792" s="109"/>
      <c r="W2792" s="130" t="str">
        <f t="shared" si="53"/>
        <v>1w</v>
      </c>
      <c r="X2792" s="128">
        <f>_xll.qlCalendarAdvance(Calendar,X2791,W2792,"f",FALSE)</f>
        <v>58838</v>
      </c>
      <c r="Y2792" s="131">
        <f>_xll.qlCalendarAdvance(Calendar,X2792,NDays&amp;"D")</f>
        <v>58840</v>
      </c>
      <c r="Z2792" s="132">
        <v>1.2753646917033753E-2</v>
      </c>
      <c r="AA2792" s="129">
        <v>1.2747274425297661E-2</v>
      </c>
    </row>
    <row r="2793" spans="19:27" x14ac:dyDescent="0.2">
      <c r="S2793" s="1"/>
      <c r="T2793" s="109"/>
      <c r="W2793" s="130" t="str">
        <f t="shared" si="53"/>
        <v>1w</v>
      </c>
      <c r="X2793" s="128">
        <f>_xll.qlCalendarAdvance(Calendar,X2792,W2793,"f",FALSE)</f>
        <v>58845</v>
      </c>
      <c r="Y2793" s="131">
        <f>_xll.qlCalendarAdvance(Calendar,X2793,NDays&amp;"D")</f>
        <v>58847</v>
      </c>
      <c r="Z2793" s="132">
        <v>1.2751579173696301E-2</v>
      </c>
      <c r="AA2793" s="129">
        <v>1.274501504005876E-2</v>
      </c>
    </row>
    <row r="2794" spans="19:27" x14ac:dyDescent="0.2">
      <c r="S2794" s="1"/>
      <c r="T2794" s="109"/>
      <c r="W2794" s="130" t="str">
        <f t="shared" si="53"/>
        <v>1w</v>
      </c>
      <c r="X2794" s="128">
        <f>_xll.qlCalendarAdvance(Calendar,X2793,W2794,"f",FALSE)</f>
        <v>58852</v>
      </c>
      <c r="Y2794" s="131">
        <f>_xll.qlCalendarAdvance(Calendar,X2794,NDays&amp;"D")</f>
        <v>58854</v>
      </c>
      <c r="Z2794" s="132">
        <v>1.2749543040347184E-2</v>
      </c>
      <c r="AA2794" s="129">
        <v>1.2742787165613834E-2</v>
      </c>
    </row>
    <row r="2795" spans="19:27" x14ac:dyDescent="0.2">
      <c r="S2795" s="1"/>
      <c r="T2795" s="109"/>
      <c r="W2795" s="130" t="str">
        <f t="shared" si="53"/>
        <v>1w</v>
      </c>
      <c r="X2795" s="128">
        <f>_xll.qlCalendarAdvance(Calendar,X2794,W2795,"f",FALSE)</f>
        <v>58859</v>
      </c>
      <c r="Y2795" s="131">
        <f>_xll.qlCalendarAdvance(Calendar,X2795,NDays&amp;"D")</f>
        <v>58861</v>
      </c>
      <c r="Z2795" s="132">
        <v>1.2747538516939699E-2</v>
      </c>
      <c r="AA2795" s="129">
        <v>1.2740590801803009E-2</v>
      </c>
    </row>
    <row r="2796" spans="19:27" x14ac:dyDescent="0.2">
      <c r="S2796" s="1"/>
      <c r="T2796" s="109"/>
      <c r="W2796" s="130" t="str">
        <f t="shared" si="53"/>
        <v>1w</v>
      </c>
      <c r="X2796" s="128">
        <f>_xll.qlCalendarAdvance(Calendar,X2795,W2796,"f",FALSE)</f>
        <v>58866</v>
      </c>
      <c r="Y2796" s="131">
        <f>_xll.qlCalendarAdvance(Calendar,X2796,NDays&amp;"D")</f>
        <v>58868</v>
      </c>
      <c r="Z2796" s="132">
        <v>1.2745837687592333E-2</v>
      </c>
      <c r="AA2796" s="129">
        <v>1.2738425948866094E-2</v>
      </c>
    </row>
    <row r="2797" spans="19:27" x14ac:dyDescent="0.2">
      <c r="S2797" s="1"/>
      <c r="T2797" s="109"/>
      <c r="W2797" s="130" t="str">
        <f t="shared" si="53"/>
        <v>1w</v>
      </c>
      <c r="X2797" s="128">
        <f>_xll.qlCalendarAdvance(Calendar,X2796,W2797,"f",FALSE)</f>
        <v>58873</v>
      </c>
      <c r="Y2797" s="131">
        <f>_xll.qlCalendarAdvance(Calendar,X2797,NDays&amp;"D")</f>
        <v>58875</v>
      </c>
      <c r="Z2797" s="132">
        <v>1.2743902952315998E-2</v>
      </c>
      <c r="AA2797" s="129">
        <v>1.2736292606563282E-2</v>
      </c>
    </row>
    <row r="2798" spans="19:27" x14ac:dyDescent="0.2">
      <c r="S2798" s="1"/>
      <c r="T2798" s="109"/>
      <c r="W2798" s="130" t="str">
        <f t="shared" si="53"/>
        <v>1w</v>
      </c>
      <c r="X2798" s="128">
        <f>_xll.qlCalendarAdvance(Calendar,X2797,W2798,"f",FALSE)</f>
        <v>58880</v>
      </c>
      <c r="Y2798" s="131">
        <f>_xll.qlCalendarAdvance(Calendar,X2798,NDays&amp;"D")</f>
        <v>58882</v>
      </c>
      <c r="Z2798" s="132">
        <v>1.2741999830214349E-2</v>
      </c>
      <c r="AA2798" s="129">
        <v>1.2734190774974508E-2</v>
      </c>
    </row>
    <row r="2799" spans="19:27" x14ac:dyDescent="0.2">
      <c r="S2799" s="1"/>
      <c r="T2799" s="109"/>
      <c r="W2799" s="130" t="str">
        <f t="shared" si="53"/>
        <v>1w</v>
      </c>
      <c r="X2799" s="128">
        <f>_xll.qlCalendarAdvance(Calendar,X2798,W2799,"f",FALSE)</f>
        <v>58887</v>
      </c>
      <c r="Y2799" s="131">
        <f>_xll.qlCalendarAdvance(Calendar,X2799,NDays&amp;"D")</f>
        <v>58889</v>
      </c>
      <c r="Z2799" s="132">
        <v>1.2740128321242206E-2</v>
      </c>
      <c r="AA2799" s="129">
        <v>1.2732120454259643E-2</v>
      </c>
    </row>
    <row r="2800" spans="19:27" x14ac:dyDescent="0.2">
      <c r="S2800" s="1"/>
      <c r="T2800" s="109"/>
      <c r="W2800" s="130" t="str">
        <f t="shared" si="53"/>
        <v>1w</v>
      </c>
      <c r="X2800" s="128">
        <f>_xll.qlCalendarAdvance(Calendar,X2799,W2800,"f",FALSE)</f>
        <v>58894</v>
      </c>
      <c r="Y2800" s="131">
        <f>_xll.qlCalendarAdvance(Calendar,X2800,NDays&amp;"D")</f>
        <v>58896</v>
      </c>
      <c r="Z2800" s="132">
        <v>1.2738188754569363E-2</v>
      </c>
      <c r="AA2800" s="129">
        <v>1.2730081644258817E-2</v>
      </c>
    </row>
    <row r="2801" spans="19:27" x14ac:dyDescent="0.2">
      <c r="S2801" s="1"/>
      <c r="T2801" s="109"/>
      <c r="W2801" s="130" t="str">
        <f t="shared" si="53"/>
        <v>1w</v>
      </c>
      <c r="X2801" s="128">
        <f>_xll.qlCalendarAdvance(Calendar,X2800,W2801,"f",FALSE)</f>
        <v>58901</v>
      </c>
      <c r="Y2801" s="131">
        <f>_xll.qlCalendarAdvance(Calendar,X2801,NDays&amp;"D")</f>
        <v>58903</v>
      </c>
      <c r="Z2801" s="132">
        <v>1.273637827760629E-2</v>
      </c>
      <c r="AA2801" s="129">
        <v>1.272840723481572E-2</v>
      </c>
    </row>
    <row r="2802" spans="19:27" x14ac:dyDescent="0.2">
      <c r="S2802" s="1"/>
      <c r="T2802" s="109"/>
      <c r="W2802" s="130" t="str">
        <f t="shared" si="53"/>
        <v>1w</v>
      </c>
      <c r="X2802" s="128">
        <f>_xll.qlCalendarAdvance(Calendar,X2801,W2802,"f",FALSE)</f>
        <v>58908</v>
      </c>
      <c r="Y2802" s="131">
        <f>_xll.qlCalendarAdvance(Calendar,X2802,NDays&amp;"D")</f>
        <v>58910</v>
      </c>
      <c r="Z2802" s="132">
        <v>1.2734599412517653E-2</v>
      </c>
      <c r="AA2802" s="129">
        <v>1.2726098556399279E-2</v>
      </c>
    </row>
    <row r="2803" spans="19:27" x14ac:dyDescent="0.2">
      <c r="S2803" s="1"/>
      <c r="T2803" s="109"/>
      <c r="W2803" s="130" t="str">
        <f t="shared" si="53"/>
        <v>1w</v>
      </c>
      <c r="X2803" s="128">
        <f>_xll.qlCalendarAdvance(Calendar,X2802,W2803,"f",FALSE)</f>
        <v>58915</v>
      </c>
      <c r="Y2803" s="131">
        <f>_xll.qlCalendarAdvance(Calendar,X2803,NDays&amp;"D")</f>
        <v>58917</v>
      </c>
      <c r="Z2803" s="132">
        <v>1.273285215925953E-2</v>
      </c>
      <c r="AA2803" s="129">
        <v>1.2724154278700439E-2</v>
      </c>
    </row>
    <row r="2804" spans="19:27" x14ac:dyDescent="0.2">
      <c r="S2804" s="1"/>
      <c r="T2804" s="109"/>
      <c r="W2804" s="130" t="str">
        <f t="shared" si="53"/>
        <v>1w</v>
      </c>
      <c r="X2804" s="128">
        <f>_xll.qlCalendarAdvance(Calendar,X2803,W2804,"f",FALSE)</f>
        <v>58922</v>
      </c>
      <c r="Y2804" s="131">
        <f>_xll.qlCalendarAdvance(Calendar,X2804,NDays&amp;"D")</f>
        <v>58924</v>
      </c>
      <c r="Z2804" s="132">
        <v>1.2731136517793274E-2</v>
      </c>
      <c r="AA2804" s="129">
        <v>1.2722241511635701E-2</v>
      </c>
    </row>
    <row r="2805" spans="19:27" x14ac:dyDescent="0.2">
      <c r="S2805" s="1"/>
      <c r="T2805" s="109"/>
      <c r="W2805" s="130" t="str">
        <f t="shared" si="53"/>
        <v>1w</v>
      </c>
      <c r="X2805" s="128">
        <f>_xll.qlCalendarAdvance(Calendar,X2804,W2805,"f",FALSE)</f>
        <v>58929</v>
      </c>
      <c r="Y2805" s="131">
        <f>_xll.qlCalendarAdvance(Calendar,X2805,NDays&amp;"D")</f>
        <v>58931</v>
      </c>
      <c r="Z2805" s="132">
        <v>1.2729563140655287E-2</v>
      </c>
      <c r="AA2805" s="129">
        <v>1.2720360255285001E-2</v>
      </c>
    </row>
    <row r="2806" spans="19:27" x14ac:dyDescent="0.2">
      <c r="S2806" s="1"/>
      <c r="T2806" s="109"/>
      <c r="W2806" s="130" t="str">
        <f t="shared" si="53"/>
        <v>1w</v>
      </c>
      <c r="X2806" s="128">
        <f>_xll.qlCalendarAdvance(Calendar,X2805,W2806,"f",FALSE)</f>
        <v>58936</v>
      </c>
      <c r="Y2806" s="131">
        <f>_xll.qlCalendarAdvance(Calendar,X2806,NDays&amp;"D")</f>
        <v>58938</v>
      </c>
      <c r="Z2806" s="132">
        <v>1.2727912922368051E-2</v>
      </c>
      <c r="AA2806" s="129">
        <v>1.271851050964834E-2</v>
      </c>
    </row>
    <row r="2807" spans="19:27" x14ac:dyDescent="0.2">
      <c r="S2807" s="1"/>
      <c r="T2807" s="109"/>
      <c r="W2807" s="130" t="str">
        <f t="shared" si="53"/>
        <v>1w</v>
      </c>
      <c r="X2807" s="128">
        <f>_xll.qlCalendarAdvance(Calendar,X2806,W2807,"f",FALSE)</f>
        <v>58943</v>
      </c>
      <c r="Y2807" s="131">
        <f>_xll.qlCalendarAdvance(Calendar,X2807,NDays&amp;"D")</f>
        <v>58945</v>
      </c>
      <c r="Z2807" s="132">
        <v>1.2726294316870591E-2</v>
      </c>
      <c r="AA2807" s="129">
        <v>1.2716692274965524E-2</v>
      </c>
    </row>
    <row r="2808" spans="19:27" x14ac:dyDescent="0.2">
      <c r="S2808" s="1"/>
      <c r="T2808" s="109"/>
      <c r="W2808" s="130" t="str">
        <f t="shared" si="53"/>
        <v>1w</v>
      </c>
      <c r="X2808" s="128">
        <f>_xll.qlCalendarAdvance(Calendar,X2807,W2808,"f",FALSE)</f>
        <v>58950</v>
      </c>
      <c r="Y2808" s="131">
        <f>_xll.qlCalendarAdvance(Calendar,X2808,NDays&amp;"D")</f>
        <v>58952</v>
      </c>
      <c r="Z2808" s="132">
        <v>1.2724707324122942E-2</v>
      </c>
      <c r="AA2808" s="129">
        <v>1.2714905550836875E-2</v>
      </c>
    </row>
    <row r="2809" spans="19:27" x14ac:dyDescent="0.2">
      <c r="S2809" s="1"/>
      <c r="T2809" s="109"/>
      <c r="W2809" s="130" t="str">
        <f t="shared" si="53"/>
        <v>1w</v>
      </c>
      <c r="X2809" s="128">
        <f>_xll.qlCalendarAdvance(Calendar,X2808,W2809,"f",FALSE)</f>
        <v>58957</v>
      </c>
      <c r="Y2809" s="131">
        <f>_xll.qlCalendarAdvance(Calendar,X2809,NDays&amp;"D")</f>
        <v>58959</v>
      </c>
      <c r="Z2809" s="132">
        <v>1.272315194408687E-2</v>
      </c>
      <c r="AA2809" s="129">
        <v>1.2713150337422263E-2</v>
      </c>
    </row>
    <row r="2810" spans="19:27" x14ac:dyDescent="0.2">
      <c r="S2810" s="1"/>
      <c r="T2810" s="109"/>
      <c r="W2810" s="130" t="str">
        <f t="shared" si="53"/>
        <v>1w</v>
      </c>
      <c r="X2810" s="128">
        <f>_xll.qlCalendarAdvance(Calendar,X2809,W2810,"f",FALSE)</f>
        <v>58964</v>
      </c>
      <c r="Y2810" s="131">
        <f>_xll.qlCalendarAdvance(Calendar,X2810,NDays&amp;"D")</f>
        <v>58966</v>
      </c>
      <c r="Z2810" s="132">
        <v>1.2721628176724148E-2</v>
      </c>
      <c r="AA2810" s="129">
        <v>1.2711426634881562E-2</v>
      </c>
    </row>
    <row r="2811" spans="19:27" x14ac:dyDescent="0.2">
      <c r="S2811" s="1"/>
      <c r="T2811" s="109"/>
      <c r="W2811" s="130" t="str">
        <f t="shared" si="53"/>
        <v>1w</v>
      </c>
      <c r="X2811" s="128">
        <f>_xll.qlCalendarAdvance(Calendar,X2810,W2811,"f",FALSE)</f>
        <v>58971</v>
      </c>
      <c r="Y2811" s="131">
        <f>_xll.qlCalendarAdvance(Calendar,X2811,NDays&amp;"D")</f>
        <v>58973</v>
      </c>
      <c r="Z2811" s="132">
        <v>1.272013602200002E-2</v>
      </c>
      <c r="AA2811" s="129">
        <v>1.2709734443054899E-2</v>
      </c>
    </row>
    <row r="2812" spans="19:27" x14ac:dyDescent="0.2">
      <c r="S2812" s="1"/>
      <c r="T2812" s="109"/>
      <c r="W2812" s="130" t="str">
        <f t="shared" si="53"/>
        <v>1w</v>
      </c>
      <c r="X2812" s="128">
        <f>_xll.qlCalendarAdvance(Calendar,X2811,W2812,"f",FALSE)</f>
        <v>58978</v>
      </c>
      <c r="Y2812" s="131">
        <f>_xll.qlCalendarAdvance(Calendar,X2812,NDays&amp;"D")</f>
        <v>58980</v>
      </c>
      <c r="Z2812" s="132">
        <v>1.2718675479877992E-2</v>
      </c>
      <c r="AA2812" s="129">
        <v>1.2708073761862337E-2</v>
      </c>
    </row>
    <row r="2813" spans="19:27" x14ac:dyDescent="0.2">
      <c r="S2813" s="1"/>
      <c r="T2813" s="109"/>
      <c r="W2813" s="130" t="str">
        <f t="shared" si="53"/>
        <v>1w</v>
      </c>
      <c r="X2813" s="128">
        <f>_xll.qlCalendarAdvance(Calendar,X2812,W2813,"f",FALSE)</f>
        <v>58985</v>
      </c>
      <c r="Y2813" s="131">
        <f>_xll.qlCalendarAdvance(Calendar,X2813,NDays&amp;"D")</f>
        <v>58987</v>
      </c>
      <c r="Z2813" s="132">
        <v>1.2717246550320704E-2</v>
      </c>
      <c r="AA2813" s="129">
        <v>1.270644459146375E-2</v>
      </c>
    </row>
    <row r="2814" spans="19:27" x14ac:dyDescent="0.2">
      <c r="S2814" s="1"/>
      <c r="T2814" s="109"/>
      <c r="W2814" s="130" t="str">
        <f t="shared" si="53"/>
        <v>1w</v>
      </c>
      <c r="X2814" s="128">
        <f>_xll.qlCalendarAdvance(Calendar,X2813,W2814,"f",FALSE)</f>
        <v>58992</v>
      </c>
      <c r="Y2814" s="131">
        <f>_xll.qlCalendarAdvance(Calendar,X2814,NDays&amp;"D")</f>
        <v>58994</v>
      </c>
      <c r="Z2814" s="132">
        <v>1.2715849233296009E-2</v>
      </c>
      <c r="AA2814" s="129">
        <v>1.2704846931779201E-2</v>
      </c>
    </row>
    <row r="2815" spans="19:27" x14ac:dyDescent="0.2">
      <c r="S2815" s="1"/>
      <c r="T2815" s="109"/>
      <c r="W2815" s="130" t="str">
        <f t="shared" si="53"/>
        <v>1w</v>
      </c>
      <c r="X2815" s="128">
        <f>_xll.qlCalendarAdvance(Calendar,X2814,W2815,"f",FALSE)</f>
        <v>58999</v>
      </c>
      <c r="Y2815" s="131">
        <f>_xll.qlCalendarAdvance(Calendar,X2815,NDays&amp;"D")</f>
        <v>59001</v>
      </c>
      <c r="Z2815" s="132">
        <v>1.2714483528769149E-2</v>
      </c>
      <c r="AA2815" s="129">
        <v>1.2703280782888626E-2</v>
      </c>
    </row>
    <row r="2816" spans="19:27" x14ac:dyDescent="0.2">
      <c r="S2816" s="1"/>
      <c r="T2816" s="109"/>
      <c r="W2816" s="130" t="str">
        <f t="shared" si="53"/>
        <v>1w</v>
      </c>
      <c r="X2816" s="128">
        <f>_xll.qlCalendarAdvance(Calendar,X2815,W2816,"f",FALSE)</f>
        <v>59006</v>
      </c>
      <c r="Y2816" s="131">
        <f>_xll.qlCalendarAdvance(Calendar,X2816,NDays&amp;"D")</f>
        <v>59008</v>
      </c>
      <c r="Z2816" s="132">
        <v>1.2713149436707979E-2</v>
      </c>
      <c r="AA2816" s="129">
        <v>1.2701746144712089E-2</v>
      </c>
    </row>
    <row r="2817" spans="19:27" x14ac:dyDescent="0.2">
      <c r="S2817" s="1"/>
      <c r="T2817" s="109"/>
      <c r="W2817" s="130" t="str">
        <f t="shared" si="53"/>
        <v>1w</v>
      </c>
      <c r="X2817" s="128">
        <f>_xll.qlCalendarAdvance(Calendar,X2816,W2817,"f",FALSE)</f>
        <v>59013</v>
      </c>
      <c r="Y2817" s="131">
        <f>_xll.qlCalendarAdvance(Calendar,X2817,NDays&amp;"D")</f>
        <v>59015</v>
      </c>
      <c r="Z2817" s="132">
        <v>1.2711846957077742E-2</v>
      </c>
      <c r="AA2817" s="129">
        <v>1.2700243017249591E-2</v>
      </c>
    </row>
    <row r="2818" spans="19:27" x14ac:dyDescent="0.2">
      <c r="S2818" s="1"/>
      <c r="T2818" s="109"/>
      <c r="W2818" s="130" t="str">
        <f t="shared" si="53"/>
        <v>1w</v>
      </c>
      <c r="X2818" s="128">
        <f>_xll.qlCalendarAdvance(Calendar,X2817,W2818,"f",FALSE)</f>
        <v>59020</v>
      </c>
      <c r="Y2818" s="131">
        <f>_xll.qlCalendarAdvance(Calendar,X2818,NDays&amp;"D")</f>
        <v>59022</v>
      </c>
      <c r="Z2818" s="132">
        <v>1.2710576089849766E-2</v>
      </c>
      <c r="AA2818" s="129">
        <v>1.269877140050113E-2</v>
      </c>
    </row>
    <row r="2819" spans="19:27" x14ac:dyDescent="0.2">
      <c r="S2819" s="1"/>
      <c r="T2819" s="109"/>
      <c r="W2819" s="130" t="str">
        <f t="shared" si="53"/>
        <v>1w</v>
      </c>
      <c r="X2819" s="128">
        <f>_xll.qlCalendarAdvance(Calendar,X2818,W2819,"f",FALSE)</f>
        <v>59027</v>
      </c>
      <c r="Y2819" s="131">
        <f>_xll.qlCalendarAdvance(Calendar,X2819,NDays&amp;"D")</f>
        <v>59029</v>
      </c>
      <c r="Z2819" s="132">
        <v>1.2709336834992773E-2</v>
      </c>
      <c r="AA2819" s="129">
        <v>1.2697331294626579E-2</v>
      </c>
    </row>
    <row r="2820" spans="19:27" x14ac:dyDescent="0.2">
      <c r="S2820" s="1"/>
      <c r="T2820" s="109"/>
      <c r="W2820" s="130" t="str">
        <f t="shared" si="53"/>
        <v>1w</v>
      </c>
      <c r="X2820" s="128">
        <f>_xll.qlCalendarAdvance(Calendar,X2819,W2820,"f",FALSE)</f>
        <v>59034</v>
      </c>
      <c r="Y2820" s="131">
        <f>_xll.qlCalendarAdvance(Calendar,X2820,NDays&amp;"D")</f>
        <v>59036</v>
      </c>
      <c r="Z2820" s="132">
        <v>1.2708129192475482E-2</v>
      </c>
      <c r="AA2820" s="129">
        <v>1.2695922699306195E-2</v>
      </c>
    </row>
    <row r="2821" spans="19:27" x14ac:dyDescent="0.2">
      <c r="S2821" s="1"/>
      <c r="T2821" s="109"/>
      <c r="W2821" s="130" t="str">
        <f t="shared" si="53"/>
        <v>1w</v>
      </c>
      <c r="X2821" s="128">
        <f>_xll.qlCalendarAdvance(Calendar,X2820,W2821,"f",FALSE)</f>
        <v>59041</v>
      </c>
      <c r="Y2821" s="131">
        <f>_xll.qlCalendarAdvance(Calendar,X2821,NDays&amp;"D")</f>
        <v>59043</v>
      </c>
      <c r="Z2821" s="132">
        <v>1.2706953162269221E-2</v>
      </c>
      <c r="AA2821" s="129">
        <v>1.269454561485972E-2</v>
      </c>
    </row>
    <row r="2822" spans="19:27" x14ac:dyDescent="0.2">
      <c r="S2822" s="1"/>
      <c r="T2822" s="109"/>
      <c r="W2822" s="130" t="str">
        <f t="shared" si="53"/>
        <v>1w</v>
      </c>
      <c r="X2822" s="128">
        <f>_xll.qlCalendarAdvance(Calendar,X2821,W2822,"f",FALSE)</f>
        <v>59048</v>
      </c>
      <c r="Y2822" s="131">
        <f>_xll.qlCalendarAdvance(Calendar,X2822,NDays&amp;"D")</f>
        <v>59050</v>
      </c>
      <c r="Z2822" s="132">
        <v>1.2705660544309516E-2</v>
      </c>
      <c r="AA2822" s="129">
        <v>1.2693200041127284E-2</v>
      </c>
    </row>
    <row r="2823" spans="19:27" x14ac:dyDescent="0.2">
      <c r="S2823" s="1"/>
      <c r="T2823" s="109"/>
      <c r="W2823" s="130" t="str">
        <f t="shared" si="53"/>
        <v>1w</v>
      </c>
      <c r="X2823" s="128">
        <f>_xll.qlCalendarAdvance(Calendar,X2822,W2823,"f",FALSE)</f>
        <v>59055</v>
      </c>
      <c r="Y2823" s="131">
        <f>_xll.qlCalendarAdvance(Calendar,X2823,NDays&amp;"D")</f>
        <v>59057</v>
      </c>
      <c r="Z2823" s="132">
        <v>1.2704545519915822E-2</v>
      </c>
      <c r="AA2823" s="129">
        <v>1.2691885978028949E-2</v>
      </c>
    </row>
    <row r="2824" spans="19:27" x14ac:dyDescent="0.2">
      <c r="S2824" s="1"/>
      <c r="T2824" s="109"/>
      <c r="W2824" s="130" t="str">
        <f t="shared" si="53"/>
        <v>1w</v>
      </c>
      <c r="X2824" s="128">
        <f>_xll.qlCalendarAdvance(Calendar,X2823,W2824,"f",FALSE)</f>
        <v>59062</v>
      </c>
      <c r="Y2824" s="131">
        <f>_xll.qlCalendarAdvance(Calendar,X2824,NDays&amp;"D")</f>
        <v>59064</v>
      </c>
      <c r="Z2824" s="132">
        <v>1.2703462106634096E-2</v>
      </c>
      <c r="AA2824" s="129">
        <v>1.2690603425724589E-2</v>
      </c>
    </row>
    <row r="2825" spans="19:27" x14ac:dyDescent="0.2">
      <c r="S2825" s="1"/>
      <c r="T2825" s="109"/>
      <c r="W2825" s="130" t="str">
        <f t="shared" si="53"/>
        <v>1w</v>
      </c>
      <c r="X2825" s="128">
        <f>_xll.qlCalendarAdvance(Calendar,X2824,W2825,"f",FALSE)</f>
        <v>59069</v>
      </c>
      <c r="Y2825" s="131">
        <f>_xll.qlCalendarAdvance(Calendar,X2825,NDays&amp;"D")</f>
        <v>59071</v>
      </c>
      <c r="Z2825" s="132">
        <v>1.2702410304440623E-2</v>
      </c>
      <c r="AA2825" s="129">
        <v>1.2689352384214203E-2</v>
      </c>
    </row>
    <row r="2826" spans="19:27" x14ac:dyDescent="0.2">
      <c r="S2826" s="1"/>
      <c r="T2826" s="109"/>
      <c r="W2826" s="130" t="str">
        <f t="shared" si="53"/>
        <v>1w</v>
      </c>
      <c r="X2826" s="128">
        <f>_xll.qlCalendarAdvance(Calendar,X2825,W2826,"f",FALSE)</f>
        <v>59076</v>
      </c>
      <c r="Y2826" s="131">
        <f>_xll.qlCalendarAdvance(Calendar,X2826,NDays&amp;"D")</f>
        <v>59078</v>
      </c>
      <c r="Z2826" s="132">
        <v>1.270139011330905E-2</v>
      </c>
      <c r="AA2826" s="129">
        <v>1.2688132853337919E-2</v>
      </c>
    </row>
    <row r="2827" spans="19:27" x14ac:dyDescent="0.2">
      <c r="S2827" s="1"/>
      <c r="T2827" s="109"/>
      <c r="W2827" s="130" t="str">
        <f t="shared" si="53"/>
        <v>1w</v>
      </c>
      <c r="X2827" s="128">
        <f>_xll.qlCalendarAdvance(Calendar,X2826,W2827,"f",FALSE)</f>
        <v>59083</v>
      </c>
      <c r="Y2827" s="131">
        <f>_xll.qlCalendarAdvance(Calendar,X2827,NDays&amp;"D")</f>
        <v>59085</v>
      </c>
      <c r="Z2827" s="132">
        <v>1.2700560838036671E-2</v>
      </c>
      <c r="AA2827" s="129">
        <v>1.2686944833175673E-2</v>
      </c>
    </row>
    <row r="2828" spans="19:27" x14ac:dyDescent="0.2">
      <c r="S2828" s="1"/>
      <c r="T2828" s="109"/>
      <c r="W2828" s="130" t="str">
        <f t="shared" si="53"/>
        <v>1w</v>
      </c>
      <c r="X2828" s="128">
        <f>_xll.qlCalendarAdvance(Calendar,X2827,W2828,"f",FALSE)</f>
        <v>59090</v>
      </c>
      <c r="Y2828" s="131">
        <f>_xll.qlCalendarAdvance(Calendar,X2828,NDays&amp;"D")</f>
        <v>59092</v>
      </c>
      <c r="Z2828" s="132">
        <v>1.2699606093258651E-2</v>
      </c>
      <c r="AA2828" s="129">
        <v>1.2685788323807401E-2</v>
      </c>
    </row>
    <row r="2829" spans="19:27" x14ac:dyDescent="0.2">
      <c r="S2829" s="1"/>
      <c r="T2829" s="109"/>
      <c r="W2829" s="130" t="str">
        <f t="shared" si="53"/>
        <v>1w</v>
      </c>
      <c r="X2829" s="128">
        <f>_xll.qlCalendarAdvance(Calendar,X2828,W2829,"f",FALSE)</f>
        <v>59097</v>
      </c>
      <c r="Y2829" s="131">
        <f>_xll.qlCalendarAdvance(Calendar,X2829,NDays&amp;"D")</f>
        <v>59099</v>
      </c>
      <c r="Z2829" s="132">
        <v>1.269868296058574E-2</v>
      </c>
      <c r="AA2829" s="129">
        <v>1.2684663325233103E-2</v>
      </c>
    </row>
    <row r="2830" spans="19:27" x14ac:dyDescent="0.2">
      <c r="S2830" s="1"/>
      <c r="T2830" s="109"/>
      <c r="W2830" s="130" t="str">
        <f t="shared" si="53"/>
        <v>1w</v>
      </c>
      <c r="X2830" s="128">
        <f>_xll.qlCalendarAdvance(Calendar,X2829,W2830,"f",FALSE)</f>
        <v>59104</v>
      </c>
      <c r="Y2830" s="131">
        <f>_xll.qlCalendarAdvance(Calendar,X2830,NDays&amp;"D")</f>
        <v>59106</v>
      </c>
      <c r="Z2830" s="132">
        <v>1.2697791439996213E-2</v>
      </c>
      <c r="AA2830" s="129">
        <v>1.2683569837292907E-2</v>
      </c>
    </row>
    <row r="2831" spans="19:27" x14ac:dyDescent="0.2">
      <c r="S2831" s="1"/>
      <c r="T2831" s="109"/>
      <c r="W2831" s="130" t="str">
        <f t="shared" si="53"/>
        <v>1w</v>
      </c>
      <c r="X2831" s="128">
        <f>_xll.qlCalendarAdvance(Calendar,X2830,W2831,"f",FALSE)</f>
        <v>59111</v>
      </c>
      <c r="Y2831" s="131">
        <f>_xll.qlCalendarAdvance(Calendar,X2831,NDays&amp;"D")</f>
        <v>59113</v>
      </c>
      <c r="Z2831" s="132">
        <v>1.2696931531467483E-2</v>
      </c>
      <c r="AA2831" s="129">
        <v>1.268250786006675E-2</v>
      </c>
    </row>
    <row r="2832" spans="19:27" x14ac:dyDescent="0.2">
      <c r="S2832" s="1"/>
      <c r="T2832" s="109"/>
      <c r="W2832" s="130" t="str">
        <f t="shared" si="53"/>
        <v>1w</v>
      </c>
      <c r="X2832" s="128">
        <f>_xll.qlCalendarAdvance(Calendar,X2831,W2832,"f",FALSE)</f>
        <v>59118</v>
      </c>
      <c r="Y2832" s="131">
        <f>_xll.qlCalendarAdvance(Calendar,X2832,NDays&amp;"D")</f>
        <v>59120</v>
      </c>
      <c r="Z2832" s="132">
        <v>1.2696103234980431E-2</v>
      </c>
      <c r="AA2832" s="129">
        <v>1.2681477393714502E-2</v>
      </c>
    </row>
    <row r="2833" spans="19:27" x14ac:dyDescent="0.2">
      <c r="S2833" s="1"/>
      <c r="T2833" s="109"/>
      <c r="W2833" s="130" t="str">
        <f t="shared" si="53"/>
        <v>1w</v>
      </c>
      <c r="X2833" s="128">
        <f>_xll.qlCalendarAdvance(Calendar,X2832,W2833,"f",FALSE)</f>
        <v>59125</v>
      </c>
      <c r="Y2833" s="131">
        <f>_xll.qlCalendarAdvance(Calendar,X2833,NDays&amp;"D")</f>
        <v>59127</v>
      </c>
      <c r="Z2833" s="132">
        <v>1.2695306550514209E-2</v>
      </c>
      <c r="AA2833" s="129">
        <v>1.268047843791642E-2</v>
      </c>
    </row>
    <row r="2834" spans="19:27" x14ac:dyDescent="0.2">
      <c r="S2834" s="1"/>
      <c r="T2834" s="109"/>
      <c r="W2834" s="130" t="str">
        <f t="shared" si="53"/>
        <v>1w</v>
      </c>
      <c r="X2834" s="128">
        <f>_xll.qlCalendarAdvance(Calendar,X2833,W2834,"f",FALSE)</f>
        <v>59132</v>
      </c>
      <c r="Y2834" s="131">
        <f>_xll.qlCalendarAdvance(Calendar,X2834,NDays&amp;"D")</f>
        <v>59134</v>
      </c>
      <c r="Z2834" s="132">
        <v>1.2694541478049695E-2</v>
      </c>
      <c r="AA2834" s="129">
        <v>1.2679510992992249E-2</v>
      </c>
    </row>
    <row r="2835" spans="19:27" x14ac:dyDescent="0.2">
      <c r="S2835" s="1"/>
      <c r="T2835" s="109"/>
      <c r="W2835" s="130" t="str">
        <f t="shared" si="53"/>
        <v>1w</v>
      </c>
      <c r="X2835" s="128">
        <f>_xll.qlCalendarAdvance(Calendar,X2834,W2835,"f",FALSE)</f>
        <v>59139</v>
      </c>
      <c r="Y2835" s="131">
        <f>_xll.qlCalendarAdvance(Calendar,X2835,NDays&amp;"D")</f>
        <v>59141</v>
      </c>
      <c r="Z2835" s="132">
        <v>1.2693453973739999E-2</v>
      </c>
      <c r="AA2835" s="129">
        <v>1.2678575058702179E-2</v>
      </c>
    </row>
    <row r="2836" spans="19:27" x14ac:dyDescent="0.2">
      <c r="S2836" s="1"/>
      <c r="T2836" s="109"/>
      <c r="W2836" s="130" t="str">
        <f t="shared" si="53"/>
        <v>1w</v>
      </c>
      <c r="X2836" s="128">
        <f>_xll.qlCalendarAdvance(Calendar,X2835,W2836,"f",FALSE)</f>
        <v>59146</v>
      </c>
      <c r="Y2836" s="131">
        <f>_xll.qlCalendarAdvance(Calendar,X2836,NDays&amp;"D")</f>
        <v>59148</v>
      </c>
      <c r="Z2836" s="132">
        <v>1.2692747658961778E-2</v>
      </c>
      <c r="AA2836" s="129">
        <v>1.2677670635126148E-2</v>
      </c>
    </row>
    <row r="2837" spans="19:27" x14ac:dyDescent="0.2">
      <c r="S2837" s="1"/>
      <c r="T2837" s="109"/>
      <c r="W2837" s="130" t="str">
        <f t="shared" ref="W2837:W2900" si="54">W2836</f>
        <v>1w</v>
      </c>
      <c r="X2837" s="128">
        <f>_xll.qlCalendarAdvance(Calendar,X2836,W2837,"f",FALSE)</f>
        <v>59153</v>
      </c>
      <c r="Y2837" s="131">
        <f>_xll.qlCalendarAdvance(Calendar,X2837,NDays&amp;"D")</f>
        <v>59155</v>
      </c>
      <c r="Z2837" s="132">
        <v>1.2692072953906397E-2</v>
      </c>
      <c r="AA2837" s="129">
        <v>1.2676797722344091E-2</v>
      </c>
    </row>
    <row r="2838" spans="19:27" x14ac:dyDescent="0.2">
      <c r="S2838" s="1"/>
      <c r="T2838" s="109"/>
      <c r="W2838" s="130" t="str">
        <f t="shared" si="54"/>
        <v>1w</v>
      </c>
      <c r="X2838" s="128">
        <f>_xll.qlCalendarAdvance(Calendar,X2837,W2838,"f",FALSE)</f>
        <v>59160</v>
      </c>
      <c r="Y2838" s="131">
        <f>_xll.qlCalendarAdvance(Calendar,X2838,NDays&amp;"D")</f>
        <v>59162</v>
      </c>
      <c r="Z2838" s="132">
        <v>1.2691429858557868E-2</v>
      </c>
      <c r="AA2838" s="129">
        <v>1.2675956320276072E-2</v>
      </c>
    </row>
    <row r="2839" spans="19:27" x14ac:dyDescent="0.2">
      <c r="S2839" s="1"/>
      <c r="T2839" s="109"/>
      <c r="W2839" s="130" t="str">
        <f t="shared" si="54"/>
        <v>1w</v>
      </c>
      <c r="X2839" s="128">
        <f>_xll.qlCalendarAdvance(Calendar,X2838,W2839,"f",FALSE)</f>
        <v>59167</v>
      </c>
      <c r="Y2839" s="131">
        <f>_xll.qlCalendarAdvance(Calendar,X2839,NDays&amp;"D")</f>
        <v>59169</v>
      </c>
      <c r="Z2839" s="132">
        <v>1.2690818372899315E-2</v>
      </c>
      <c r="AA2839" s="129">
        <v>1.2675146428922091E-2</v>
      </c>
    </row>
    <row r="2840" spans="19:27" x14ac:dyDescent="0.2">
      <c r="S2840" s="1"/>
      <c r="T2840" s="109"/>
      <c r="W2840" s="130" t="str">
        <f t="shared" si="54"/>
        <v>1w</v>
      </c>
      <c r="X2840" s="128">
        <f>_xll.qlCalendarAdvance(Calendar,X2839,W2840,"f",FALSE)</f>
        <v>59174</v>
      </c>
      <c r="Y2840" s="131">
        <f>_xll.qlCalendarAdvance(Calendar,X2840,NDays&amp;"D")</f>
        <v>59176</v>
      </c>
      <c r="Z2840" s="132">
        <v>1.2690238496919193E-2</v>
      </c>
      <c r="AA2840" s="129">
        <v>1.2674368048362084E-2</v>
      </c>
    </row>
    <row r="2841" spans="19:27" x14ac:dyDescent="0.2">
      <c r="S2841" s="1"/>
      <c r="T2841" s="109"/>
      <c r="W2841" s="130" t="str">
        <f t="shared" si="54"/>
        <v>1w</v>
      </c>
      <c r="X2841" s="128">
        <f>_xll.qlCalendarAdvance(Calendar,X2840,W2841,"f",FALSE)</f>
        <v>59181</v>
      </c>
      <c r="Y2841" s="131">
        <f>_xll.qlCalendarAdvance(Calendar,X2841,NDays&amp;"D")</f>
        <v>59183</v>
      </c>
      <c r="Z2841" s="132">
        <v>1.268969023060329E-2</v>
      </c>
      <c r="AA2841" s="129">
        <v>1.2673621178436179E-2</v>
      </c>
    </row>
    <row r="2842" spans="19:27" x14ac:dyDescent="0.2">
      <c r="S2842" s="1"/>
      <c r="T2842" s="109"/>
      <c r="W2842" s="130" t="str">
        <f t="shared" si="54"/>
        <v>1w</v>
      </c>
      <c r="X2842" s="128">
        <f>_xll.qlCalendarAdvance(Calendar,X2841,W2842,"f",FALSE)</f>
        <v>59188</v>
      </c>
      <c r="Y2842" s="131">
        <f>_xll.qlCalendarAdvance(Calendar,X2842,NDays&amp;"D")</f>
        <v>59190</v>
      </c>
      <c r="Z2842" s="132">
        <v>1.2689173573936507E-2</v>
      </c>
      <c r="AA2842" s="129">
        <v>1.2672905819224312E-2</v>
      </c>
    </row>
    <row r="2843" spans="19:27" x14ac:dyDescent="0.2">
      <c r="S2843" s="1"/>
      <c r="T2843" s="109"/>
      <c r="W2843" s="130" t="str">
        <f t="shared" si="54"/>
        <v>1w</v>
      </c>
      <c r="X2843" s="128">
        <f>_xll.qlCalendarAdvance(Calendar,X2842,W2843,"f",FALSE)</f>
        <v>59195</v>
      </c>
      <c r="Y2843" s="131">
        <f>_xll.qlCalendarAdvance(Calendar,X2843,NDays&amp;"D")</f>
        <v>59197</v>
      </c>
      <c r="Z2843" s="132">
        <v>1.2688688526908187E-2</v>
      </c>
      <c r="AA2843" s="129">
        <v>1.2672221970886355E-2</v>
      </c>
    </row>
    <row r="2844" spans="19:27" x14ac:dyDescent="0.2">
      <c r="S2844" s="1"/>
      <c r="T2844" s="109"/>
      <c r="W2844" s="130" t="str">
        <f t="shared" si="54"/>
        <v>1w</v>
      </c>
      <c r="X2844" s="128">
        <f>_xll.qlCalendarAdvance(Calendar,X2843,W2844,"f",FALSE)</f>
        <v>59202</v>
      </c>
      <c r="Y2844" s="131">
        <f>_xll.qlCalendarAdvance(Calendar,X2844,NDays&amp;"D")</f>
        <v>59204</v>
      </c>
      <c r="Z2844" s="132">
        <v>1.268803825698739E-2</v>
      </c>
      <c r="AA2844" s="129">
        <v>1.2671569633102564E-2</v>
      </c>
    </row>
    <row r="2845" spans="19:27" x14ac:dyDescent="0.2">
      <c r="S2845" s="1"/>
      <c r="T2845" s="109"/>
      <c r="W2845" s="130" t="str">
        <f t="shared" si="54"/>
        <v>1w</v>
      </c>
      <c r="X2845" s="128">
        <f>_xll.qlCalendarAdvance(Calendar,X2844,W2845,"f",FALSE)</f>
        <v>59209</v>
      </c>
      <c r="Y2845" s="131">
        <f>_xll.qlCalendarAdvance(Calendar,X2845,NDays&amp;"D")</f>
        <v>59211</v>
      </c>
      <c r="Z2845" s="132">
        <v>1.2687614186296018E-2</v>
      </c>
      <c r="AA2845" s="129">
        <v>1.2670948806192683E-2</v>
      </c>
    </row>
    <row r="2846" spans="19:27" x14ac:dyDescent="0.2">
      <c r="S2846" s="1"/>
      <c r="T2846" s="109"/>
      <c r="W2846" s="130" t="str">
        <f t="shared" si="54"/>
        <v>1w</v>
      </c>
      <c r="X2846" s="128">
        <f>_xll.qlCalendarAdvance(Calendar,X2845,W2846,"f",FALSE)</f>
        <v>59216</v>
      </c>
      <c r="Y2846" s="131">
        <f>_xll.qlCalendarAdvance(Calendar,X2846,NDays&amp;"D")</f>
        <v>59218</v>
      </c>
      <c r="Z2846" s="132">
        <v>1.2687221724098446E-2</v>
      </c>
      <c r="AA2846" s="129">
        <v>1.2670359489996841E-2</v>
      </c>
    </row>
    <row r="2847" spans="19:27" x14ac:dyDescent="0.2">
      <c r="S2847" s="1"/>
      <c r="T2847" s="109"/>
      <c r="W2847" s="130" t="str">
        <f t="shared" si="54"/>
        <v>1w</v>
      </c>
      <c r="X2847" s="128">
        <f>_xll.qlCalendarAdvance(Calendar,X2846,W2847,"f",FALSE)</f>
        <v>59223</v>
      </c>
      <c r="Y2847" s="131">
        <f>_xll.qlCalendarAdvance(Calendar,X2847,NDays&amp;"D")</f>
        <v>59225</v>
      </c>
      <c r="Z2847" s="132">
        <v>1.2686860870384795E-2</v>
      </c>
      <c r="AA2847" s="129">
        <v>1.26698016844351E-2</v>
      </c>
    </row>
    <row r="2848" spans="19:27" x14ac:dyDescent="0.2">
      <c r="S2848" s="1"/>
      <c r="T2848" s="109"/>
      <c r="W2848" s="130" t="str">
        <f t="shared" si="54"/>
        <v>1w</v>
      </c>
      <c r="X2848" s="128">
        <f>_xll.qlCalendarAdvance(Calendar,X2847,W2848,"f",FALSE)</f>
        <v>59230</v>
      </c>
      <c r="Y2848" s="131">
        <f>_xll.qlCalendarAdvance(Calendar,X2848,NDays&amp;"D")</f>
        <v>59232</v>
      </c>
      <c r="Z2848" s="132">
        <v>1.268714971475607E-2</v>
      </c>
      <c r="AA2848" s="129">
        <v>1.2669275389667334E-2</v>
      </c>
    </row>
    <row r="2849" spans="19:27" x14ac:dyDescent="0.2">
      <c r="S2849" s="1"/>
      <c r="T2849" s="109"/>
      <c r="W2849" s="130" t="str">
        <f t="shared" si="54"/>
        <v>1w</v>
      </c>
      <c r="X2849" s="128">
        <f>_xll.qlCalendarAdvance(Calendar,X2848,W2849,"f",FALSE)</f>
        <v>59237</v>
      </c>
      <c r="Y2849" s="131">
        <f>_xll.qlCalendarAdvance(Calendar,X2849,NDays&amp;"D")</f>
        <v>59239</v>
      </c>
      <c r="Z2849" s="132">
        <v>1.2686858820525629E-2</v>
      </c>
      <c r="AA2849" s="129">
        <v>1.2668780605613605E-2</v>
      </c>
    </row>
    <row r="2850" spans="19:27" x14ac:dyDescent="0.2">
      <c r="S2850" s="1"/>
      <c r="T2850" s="109"/>
      <c r="W2850" s="130" t="str">
        <f t="shared" si="54"/>
        <v>1w</v>
      </c>
      <c r="X2850" s="128">
        <f>_xll.qlCalendarAdvance(Calendar,X2849,W2850,"f",FALSE)</f>
        <v>59244</v>
      </c>
      <c r="Y2850" s="131">
        <f>_xll.qlCalendarAdvance(Calendar,X2850,NDays&amp;"D")</f>
        <v>59246</v>
      </c>
      <c r="Z2850" s="132">
        <v>1.2686599538091843E-2</v>
      </c>
      <c r="AA2850" s="129">
        <v>1.2668317332273915E-2</v>
      </c>
    </row>
    <row r="2851" spans="19:27" x14ac:dyDescent="0.2">
      <c r="S2851" s="1"/>
      <c r="T2851" s="109"/>
      <c r="W2851" s="130" t="str">
        <f t="shared" si="54"/>
        <v>1w</v>
      </c>
      <c r="X2851" s="128">
        <f>_xll.qlCalendarAdvance(Calendar,X2850,W2851,"f",FALSE)</f>
        <v>59251</v>
      </c>
      <c r="Y2851" s="131">
        <f>_xll.qlCalendarAdvance(Calendar,X2851,NDays&amp;"D")</f>
        <v>59253</v>
      </c>
      <c r="Z2851" s="132">
        <v>1.2686371867450374E-2</v>
      </c>
      <c r="AA2851" s="129">
        <v>1.2668660184164793E-2</v>
      </c>
    </row>
    <row r="2852" spans="19:27" x14ac:dyDescent="0.2">
      <c r="S2852" s="1"/>
      <c r="T2852" s="109"/>
      <c r="W2852" s="130" t="str">
        <f t="shared" si="54"/>
        <v>1w</v>
      </c>
      <c r="X2852" s="128">
        <f>_xll.qlCalendarAdvance(Calendar,X2851,W2852,"f",FALSE)</f>
        <v>59258</v>
      </c>
      <c r="Y2852" s="131">
        <f>_xll.qlCalendarAdvance(Calendar,X2852,NDays&amp;"D")</f>
        <v>59260</v>
      </c>
      <c r="Z2852" s="132">
        <v>1.2686175808595136E-2</v>
      </c>
      <c r="AA2852" s="129">
        <v>1.2667485317736649E-2</v>
      </c>
    </row>
    <row r="2853" spans="19:27" x14ac:dyDescent="0.2">
      <c r="S2853" s="1"/>
      <c r="T2853" s="109"/>
      <c r="W2853" s="130" t="str">
        <f t="shared" si="54"/>
        <v>1w</v>
      </c>
      <c r="X2853" s="128">
        <f>_xll.qlCalendarAdvance(Calendar,X2852,W2853,"f",FALSE)</f>
        <v>59265</v>
      </c>
      <c r="Y2853" s="131">
        <f>_xll.qlCalendarAdvance(Calendar,X2853,NDays&amp;"D")</f>
        <v>59267</v>
      </c>
      <c r="Z2853" s="132">
        <v>1.2685793863113559E-2</v>
      </c>
      <c r="AA2853" s="129">
        <v>1.2667116576619009E-2</v>
      </c>
    </row>
    <row r="2854" spans="19:27" x14ac:dyDescent="0.2">
      <c r="S2854" s="1"/>
      <c r="T2854" s="109"/>
      <c r="W2854" s="130" t="str">
        <f t="shared" si="54"/>
        <v>1w</v>
      </c>
      <c r="X2854" s="128">
        <f>_xll.qlCalendarAdvance(Calendar,X2853,W2854,"f",FALSE)</f>
        <v>59272</v>
      </c>
      <c r="Y2854" s="131">
        <f>_xll.qlCalendarAdvance(Calendar,X2854,NDays&amp;"D")</f>
        <v>59274</v>
      </c>
      <c r="Z2854" s="132">
        <v>1.2685658774585063E-2</v>
      </c>
      <c r="AA2854" s="129">
        <v>1.2666779346215407E-2</v>
      </c>
    </row>
    <row r="2855" spans="19:27" x14ac:dyDescent="0.2">
      <c r="S2855" s="1"/>
      <c r="T2855" s="109"/>
      <c r="W2855" s="130" t="str">
        <f t="shared" si="54"/>
        <v>1w</v>
      </c>
      <c r="X2855" s="128">
        <f>_xll.qlCalendarAdvance(Calendar,X2854,W2855,"f",FALSE)</f>
        <v>59279</v>
      </c>
      <c r="Y2855" s="131">
        <f>_xll.qlCalendarAdvance(Calendar,X2855,NDays&amp;"D")</f>
        <v>59281</v>
      </c>
      <c r="Z2855" s="132">
        <v>1.2685555296718788E-2</v>
      </c>
      <c r="AA2855" s="129">
        <v>1.2666473626525843E-2</v>
      </c>
    </row>
    <row r="2856" spans="19:27" x14ac:dyDescent="0.2">
      <c r="S2856" s="1"/>
      <c r="T2856" s="109"/>
      <c r="W2856" s="130" t="str">
        <f t="shared" si="54"/>
        <v>1w</v>
      </c>
      <c r="X2856" s="128">
        <f>_xll.qlCalendarAdvance(Calendar,X2855,W2856,"f",FALSE)</f>
        <v>59286</v>
      </c>
      <c r="Y2856" s="131">
        <f>_xll.qlCalendarAdvance(Calendar,X2856,NDays&amp;"D")</f>
        <v>59288</v>
      </c>
      <c r="Z2856" s="132">
        <v>1.2685483429511217E-2</v>
      </c>
      <c r="AA2856" s="129">
        <v>1.2666199417550317E-2</v>
      </c>
    </row>
    <row r="2857" spans="19:27" x14ac:dyDescent="0.2">
      <c r="S2857" s="1"/>
      <c r="T2857" s="109"/>
      <c r="W2857" s="130" t="str">
        <f t="shared" si="54"/>
        <v>1w</v>
      </c>
      <c r="X2857" s="128">
        <f>_xll.qlCalendarAdvance(Calendar,X2856,W2857,"f",FALSE)</f>
        <v>59293</v>
      </c>
      <c r="Y2857" s="131">
        <f>_xll.qlCalendarAdvance(Calendar,X2857,NDays&amp;"D")</f>
        <v>59295</v>
      </c>
      <c r="Z2857" s="132">
        <v>1.2685669690964721E-2</v>
      </c>
      <c r="AA2857" s="129">
        <v>1.2665956719368765E-2</v>
      </c>
    </row>
    <row r="2858" spans="19:27" x14ac:dyDescent="0.2">
      <c r="S2858" s="1"/>
      <c r="T2858" s="109"/>
      <c r="W2858" s="130" t="str">
        <f t="shared" si="54"/>
        <v>1w</v>
      </c>
      <c r="X2858" s="128">
        <f>_xll.qlCalendarAdvance(Calendar,X2857,W2858,"f",FALSE)</f>
        <v>59300</v>
      </c>
      <c r="Y2858" s="131">
        <f>_xll.qlCalendarAdvance(Calendar,X2858,NDays&amp;"D")</f>
        <v>59302</v>
      </c>
      <c r="Z2858" s="132">
        <v>1.2685663302751286E-2</v>
      </c>
      <c r="AA2858" s="129">
        <v>1.2665745531741379E-2</v>
      </c>
    </row>
    <row r="2859" spans="19:27" x14ac:dyDescent="0.2">
      <c r="S2859" s="1"/>
      <c r="T2859" s="109"/>
      <c r="W2859" s="130" t="str">
        <f t="shared" si="54"/>
        <v>1w</v>
      </c>
      <c r="X2859" s="128">
        <f>_xll.qlCalendarAdvance(Calendar,X2858,W2859,"f",FALSE)</f>
        <v>59307</v>
      </c>
      <c r="Y2859" s="131">
        <f>_xll.qlCalendarAdvance(Calendar,X2859,NDays&amp;"D")</f>
        <v>59309</v>
      </c>
      <c r="Z2859" s="132">
        <v>1.2685688526306704E-2</v>
      </c>
      <c r="AA2859" s="129">
        <v>1.2665565854987904E-2</v>
      </c>
    </row>
    <row r="2860" spans="19:27" x14ac:dyDescent="0.2">
      <c r="S2860" s="1"/>
      <c r="T2860" s="109"/>
      <c r="W2860" s="130" t="str">
        <f t="shared" si="54"/>
        <v>1w</v>
      </c>
      <c r="X2860" s="128">
        <f>_xll.qlCalendarAdvance(Calendar,X2859,W2860,"f",FALSE)</f>
        <v>59314</v>
      </c>
      <c r="Y2860" s="131">
        <f>_xll.qlCalendarAdvance(Calendar,X2860,NDays&amp;"D")</f>
        <v>59316</v>
      </c>
      <c r="Z2860" s="132">
        <v>1.2685745361630977E-2</v>
      </c>
      <c r="AA2860" s="129">
        <v>1.2665417688948466E-2</v>
      </c>
    </row>
    <row r="2861" spans="19:27" x14ac:dyDescent="0.2">
      <c r="S2861" s="1"/>
      <c r="T2861" s="109"/>
      <c r="W2861" s="130" t="str">
        <f t="shared" si="54"/>
        <v>1w</v>
      </c>
      <c r="X2861" s="128">
        <f>_xll.qlCalendarAdvance(Calendar,X2860,W2861,"f",FALSE)</f>
        <v>59321</v>
      </c>
      <c r="Y2861" s="131">
        <f>_xll.qlCalendarAdvance(Calendar,X2861,NDays&amp;"D")</f>
        <v>59323</v>
      </c>
      <c r="Z2861" s="132">
        <v>1.2685833808726711E-2</v>
      </c>
      <c r="AA2861" s="129">
        <v>1.2665301033623066E-2</v>
      </c>
    </row>
    <row r="2862" spans="19:27" x14ac:dyDescent="0.2">
      <c r="S2862" s="1"/>
      <c r="T2862" s="109"/>
      <c r="W2862" s="130" t="str">
        <f t="shared" si="54"/>
        <v>1w</v>
      </c>
      <c r="X2862" s="128">
        <f>_xll.qlCalendarAdvance(Calendar,X2861,W2862,"f",FALSE)</f>
        <v>59328</v>
      </c>
      <c r="Y2862" s="131">
        <f>_xll.qlCalendarAdvance(Calendar,X2862,NDays&amp;"D")</f>
        <v>59330</v>
      </c>
      <c r="Z2862" s="132">
        <v>1.2685953867593906E-2</v>
      </c>
      <c r="AA2862" s="129">
        <v>1.2665215889011705E-2</v>
      </c>
    </row>
    <row r="2863" spans="19:27" x14ac:dyDescent="0.2">
      <c r="S2863" s="1"/>
      <c r="T2863" s="109"/>
      <c r="W2863" s="130" t="str">
        <f t="shared" si="54"/>
        <v>1w</v>
      </c>
      <c r="X2863" s="128">
        <f>_xll.qlCalendarAdvance(Calendar,X2862,W2863,"f",FALSE)</f>
        <v>59335</v>
      </c>
      <c r="Y2863" s="131">
        <f>_xll.qlCalendarAdvance(Calendar,X2863,NDays&amp;"D")</f>
        <v>59337</v>
      </c>
      <c r="Z2863" s="132">
        <v>1.2686105538237777E-2</v>
      </c>
      <c r="AA2863" s="129">
        <v>1.2665162255114382E-2</v>
      </c>
    </row>
    <row r="2864" spans="19:27" x14ac:dyDescent="0.2">
      <c r="S2864" s="1"/>
      <c r="T2864" s="109"/>
      <c r="W2864" s="130" t="str">
        <f t="shared" si="54"/>
        <v>1w</v>
      </c>
      <c r="X2864" s="128">
        <f>_xll.qlCalendarAdvance(Calendar,X2863,W2864,"f",FALSE)</f>
        <v>59342</v>
      </c>
      <c r="Y2864" s="131">
        <f>_xll.qlCalendarAdvance(Calendar,X2864,NDays&amp;"D")</f>
        <v>59344</v>
      </c>
      <c r="Z2864" s="132">
        <v>1.2686288820660929E-2</v>
      </c>
      <c r="AA2864" s="129">
        <v>1.2665140131931096E-2</v>
      </c>
    </row>
    <row r="2865" spans="19:27" x14ac:dyDescent="0.2">
      <c r="S2865" s="1"/>
      <c r="T2865" s="109"/>
      <c r="W2865" s="130" t="str">
        <f t="shared" si="54"/>
        <v>1w</v>
      </c>
      <c r="X2865" s="128">
        <f>_xll.qlCalendarAdvance(Calendar,X2864,W2865,"f",FALSE)</f>
        <v>59349</v>
      </c>
      <c r="Y2865" s="131">
        <f>_xll.qlCalendarAdvance(Calendar,X2865,NDays&amp;"D")</f>
        <v>59351</v>
      </c>
      <c r="Z2865" s="132">
        <v>1.2686503714867705E-2</v>
      </c>
      <c r="AA2865" s="129">
        <v>1.2665149519541785E-2</v>
      </c>
    </row>
    <row r="2866" spans="19:27" x14ac:dyDescent="0.2">
      <c r="S2866" s="1"/>
      <c r="T2866" s="109"/>
      <c r="W2866" s="130" t="str">
        <f t="shared" si="54"/>
        <v>1w</v>
      </c>
      <c r="X2866" s="128">
        <f>_xll.qlCalendarAdvance(Calendar,X2865,W2866,"f",FALSE)</f>
        <v>59356</v>
      </c>
      <c r="Y2866" s="131">
        <f>_xll.qlCalendarAdvance(Calendar,X2866,NDays&amp;"D")</f>
        <v>59358</v>
      </c>
      <c r="Z2866" s="132">
        <v>1.268675022086419E-2</v>
      </c>
      <c r="AA2866" s="129">
        <v>1.2665190417866512E-2</v>
      </c>
    </row>
    <row r="2867" spans="19:27" x14ac:dyDescent="0.2">
      <c r="S2867" s="1"/>
      <c r="T2867" s="109"/>
      <c r="W2867" s="130" t="str">
        <f t="shared" si="54"/>
        <v>1w</v>
      </c>
      <c r="X2867" s="128">
        <f>_xll.qlCalendarAdvance(Calendar,X2866,W2867,"f",FALSE)</f>
        <v>59363</v>
      </c>
      <c r="Y2867" s="131">
        <f>_xll.qlCalendarAdvance(Calendar,X2867,NDays&amp;"D")</f>
        <v>59365</v>
      </c>
      <c r="Z2867" s="132">
        <v>1.2687028338653858E-2</v>
      </c>
      <c r="AA2867" s="129">
        <v>1.2665262826825341E-2</v>
      </c>
    </row>
    <row r="2868" spans="19:27" x14ac:dyDescent="0.2">
      <c r="S2868" s="1"/>
      <c r="T2868" s="109"/>
      <c r="W2868" s="130" t="str">
        <f t="shared" si="54"/>
        <v>1w</v>
      </c>
      <c r="X2868" s="128">
        <f>_xll.qlCalendarAdvance(Calendar,X2867,W2868,"f",FALSE)</f>
        <v>59370</v>
      </c>
      <c r="Y2868" s="131">
        <f>_xll.qlCalendarAdvance(Calendar,X2868,NDays&amp;"D")</f>
        <v>59372</v>
      </c>
      <c r="Z2868" s="132">
        <v>1.2687338068247137E-2</v>
      </c>
      <c r="AA2868" s="129">
        <v>1.266536674665808E-2</v>
      </c>
    </row>
    <row r="2869" spans="19:27" x14ac:dyDescent="0.2">
      <c r="S2869" s="1"/>
      <c r="T2869" s="109"/>
      <c r="W2869" s="130" t="str">
        <f t="shared" si="54"/>
        <v>1w</v>
      </c>
      <c r="X2869" s="128">
        <f>_xll.qlCalendarAdvance(Calendar,X2868,W2869,"f",FALSE)</f>
        <v>59377</v>
      </c>
      <c r="Y2869" s="131">
        <f>_xll.qlCalendarAdvance(Calendar,X2869,NDays&amp;"D")</f>
        <v>59379</v>
      </c>
      <c r="Z2869" s="132">
        <v>1.2687679409648368E-2</v>
      </c>
      <c r="AA2869" s="129">
        <v>1.2665502177044985E-2</v>
      </c>
    </row>
    <row r="2870" spans="19:27" x14ac:dyDescent="0.2">
      <c r="S2870" s="1"/>
      <c r="T2870" s="109"/>
      <c r="W2870" s="130" t="str">
        <f t="shared" si="54"/>
        <v>1w</v>
      </c>
      <c r="X2870" s="128">
        <f>_xll.qlCalendarAdvance(Calendar,X2869,W2870,"f",FALSE)</f>
        <v>59384</v>
      </c>
      <c r="Y2870" s="131">
        <f>_xll.qlCalendarAdvance(Calendar,X2870,NDays&amp;"D")</f>
        <v>59386</v>
      </c>
      <c r="Z2870" s="132">
        <v>1.268805236286711E-2</v>
      </c>
      <c r="AA2870" s="129">
        <v>1.2665669118225864E-2</v>
      </c>
    </row>
    <row r="2871" spans="19:27" x14ac:dyDescent="0.2">
      <c r="S2871" s="1"/>
      <c r="T2871" s="109"/>
      <c r="W2871" s="130" t="str">
        <f t="shared" si="54"/>
        <v>1w</v>
      </c>
      <c r="X2871" s="128">
        <f>_xll.qlCalendarAdvance(Calendar,X2870,W2871,"f",FALSE)</f>
        <v>59391</v>
      </c>
      <c r="Y2871" s="131">
        <f>_xll.qlCalendarAdvance(Calendar,X2871,NDays&amp;"D")</f>
        <v>59393</v>
      </c>
      <c r="Z2871" s="132">
        <v>1.2688456927912053E-2</v>
      </c>
      <c r="AA2871" s="129">
        <v>1.2665867570200717E-2</v>
      </c>
    </row>
    <row r="2872" spans="19:27" x14ac:dyDescent="0.2">
      <c r="S2872" s="1"/>
      <c r="T2872" s="109"/>
      <c r="W2872" s="130" t="str">
        <f t="shared" si="54"/>
        <v>1w</v>
      </c>
      <c r="X2872" s="128">
        <f>_xll.qlCalendarAdvance(Calendar,X2871,W2872,"f",FALSE)</f>
        <v>59398</v>
      </c>
      <c r="Y2872" s="131">
        <f>_xll.qlCalendarAdvance(Calendar,X2872,NDays&amp;"D")</f>
        <v>59400</v>
      </c>
      <c r="Z2872" s="132">
        <v>1.268889310479449E-2</v>
      </c>
      <c r="AA2872" s="129">
        <v>1.2666097532809673E-2</v>
      </c>
    </row>
    <row r="2873" spans="19:27" x14ac:dyDescent="0.2">
      <c r="S2873" s="1"/>
      <c r="T2873" s="109"/>
      <c r="W2873" s="130" t="str">
        <f t="shared" si="54"/>
        <v>1w</v>
      </c>
      <c r="X2873" s="128">
        <f>_xll.qlCalendarAdvance(Calendar,X2872,W2873,"f",FALSE)</f>
        <v>59405</v>
      </c>
      <c r="Y2873" s="131">
        <f>_xll.qlCalendarAdvance(Calendar,X2873,NDays&amp;"D")</f>
        <v>59407</v>
      </c>
      <c r="Z2873" s="132">
        <v>1.2689360893522244E-2</v>
      </c>
      <c r="AA2873" s="129">
        <v>1.2666359006212602E-2</v>
      </c>
    </row>
    <row r="2874" spans="19:27" x14ac:dyDescent="0.2">
      <c r="S2874" s="1"/>
      <c r="T2874" s="109"/>
      <c r="W2874" s="130" t="str">
        <f t="shared" si="54"/>
        <v>1w</v>
      </c>
      <c r="X2874" s="128">
        <f>_xll.qlCalendarAdvance(Calendar,X2873,W2874,"f",FALSE)</f>
        <v>59412</v>
      </c>
      <c r="Y2874" s="131">
        <f>_xll.qlCalendarAdvance(Calendar,X2874,NDays&amp;"D")</f>
        <v>59414</v>
      </c>
      <c r="Z2874" s="132">
        <v>1.2689595244241677E-2</v>
      </c>
      <c r="AA2874" s="129">
        <v>1.2666651990329569E-2</v>
      </c>
    </row>
    <row r="2875" spans="19:27" x14ac:dyDescent="0.2">
      <c r="S2875" s="1"/>
      <c r="T2875" s="109"/>
      <c r="W2875" s="130" t="str">
        <f t="shared" si="54"/>
        <v>1w</v>
      </c>
      <c r="X2875" s="128">
        <f>_xll.qlCalendarAdvance(Calendar,X2874,W2875,"f",FALSE)</f>
        <v>59419</v>
      </c>
      <c r="Y2875" s="131">
        <f>_xll.qlCalendarAdvance(Calendar,X2875,NDays&amp;"D")</f>
        <v>59421</v>
      </c>
      <c r="Z2875" s="132">
        <v>1.2690123980097653E-2</v>
      </c>
      <c r="AA2875" s="129">
        <v>1.2666976485160575E-2</v>
      </c>
    </row>
    <row r="2876" spans="19:27" x14ac:dyDescent="0.2">
      <c r="S2876" s="1"/>
      <c r="T2876" s="109"/>
      <c r="W2876" s="130" t="str">
        <f t="shared" si="54"/>
        <v>1w</v>
      </c>
      <c r="X2876" s="128">
        <f>_xll.qlCalendarAdvance(Calendar,X2875,W2876,"f",FALSE)</f>
        <v>59426</v>
      </c>
      <c r="Y2876" s="131">
        <f>_xll.qlCalendarAdvance(Calendar,X2876,NDays&amp;"D")</f>
        <v>59428</v>
      </c>
      <c r="Z2876" s="132">
        <v>1.2690684326723895E-2</v>
      </c>
      <c r="AA2876" s="129">
        <v>1.2667332490785554E-2</v>
      </c>
    </row>
    <row r="2877" spans="19:27" x14ac:dyDescent="0.2">
      <c r="S2877" s="1"/>
      <c r="T2877" s="109"/>
      <c r="W2877" s="130" t="str">
        <f t="shared" si="54"/>
        <v>1w</v>
      </c>
      <c r="X2877" s="128">
        <f>_xll.qlCalendarAdvance(Calendar,X2876,W2877,"f",FALSE)</f>
        <v>59433</v>
      </c>
      <c r="Y2877" s="131">
        <f>_xll.qlCalendarAdvance(Calendar,X2877,NDays&amp;"D")</f>
        <v>59435</v>
      </c>
      <c r="Z2877" s="132">
        <v>1.2691276284130066E-2</v>
      </c>
      <c r="AA2877" s="129">
        <v>1.2667720007044636E-2</v>
      </c>
    </row>
    <row r="2878" spans="19:27" x14ac:dyDescent="0.2">
      <c r="S2878" s="1"/>
      <c r="T2878" s="109"/>
      <c r="W2878" s="130" t="str">
        <f t="shared" si="54"/>
        <v>1w</v>
      </c>
      <c r="X2878" s="128">
        <f>_xll.qlCalendarAdvance(Calendar,X2877,W2878,"f",FALSE)</f>
        <v>59440</v>
      </c>
      <c r="Y2878" s="131">
        <f>_xll.qlCalendarAdvance(Calendar,X2878,NDays&amp;"D")</f>
        <v>59442</v>
      </c>
      <c r="Z2878" s="132">
        <v>1.2691899852331975E-2</v>
      </c>
      <c r="AA2878" s="129">
        <v>1.2668139034017756E-2</v>
      </c>
    </row>
    <row r="2879" spans="19:27" x14ac:dyDescent="0.2">
      <c r="S2879" s="1"/>
      <c r="T2879" s="109"/>
      <c r="W2879" s="130" t="str">
        <f t="shared" si="54"/>
        <v>1w</v>
      </c>
      <c r="X2879" s="128">
        <f>_xll.qlCalendarAdvance(Calendar,X2878,W2879,"f",FALSE)</f>
        <v>59447</v>
      </c>
      <c r="Y2879" s="131">
        <f>_xll.qlCalendarAdvance(Calendar,X2879,NDays&amp;"D")</f>
        <v>59449</v>
      </c>
      <c r="Z2879" s="132">
        <v>1.2692831475358945E-2</v>
      </c>
      <c r="AA2879" s="129">
        <v>1.266858957178485E-2</v>
      </c>
    </row>
    <row r="2880" spans="19:27" x14ac:dyDescent="0.2">
      <c r="S2880" s="1"/>
      <c r="T2880" s="109"/>
      <c r="W2880" s="130" t="str">
        <f t="shared" si="54"/>
        <v>1w</v>
      </c>
      <c r="X2880" s="128">
        <f>_xll.qlCalendarAdvance(Calendar,X2879,W2880,"f",FALSE)</f>
        <v>59454</v>
      </c>
      <c r="Y2880" s="131">
        <f>_xll.qlCalendarAdvance(Calendar,X2880,NDays&amp;"D")</f>
        <v>59456</v>
      </c>
      <c r="Z2880" s="132">
        <v>1.2693520547373176E-2</v>
      </c>
      <c r="AA2880" s="129">
        <v>1.2669071620186045E-2</v>
      </c>
    </row>
    <row r="2881" spans="19:27" x14ac:dyDescent="0.2">
      <c r="S2881" s="1"/>
      <c r="T2881" s="109"/>
      <c r="W2881" s="130" t="str">
        <f t="shared" si="54"/>
        <v>1w</v>
      </c>
      <c r="X2881" s="128">
        <f>_xll.qlCalendarAdvance(Calendar,X2880,W2881,"f",FALSE)</f>
        <v>59461</v>
      </c>
      <c r="Y2881" s="131">
        <f>_xll.qlCalendarAdvance(Calendar,X2881,NDays&amp;"D")</f>
        <v>59463</v>
      </c>
      <c r="Z2881" s="132">
        <v>1.2694241231345675E-2</v>
      </c>
      <c r="AA2881" s="129">
        <v>1.2669585179381215E-2</v>
      </c>
    </row>
    <row r="2882" spans="19:27" x14ac:dyDescent="0.2">
      <c r="S2882" s="1"/>
      <c r="T2882" s="109"/>
      <c r="W2882" s="130" t="str">
        <f t="shared" si="54"/>
        <v>1w</v>
      </c>
      <c r="X2882" s="128">
        <f>_xll.qlCalendarAdvance(Calendar,X2881,W2882,"f",FALSE)</f>
        <v>59468</v>
      </c>
      <c r="Y2882" s="131">
        <f>_xll.qlCalendarAdvance(Calendar,X2882,NDays&amp;"D")</f>
        <v>59470</v>
      </c>
      <c r="Z2882" s="132">
        <v>1.2694993527295558E-2</v>
      </c>
      <c r="AA2882" s="129">
        <v>1.2670130249290423E-2</v>
      </c>
    </row>
    <row r="2883" spans="19:27" x14ac:dyDescent="0.2">
      <c r="S2883" s="1"/>
      <c r="T2883" s="109"/>
      <c r="W2883" s="130" t="str">
        <f t="shared" si="54"/>
        <v>1w</v>
      </c>
      <c r="X2883" s="128">
        <f>_xll.qlCalendarAdvance(Calendar,X2882,W2883,"f",FALSE)</f>
        <v>59475</v>
      </c>
      <c r="Y2883" s="131">
        <f>_xll.qlCalendarAdvance(Calendar,X2883,NDays&amp;"D")</f>
        <v>59477</v>
      </c>
      <c r="Z2883" s="132">
        <v>1.2695777435237596E-2</v>
      </c>
      <c r="AA2883" s="129">
        <v>1.2670706829993605E-2</v>
      </c>
    </row>
    <row r="2884" spans="19:27" x14ac:dyDescent="0.2">
      <c r="S2884" s="1"/>
      <c r="T2884" s="109"/>
      <c r="W2884" s="130" t="str">
        <f t="shared" si="54"/>
        <v>1w</v>
      </c>
      <c r="X2884" s="128">
        <f>_xll.qlCalendarAdvance(Calendar,X2883,W2884,"f",FALSE)</f>
        <v>59482</v>
      </c>
      <c r="Y2884" s="131">
        <f>_xll.qlCalendarAdvance(Calendar,X2884,NDays&amp;"D")</f>
        <v>59484</v>
      </c>
      <c r="Z2884" s="132">
        <v>1.2696592955194378E-2</v>
      </c>
      <c r="AA2884" s="129">
        <v>1.2671314921410826E-2</v>
      </c>
    </row>
    <row r="2885" spans="19:27" x14ac:dyDescent="0.2">
      <c r="S2885" s="1"/>
      <c r="T2885" s="109"/>
      <c r="W2885" s="130" t="str">
        <f t="shared" si="54"/>
        <v>1w</v>
      </c>
      <c r="X2885" s="128">
        <f>_xll.qlCalendarAdvance(Calendar,X2884,W2885,"f",FALSE)</f>
        <v>59489</v>
      </c>
      <c r="Y2885" s="131">
        <f>_xll.qlCalendarAdvance(Calendar,X2885,NDays&amp;"D")</f>
        <v>59491</v>
      </c>
      <c r="Z2885" s="132">
        <v>1.2697440087182413E-2</v>
      </c>
      <c r="AA2885" s="129">
        <v>1.2671954523462148E-2</v>
      </c>
    </row>
    <row r="2886" spans="19:27" x14ac:dyDescent="0.2">
      <c r="S2886" s="1"/>
      <c r="T2886" s="109"/>
      <c r="W2886" s="130" t="str">
        <f t="shared" si="54"/>
        <v>1w</v>
      </c>
      <c r="X2886" s="128">
        <f>_xll.qlCalendarAdvance(Calendar,X2885,W2886,"f",FALSE)</f>
        <v>59496</v>
      </c>
      <c r="Y2886" s="131">
        <f>_xll.qlCalendarAdvance(Calendar,X2886,NDays&amp;"D")</f>
        <v>59498</v>
      </c>
      <c r="Z2886" s="132">
        <v>1.2698318831224294E-2</v>
      </c>
      <c r="AA2886" s="129">
        <v>1.2672625636307444E-2</v>
      </c>
    </row>
    <row r="2887" spans="19:27" x14ac:dyDescent="0.2">
      <c r="S2887" s="1"/>
      <c r="T2887" s="109"/>
      <c r="W2887" s="130" t="str">
        <f t="shared" si="54"/>
        <v>1w</v>
      </c>
      <c r="X2887" s="128">
        <f>_xll.qlCalendarAdvance(Calendar,X2886,W2887,"f",FALSE)</f>
        <v>59503</v>
      </c>
      <c r="Y2887" s="131">
        <f>_xll.qlCalendarAdvance(Calendar,X2887,NDays&amp;"D")</f>
        <v>59505</v>
      </c>
      <c r="Z2887" s="132">
        <v>1.2698639947331003E-2</v>
      </c>
      <c r="AA2887" s="129">
        <v>1.2673328259866778E-2</v>
      </c>
    </row>
    <row r="2888" spans="19:27" x14ac:dyDescent="0.2">
      <c r="S2888" s="1"/>
      <c r="T2888" s="109"/>
      <c r="W2888" s="130" t="str">
        <f t="shared" si="54"/>
        <v>1w</v>
      </c>
      <c r="X2888" s="128">
        <f>_xll.qlCalendarAdvance(Calendar,X2887,W2888,"f",FALSE)</f>
        <v>59510</v>
      </c>
      <c r="Y2888" s="131">
        <f>_xll.qlCalendarAdvance(Calendar,X2888,NDays&amp;"D")</f>
        <v>59512</v>
      </c>
      <c r="Z2888" s="132">
        <v>1.2699577333496137E-2</v>
      </c>
      <c r="AA2888" s="129">
        <v>1.2674062394220087E-2</v>
      </c>
    </row>
    <row r="2889" spans="19:27" x14ac:dyDescent="0.2">
      <c r="S2889" s="1"/>
      <c r="T2889" s="109"/>
      <c r="W2889" s="130" t="str">
        <f t="shared" si="54"/>
        <v>1w</v>
      </c>
      <c r="X2889" s="128">
        <f>_xll.qlCalendarAdvance(Calendar,X2888,W2889,"f",FALSE)</f>
        <v>59517</v>
      </c>
      <c r="Y2889" s="131">
        <f>_xll.qlCalendarAdvance(Calendar,X2889,NDays&amp;"D")</f>
        <v>59519</v>
      </c>
      <c r="Z2889" s="132">
        <v>1.2700546329544871E-2</v>
      </c>
      <c r="AA2889" s="129">
        <v>1.2674828039207497E-2</v>
      </c>
    </row>
    <row r="2890" spans="19:27" x14ac:dyDescent="0.2">
      <c r="S2890" s="1"/>
      <c r="T2890" s="109"/>
      <c r="W2890" s="130" t="str">
        <f t="shared" si="54"/>
        <v>1w</v>
      </c>
      <c r="X2890" s="128">
        <f>_xll.qlCalendarAdvance(Calendar,X2889,W2890,"f",FALSE)</f>
        <v>59524</v>
      </c>
      <c r="Y2890" s="131">
        <f>_xll.qlCalendarAdvance(Calendar,X2890,NDays&amp;"D")</f>
        <v>59526</v>
      </c>
      <c r="Z2890" s="132">
        <v>1.2701546935499408E-2</v>
      </c>
      <c r="AA2890" s="129">
        <v>1.2675625194988882E-2</v>
      </c>
    </row>
    <row r="2891" spans="19:27" x14ac:dyDescent="0.2">
      <c r="S2891" s="1"/>
      <c r="T2891" s="109"/>
      <c r="W2891" s="130" t="str">
        <f t="shared" si="54"/>
        <v>1w</v>
      </c>
      <c r="X2891" s="128">
        <f>_xll.qlCalendarAdvance(Calendar,X2890,W2891,"f",FALSE)</f>
        <v>59532</v>
      </c>
      <c r="Y2891" s="131">
        <f>_xll.qlCalendarAdvance(Calendar,X2891,NDays&amp;"D")</f>
        <v>59534</v>
      </c>
      <c r="Z2891" s="132">
        <v>1.2703033196892087E-2</v>
      </c>
      <c r="AA2891" s="129">
        <v>1.267742745205247E-2</v>
      </c>
    </row>
    <row r="2892" spans="19:27" x14ac:dyDescent="0.2">
      <c r="S2892" s="1"/>
      <c r="T2892" s="109"/>
      <c r="W2892" s="130" t="str">
        <f t="shared" si="54"/>
        <v>1w</v>
      </c>
      <c r="X2892" s="128">
        <f>_xll.qlCalendarAdvance(Calendar,X2891,W2892,"f",FALSE)</f>
        <v>59539</v>
      </c>
      <c r="Y2892" s="131">
        <f>_xll.qlCalendarAdvance(Calendar,X2892,NDays&amp;"D")</f>
        <v>59541</v>
      </c>
      <c r="Z2892" s="132">
        <v>1.270379753275197E-2</v>
      </c>
      <c r="AA2892" s="129">
        <v>1.2678012257163473E-2</v>
      </c>
    </row>
    <row r="2893" spans="19:27" x14ac:dyDescent="0.2">
      <c r="S2893" s="1"/>
      <c r="T2893" s="109"/>
      <c r="W2893" s="130" t="str">
        <f t="shared" si="54"/>
        <v>1w</v>
      </c>
      <c r="X2893" s="128">
        <f>_xll.qlCalendarAdvance(Calendar,X2892,W2893,"f",FALSE)</f>
        <v>59546</v>
      </c>
      <c r="Y2893" s="131">
        <f>_xll.qlCalendarAdvance(Calendar,X2893,NDays&amp;"D")</f>
        <v>59548</v>
      </c>
      <c r="Z2893" s="132">
        <v>1.2704897484288047E-2</v>
      </c>
      <c r="AA2893" s="129">
        <v>1.2678913011621162E-2</v>
      </c>
    </row>
    <row r="2894" spans="19:27" x14ac:dyDescent="0.2">
      <c r="S2894" s="1"/>
      <c r="T2894" s="109"/>
      <c r="W2894" s="130" t="str">
        <f t="shared" si="54"/>
        <v>1w</v>
      </c>
      <c r="X2894" s="128">
        <f>_xll.qlCalendarAdvance(Calendar,X2893,W2894,"f",FALSE)</f>
        <v>59553</v>
      </c>
      <c r="Y2894" s="131">
        <f>_xll.qlCalendarAdvance(Calendar,X2894,NDays&amp;"D")</f>
        <v>59555</v>
      </c>
      <c r="Z2894" s="132">
        <v>1.2706029045832068E-2</v>
      </c>
      <c r="AA2894" s="129">
        <v>1.2679845279004454E-2</v>
      </c>
    </row>
    <row r="2895" spans="19:27" x14ac:dyDescent="0.2">
      <c r="S2895" s="1"/>
      <c r="T2895" s="109"/>
      <c r="W2895" s="130" t="str">
        <f t="shared" si="54"/>
        <v>1w</v>
      </c>
      <c r="X2895" s="128">
        <f>_xll.qlCalendarAdvance(Calendar,X2894,W2895,"f",FALSE)</f>
        <v>59560</v>
      </c>
      <c r="Y2895" s="131">
        <f>_xll.qlCalendarAdvance(Calendar,X2895,NDays&amp;"D")</f>
        <v>59562</v>
      </c>
      <c r="Z2895" s="132">
        <v>1.2707192217412455E-2</v>
      </c>
      <c r="AA2895" s="129">
        <v>1.2680809059339992E-2</v>
      </c>
    </row>
    <row r="2896" spans="19:27" x14ac:dyDescent="0.2">
      <c r="S2896" s="1"/>
      <c r="T2896" s="109"/>
      <c r="W2896" s="130" t="str">
        <f t="shared" si="54"/>
        <v>1w</v>
      </c>
      <c r="X2896" s="128">
        <f>_xll.qlCalendarAdvance(Calendar,X2895,W2896,"f",FALSE)</f>
        <v>59567</v>
      </c>
      <c r="Y2896" s="131">
        <f>_xll.qlCalendarAdvance(Calendar,X2896,NDays&amp;"D")</f>
        <v>59569</v>
      </c>
      <c r="Z2896" s="132">
        <v>1.2708071731034696E-2</v>
      </c>
      <c r="AA2896" s="129">
        <v>1.2681804352654424E-2</v>
      </c>
    </row>
    <row r="2897" spans="19:27" x14ac:dyDescent="0.2">
      <c r="S2897" s="1"/>
      <c r="T2897" s="109"/>
      <c r="W2897" s="130" t="str">
        <f t="shared" si="54"/>
        <v>1w</v>
      </c>
      <c r="X2897" s="128">
        <f>_xll.qlCalendarAdvance(Calendar,X2896,W2897,"f",FALSE)</f>
        <v>59574</v>
      </c>
      <c r="Y2897" s="131">
        <f>_xll.qlCalendarAdvance(Calendar,X2897,NDays&amp;"D")</f>
        <v>59576</v>
      </c>
      <c r="Z2897" s="132">
        <v>1.270929582175921E-2</v>
      </c>
      <c r="AA2897" s="129">
        <v>1.2682831158921104E-2</v>
      </c>
    </row>
    <row r="2898" spans="19:27" x14ac:dyDescent="0.2">
      <c r="S2898" s="1"/>
      <c r="T2898" s="109"/>
      <c r="W2898" s="130" t="str">
        <f t="shared" si="54"/>
        <v>1w</v>
      </c>
      <c r="X2898" s="128">
        <f>_xll.qlCalendarAdvance(Calendar,X2897,W2898,"f",FALSE)</f>
        <v>59581</v>
      </c>
      <c r="Y2898" s="131">
        <f>_xll.qlCalendarAdvance(Calendar,X2898,NDays&amp;"D")</f>
        <v>59583</v>
      </c>
      <c r="Z2898" s="132">
        <v>1.2710551521484982E-2</v>
      </c>
      <c r="AA2898" s="129">
        <v>1.2683889478166677E-2</v>
      </c>
    </row>
    <row r="2899" spans="19:27" x14ac:dyDescent="0.2">
      <c r="S2899" s="1"/>
      <c r="T2899" s="109"/>
      <c r="W2899" s="130" t="str">
        <f t="shared" si="54"/>
        <v>1w</v>
      </c>
      <c r="X2899" s="128">
        <f>_xll.qlCalendarAdvance(Calendar,X2898,W2899,"f",FALSE)</f>
        <v>59588</v>
      </c>
      <c r="Y2899" s="131">
        <f>_xll.qlCalendarAdvance(Calendar,X2899,NDays&amp;"D")</f>
        <v>59590</v>
      </c>
      <c r="Z2899" s="132">
        <v>1.2711838830240754E-2</v>
      </c>
      <c r="AA2899" s="129">
        <v>1.2684979310337852E-2</v>
      </c>
    </row>
    <row r="2900" spans="19:27" x14ac:dyDescent="0.2">
      <c r="S2900" s="1"/>
      <c r="T2900" s="109"/>
      <c r="W2900" s="130" t="str">
        <f t="shared" si="54"/>
        <v>1w</v>
      </c>
      <c r="X2900" s="128">
        <f>_xll.qlCalendarAdvance(Calendar,X2899,W2900,"f",FALSE)</f>
        <v>59595</v>
      </c>
      <c r="Y2900" s="131">
        <f>_xll.qlCalendarAdvance(Calendar,X2900,NDays&amp;"D")</f>
        <v>59597</v>
      </c>
      <c r="Z2900" s="132">
        <v>1.2714782416102976E-2</v>
      </c>
      <c r="AA2900" s="129">
        <v>1.2686100655461274E-2</v>
      </c>
    </row>
    <row r="2901" spans="19:27" x14ac:dyDescent="0.2">
      <c r="S2901" s="1"/>
      <c r="T2901" s="109"/>
      <c r="W2901" s="130" t="str">
        <f t="shared" ref="W2901:W2964" si="55">W2900</f>
        <v>1w</v>
      </c>
      <c r="X2901" s="128">
        <f>_xll.qlCalendarAdvance(Calendar,X2900,W2901,"f",FALSE)</f>
        <v>59602</v>
      </c>
      <c r="Y2901" s="131">
        <f>_xll.qlCalendarAdvance(Calendar,X2901,NDays&amp;"D")</f>
        <v>59604</v>
      </c>
      <c r="Z2901" s="132">
        <v>1.2716144472110532E-2</v>
      </c>
      <c r="AA2901" s="129">
        <v>1.268725351356359E-2</v>
      </c>
    </row>
    <row r="2902" spans="19:27" x14ac:dyDescent="0.2">
      <c r="S2902" s="1"/>
      <c r="T2902" s="109"/>
      <c r="W2902" s="130" t="str">
        <f t="shared" si="55"/>
        <v>1w</v>
      </c>
      <c r="X2902" s="128">
        <f>_xll.qlCalendarAdvance(Calendar,X2901,W2902,"f",FALSE)</f>
        <v>59609</v>
      </c>
      <c r="Y2902" s="131">
        <f>_xll.qlCalendarAdvance(Calendar,X2902,NDays&amp;"D")</f>
        <v>59611</v>
      </c>
      <c r="Z2902" s="132">
        <v>1.2717538142852746E-2</v>
      </c>
      <c r="AA2902" s="129">
        <v>1.2688437884644799E-2</v>
      </c>
    </row>
    <row r="2903" spans="19:27" x14ac:dyDescent="0.2">
      <c r="S2903" s="1"/>
      <c r="T2903" s="109"/>
      <c r="W2903" s="130" t="str">
        <f t="shared" si="55"/>
        <v>1w</v>
      </c>
      <c r="X2903" s="128">
        <f>_xll.qlCalendarAdvance(Calendar,X2902,W2903,"f",FALSE)</f>
        <v>59616</v>
      </c>
      <c r="Y2903" s="131">
        <f>_xll.qlCalendarAdvance(Calendar,X2903,NDays&amp;"D")</f>
        <v>59618</v>
      </c>
      <c r="Z2903" s="132">
        <v>1.2718963428363638E-2</v>
      </c>
      <c r="AA2903" s="129">
        <v>1.268965376865161E-2</v>
      </c>
    </row>
    <row r="2904" spans="19:27" x14ac:dyDescent="0.2">
      <c r="S2904" s="1"/>
      <c r="T2904" s="109"/>
      <c r="W2904" s="130" t="str">
        <f t="shared" si="55"/>
        <v>1w</v>
      </c>
      <c r="X2904" s="128">
        <f>_xll.qlCalendarAdvance(Calendar,X2903,W2904,"f",FALSE)</f>
        <v>59623</v>
      </c>
      <c r="Y2904" s="131">
        <f>_xll.qlCalendarAdvance(Calendar,X2904,NDays&amp;"D")</f>
        <v>59625</v>
      </c>
      <c r="Z2904" s="132">
        <v>1.2719417153611762E-2</v>
      </c>
      <c r="AA2904" s="129">
        <v>1.2690901165637314E-2</v>
      </c>
    </row>
    <row r="2905" spans="19:27" x14ac:dyDescent="0.2">
      <c r="S2905" s="1"/>
      <c r="T2905" s="109"/>
      <c r="W2905" s="130" t="str">
        <f t="shared" si="55"/>
        <v>1w</v>
      </c>
      <c r="X2905" s="128">
        <f>_xll.qlCalendarAdvance(Calendar,X2904,W2905,"f",FALSE)</f>
        <v>59630</v>
      </c>
      <c r="Y2905" s="131">
        <f>_xll.qlCalendarAdvance(Calendar,X2905,NDays&amp;"D")</f>
        <v>59632</v>
      </c>
      <c r="Z2905" s="132">
        <v>1.2720898737342189E-2</v>
      </c>
      <c r="AA2905" s="129">
        <v>1.2692180075575266E-2</v>
      </c>
    </row>
    <row r="2906" spans="19:27" x14ac:dyDescent="0.2">
      <c r="S2906" s="1"/>
      <c r="T2906" s="109"/>
      <c r="W2906" s="130" t="str">
        <f t="shared" si="55"/>
        <v>1w</v>
      </c>
      <c r="X2906" s="128">
        <f>_xll.qlCalendarAdvance(Calendar,X2905,W2906,"f",FALSE)</f>
        <v>59637</v>
      </c>
      <c r="Y2906" s="131">
        <f>_xll.qlCalendarAdvance(Calendar,X2906,NDays&amp;"D")</f>
        <v>59643</v>
      </c>
      <c r="Z2906" s="132">
        <v>1.2723290808502241E-2</v>
      </c>
      <c r="AA2906" s="129">
        <v>1.269361395818791E-2</v>
      </c>
    </row>
    <row r="2907" spans="19:27" x14ac:dyDescent="0.2">
      <c r="S2907" s="1"/>
      <c r="T2907" s="109"/>
      <c r="W2907" s="130" t="str">
        <f t="shared" si="55"/>
        <v>1w</v>
      </c>
      <c r="X2907" s="128">
        <f>_xll.qlCalendarAdvance(Calendar,X2906,W2907,"f",FALSE)</f>
        <v>59644</v>
      </c>
      <c r="Y2907" s="131">
        <f>_xll.qlCalendarAdvance(Calendar,X2907,NDays&amp;"D")</f>
        <v>59646</v>
      </c>
      <c r="Z2907" s="132">
        <v>1.2723956739352922E-2</v>
      </c>
      <c r="AA2907" s="129">
        <v>1.2694832434361203E-2</v>
      </c>
    </row>
    <row r="2908" spans="19:27" x14ac:dyDescent="0.2">
      <c r="S2908" s="1"/>
      <c r="T2908" s="109"/>
      <c r="W2908" s="130" t="str">
        <f t="shared" si="55"/>
        <v>1w</v>
      </c>
      <c r="X2908" s="128">
        <f>_xll.qlCalendarAdvance(Calendar,X2907,W2908,"f",FALSE)</f>
        <v>59651</v>
      </c>
      <c r="Y2908" s="131">
        <f>_xll.qlCalendarAdvance(Calendar,X2908,NDays&amp;"D")</f>
        <v>59653</v>
      </c>
      <c r="Z2908" s="132">
        <v>1.2725533157703505E-2</v>
      </c>
      <c r="AA2908" s="129">
        <v>1.2696205883209188E-2</v>
      </c>
    </row>
    <row r="2909" spans="19:27" x14ac:dyDescent="0.2">
      <c r="S2909" s="1"/>
      <c r="T2909" s="109"/>
      <c r="W2909" s="130" t="str">
        <f t="shared" si="55"/>
        <v>1w</v>
      </c>
      <c r="X2909" s="128">
        <f>_xll.qlCalendarAdvance(Calendar,X2908,W2909,"f",FALSE)</f>
        <v>59658</v>
      </c>
      <c r="Y2909" s="131">
        <f>_xll.qlCalendarAdvance(Calendar,X2909,NDays&amp;"D")</f>
        <v>59660</v>
      </c>
      <c r="Z2909" s="132">
        <v>1.2728179053593375E-2</v>
      </c>
      <c r="AA2909" s="129">
        <v>1.2697610845009422E-2</v>
      </c>
    </row>
    <row r="2910" spans="19:27" x14ac:dyDescent="0.2">
      <c r="S2910" s="1"/>
      <c r="T2910" s="109"/>
      <c r="W2910" s="130" t="str">
        <f t="shared" si="55"/>
        <v>1w</v>
      </c>
      <c r="X2910" s="128">
        <f>_xll.qlCalendarAdvance(Calendar,X2909,W2910,"f",FALSE)</f>
        <v>59665</v>
      </c>
      <c r="Y2910" s="131">
        <f>_xll.qlCalendarAdvance(Calendar,X2910,NDays&amp;"D")</f>
        <v>59667</v>
      </c>
      <c r="Z2910" s="132">
        <v>1.2729825643513958E-2</v>
      </c>
      <c r="AA2910" s="129">
        <v>1.2699047319788548E-2</v>
      </c>
    </row>
    <row r="2911" spans="19:27" x14ac:dyDescent="0.2">
      <c r="S2911" s="1"/>
      <c r="T2911" s="109"/>
      <c r="W2911" s="130" t="str">
        <f t="shared" si="55"/>
        <v>1w</v>
      </c>
      <c r="X2911" s="128">
        <f>_xll.qlCalendarAdvance(Calendar,X2910,W2911,"f",FALSE)</f>
        <v>59672</v>
      </c>
      <c r="Y2911" s="131">
        <f>_xll.qlCalendarAdvance(Calendar,X2911,NDays&amp;"D")</f>
        <v>59674</v>
      </c>
      <c r="Z2911" s="132">
        <v>1.2731503848505103E-2</v>
      </c>
      <c r="AA2911" s="129">
        <v>1.2700515307573212E-2</v>
      </c>
    </row>
    <row r="2912" spans="19:27" x14ac:dyDescent="0.2">
      <c r="S2912" s="1"/>
      <c r="T2912" s="109"/>
      <c r="W2912" s="130" t="str">
        <f t="shared" si="55"/>
        <v>1w</v>
      </c>
      <c r="X2912" s="128">
        <f>_xll.qlCalendarAdvance(Calendar,X2911,W2912,"f",FALSE)</f>
        <v>59679</v>
      </c>
      <c r="Y2912" s="131">
        <f>_xll.qlCalendarAdvance(Calendar,X2912,NDays&amp;"D")</f>
        <v>59681</v>
      </c>
      <c r="Z2912" s="132">
        <v>1.2733213668610176E-2</v>
      </c>
      <c r="AA2912" s="129">
        <v>1.2702014808283479E-2</v>
      </c>
    </row>
    <row r="2913" spans="19:27" x14ac:dyDescent="0.2">
      <c r="S2913" s="1"/>
      <c r="T2913" s="109"/>
      <c r="W2913" s="130" t="str">
        <f t="shared" si="55"/>
        <v>1w</v>
      </c>
      <c r="X2913" s="128">
        <f>_xll.qlCalendarAdvance(Calendar,X2912,W2913,"f",FALSE)</f>
        <v>59686</v>
      </c>
      <c r="Y2913" s="131">
        <f>_xll.qlCalendarAdvance(Calendar,X2913,NDays&amp;"D")</f>
        <v>59688</v>
      </c>
      <c r="Z2913" s="132">
        <v>1.273495510387E-2</v>
      </c>
      <c r="AA2913" s="129">
        <v>1.2703545821972639E-2</v>
      </c>
    </row>
    <row r="2914" spans="19:27" x14ac:dyDescent="0.2">
      <c r="S2914" s="1"/>
      <c r="T2914" s="109"/>
      <c r="W2914" s="130" t="str">
        <f t="shared" si="55"/>
        <v>1w</v>
      </c>
      <c r="X2914" s="128">
        <f>_xll.qlCalendarAdvance(Calendar,X2913,W2914,"f",FALSE)</f>
        <v>59693</v>
      </c>
      <c r="Y2914" s="131">
        <f>_xll.qlCalendarAdvance(Calendar,X2914,NDays&amp;"D")</f>
        <v>59695</v>
      </c>
      <c r="Z2914" s="132">
        <v>1.2736728154329646E-2</v>
      </c>
      <c r="AA2914" s="129">
        <v>1.2705108348640692E-2</v>
      </c>
    </row>
    <row r="2915" spans="19:27" x14ac:dyDescent="0.2">
      <c r="S2915" s="1"/>
      <c r="T2915" s="109"/>
      <c r="W2915" s="130" t="str">
        <f t="shared" si="55"/>
        <v>1w</v>
      </c>
      <c r="X2915" s="128">
        <f>_xll.qlCalendarAdvance(Calendar,X2914,W2915,"f",FALSE)</f>
        <v>59700</v>
      </c>
      <c r="Y2915" s="131">
        <f>_xll.qlCalendarAdvance(Calendar,X2915,NDays&amp;"D")</f>
        <v>59702</v>
      </c>
      <c r="Z2915" s="132">
        <v>1.2738532820029928E-2</v>
      </c>
      <c r="AA2915" s="129">
        <v>1.2706702388260993E-2</v>
      </c>
    </row>
    <row r="2916" spans="19:27" x14ac:dyDescent="0.2">
      <c r="S2916" s="1"/>
      <c r="T2916" s="109"/>
      <c r="W2916" s="130" t="str">
        <f t="shared" si="55"/>
        <v>1w</v>
      </c>
      <c r="X2916" s="128">
        <f>_xll.qlCalendarAdvance(Calendar,X2915,W2916,"f",FALSE)</f>
        <v>59707</v>
      </c>
      <c r="Y2916" s="131">
        <f>_xll.qlCalendarAdvance(Calendar,X2916,NDays&amp;"D")</f>
        <v>59709</v>
      </c>
      <c r="Z2916" s="132">
        <v>1.2740369101018469E-2</v>
      </c>
      <c r="AA2916" s="129">
        <v>1.2708327940886832E-2</v>
      </c>
    </row>
    <row r="2917" spans="19:27" x14ac:dyDescent="0.2">
      <c r="S2917" s="1"/>
      <c r="T2917" s="109"/>
      <c r="W2917" s="130" t="str">
        <f t="shared" si="55"/>
        <v>1w</v>
      </c>
      <c r="X2917" s="128">
        <f>_xll.qlCalendarAdvance(Calendar,X2916,W2917,"f",FALSE)</f>
        <v>59714</v>
      </c>
      <c r="Y2917" s="131">
        <f>_xll.qlCalendarAdvance(Calendar,X2917,NDays&amp;"D")</f>
        <v>59716</v>
      </c>
      <c r="Z2917" s="132">
        <v>1.2741143450300524E-2</v>
      </c>
      <c r="AA2917" s="129">
        <v>1.2709985006464919E-2</v>
      </c>
    </row>
    <row r="2918" spans="19:27" x14ac:dyDescent="0.2">
      <c r="S2918" s="1"/>
      <c r="T2918" s="109"/>
      <c r="W2918" s="130" t="str">
        <f t="shared" si="55"/>
        <v>1w</v>
      </c>
      <c r="X2918" s="128">
        <f>_xll.qlCalendarAdvance(Calendar,X2917,W2918,"f",FALSE)</f>
        <v>59721</v>
      </c>
      <c r="Y2918" s="131">
        <f>_xll.qlCalendarAdvance(Calendar,X2918,NDays&amp;"D")</f>
        <v>59723</v>
      </c>
      <c r="Z2918" s="132">
        <v>1.2744136509037211E-2</v>
      </c>
      <c r="AA2918" s="129">
        <v>1.2711673585075189E-2</v>
      </c>
    </row>
    <row r="2919" spans="19:27" x14ac:dyDescent="0.2">
      <c r="S2919" s="1"/>
      <c r="T2919" s="109"/>
      <c r="W2919" s="130" t="str">
        <f t="shared" si="55"/>
        <v>1w</v>
      </c>
      <c r="X2919" s="128">
        <f>_xll.qlCalendarAdvance(Calendar,X2918,W2919,"f",FALSE)</f>
        <v>59728</v>
      </c>
      <c r="Y2919" s="131">
        <f>_xll.qlCalendarAdvance(Calendar,X2919,NDays&amp;"D")</f>
        <v>59730</v>
      </c>
      <c r="Z2919" s="132">
        <v>1.2746067636160955E-2</v>
      </c>
      <c r="AA2919" s="129">
        <v>1.2713393676611062E-2</v>
      </c>
    </row>
    <row r="2920" spans="19:27" x14ac:dyDescent="0.2">
      <c r="S2920" s="1"/>
      <c r="T2920" s="109"/>
      <c r="W2920" s="130" t="str">
        <f t="shared" si="55"/>
        <v>1w</v>
      </c>
      <c r="X2920" s="128">
        <f>_xll.qlCalendarAdvance(Calendar,X2919,W2920,"f",FALSE)</f>
        <v>59735</v>
      </c>
      <c r="Y2920" s="131">
        <f>_xll.qlCalendarAdvance(Calendar,X2920,NDays&amp;"D")</f>
        <v>59737</v>
      </c>
      <c r="Z2920" s="132">
        <v>1.2748030378756639E-2</v>
      </c>
      <c r="AA2920" s="129">
        <v>1.2715145281125828E-2</v>
      </c>
    </row>
    <row r="2921" spans="19:27" x14ac:dyDescent="0.2">
      <c r="S2921" s="1"/>
      <c r="T2921" s="109"/>
      <c r="W2921" s="130" t="str">
        <f t="shared" si="55"/>
        <v>1w</v>
      </c>
      <c r="X2921" s="128">
        <f>_xll.qlCalendarAdvance(Calendar,X2920,W2921,"f",FALSE)</f>
        <v>59742</v>
      </c>
      <c r="Y2921" s="131">
        <f>_xll.qlCalendarAdvance(Calendar,X2921,NDays&amp;"D")</f>
        <v>59744</v>
      </c>
      <c r="Z2921" s="132">
        <v>1.275002473687444E-2</v>
      </c>
      <c r="AA2921" s="129">
        <v>1.2716928398646132E-2</v>
      </c>
    </row>
    <row r="2922" spans="19:27" x14ac:dyDescent="0.2">
      <c r="S2922" s="1"/>
      <c r="T2922" s="109"/>
      <c r="W2922" s="130" t="str">
        <f t="shared" si="55"/>
        <v>1w</v>
      </c>
      <c r="X2922" s="128">
        <f>_xll.qlCalendarAdvance(Calendar,X2921,W2922,"f",FALSE)</f>
        <v>59749</v>
      </c>
      <c r="Y2922" s="131">
        <f>_xll.qlCalendarAdvance(Calendar,X2922,NDays&amp;"D")</f>
        <v>59751</v>
      </c>
      <c r="Z2922" s="132">
        <v>1.2752050710562828E-2</v>
      </c>
      <c r="AA2922" s="129">
        <v>1.271874302914533E-2</v>
      </c>
    </row>
    <row r="2923" spans="19:27" x14ac:dyDescent="0.2">
      <c r="S2923" s="1"/>
      <c r="T2923" s="109"/>
      <c r="W2923" s="130" t="str">
        <f t="shared" si="55"/>
        <v>1w</v>
      </c>
      <c r="X2923" s="128">
        <f>_xll.qlCalendarAdvance(Calendar,X2922,W2923,"f",FALSE)</f>
        <v>59756</v>
      </c>
      <c r="Y2923" s="131">
        <f>_xll.qlCalendarAdvance(Calendar,X2923,NDays&amp;"D")</f>
        <v>59758</v>
      </c>
      <c r="Z2923" s="132">
        <v>1.2754108299871125E-2</v>
      </c>
      <c r="AA2923" s="129">
        <v>1.2720589172650065E-2</v>
      </c>
    </row>
    <row r="2924" spans="19:27" x14ac:dyDescent="0.2">
      <c r="S2924" s="1"/>
      <c r="T2924" s="109"/>
      <c r="W2924" s="130" t="str">
        <f t="shared" si="55"/>
        <v>1w</v>
      </c>
      <c r="X2924" s="128">
        <f>_xll.qlCalendarAdvance(Calendar,X2923,W2924,"f",FALSE)</f>
        <v>59763</v>
      </c>
      <c r="Y2924" s="131">
        <f>_xll.qlCalendarAdvance(Calendar,X2924,NDays&amp;"D")</f>
        <v>59765</v>
      </c>
      <c r="Z2924" s="132">
        <v>1.2756197504850355E-2</v>
      </c>
      <c r="AA2924" s="129">
        <v>1.2722466829080403E-2</v>
      </c>
    </row>
    <row r="2925" spans="19:27" x14ac:dyDescent="0.2">
      <c r="S2925" s="1"/>
      <c r="T2925" s="109"/>
      <c r="W2925" s="130" t="str">
        <f t="shared" si="55"/>
        <v>1w</v>
      </c>
      <c r="X2925" s="128">
        <f>_xll.qlCalendarAdvance(Calendar,X2924,W2925,"f",FALSE)</f>
        <v>59770</v>
      </c>
      <c r="Y2925" s="131">
        <f>_xll.qlCalendarAdvance(Calendar,X2925,NDays&amp;"D")</f>
        <v>59772</v>
      </c>
      <c r="Z2925" s="132">
        <v>1.275831832555324E-2</v>
      </c>
      <c r="AA2925" s="129">
        <v>1.272437599856957E-2</v>
      </c>
    </row>
    <row r="2926" spans="19:27" x14ac:dyDescent="0.2">
      <c r="S2926" s="1"/>
      <c r="T2926" s="109"/>
      <c r="W2926" s="130" t="str">
        <f t="shared" si="55"/>
        <v>1w</v>
      </c>
      <c r="X2926" s="128">
        <f>_xll.qlCalendarAdvance(Calendar,X2925,W2926,"f",FALSE)</f>
        <v>59777</v>
      </c>
      <c r="Y2926" s="131">
        <f>_xll.qlCalendarAdvance(Calendar,X2926,NDays&amp;"D")</f>
        <v>59779</v>
      </c>
      <c r="Z2926" s="132">
        <v>1.2759314314306953E-2</v>
      </c>
      <c r="AA2926" s="129">
        <v>1.272631668103763E-2</v>
      </c>
    </row>
    <row r="2927" spans="19:27" x14ac:dyDescent="0.2">
      <c r="S2927" s="1"/>
      <c r="T2927" s="109"/>
      <c r="W2927" s="130" t="str">
        <f t="shared" si="55"/>
        <v>1w</v>
      </c>
      <c r="X2927" s="128">
        <f>_xll.qlCalendarAdvance(Calendar,X2926,W2927,"f",FALSE)</f>
        <v>59784</v>
      </c>
      <c r="Y2927" s="131">
        <f>_xll.qlCalendarAdvance(Calendar,X2927,NDays&amp;"D")</f>
        <v>59786</v>
      </c>
      <c r="Z2927" s="132">
        <v>1.2761491360639171E-2</v>
      </c>
      <c r="AA2927" s="129">
        <v>1.2728288876457938E-2</v>
      </c>
    </row>
    <row r="2928" spans="19:27" x14ac:dyDescent="0.2">
      <c r="S2928" s="1"/>
      <c r="T2928" s="109"/>
      <c r="W2928" s="130" t="str">
        <f t="shared" si="55"/>
        <v>1w</v>
      </c>
      <c r="X2928" s="128">
        <f>_xll.qlCalendarAdvance(Calendar,X2927,W2928,"f",FALSE)</f>
        <v>59791</v>
      </c>
      <c r="Y2928" s="131">
        <f>_xll.qlCalendarAdvance(Calendar,X2928,NDays&amp;"D")</f>
        <v>59793</v>
      </c>
      <c r="Z2928" s="132">
        <v>1.2763700019446666E-2</v>
      </c>
      <c r="AA2928" s="129">
        <v>1.2730292584883784E-2</v>
      </c>
    </row>
    <row r="2929" spans="19:27" x14ac:dyDescent="0.2">
      <c r="S2929" s="1"/>
      <c r="T2929" s="109"/>
      <c r="W2929" s="130" t="str">
        <f t="shared" si="55"/>
        <v>1w</v>
      </c>
      <c r="X2929" s="128">
        <f>_xll.qlCalendarAdvance(Calendar,X2928,W2929,"f",FALSE)</f>
        <v>59798</v>
      </c>
      <c r="Y2929" s="131">
        <f>_xll.qlCalendarAdvance(Calendar,X2929,NDays&amp;"D")</f>
        <v>59800</v>
      </c>
      <c r="Z2929" s="132">
        <v>1.2765940290780382E-2</v>
      </c>
      <c r="AA2929" s="129">
        <v>1.2732327806341814E-2</v>
      </c>
    </row>
    <row r="2930" spans="19:27" x14ac:dyDescent="0.2">
      <c r="S2930" s="1"/>
      <c r="T2930" s="109"/>
      <c r="W2930" s="130" t="str">
        <f t="shared" si="55"/>
        <v>1w</v>
      </c>
      <c r="X2930" s="128">
        <f>_xll.qlCalendarAdvance(Calendar,X2929,W2930,"f",FALSE)</f>
        <v>59805</v>
      </c>
      <c r="Y2930" s="131">
        <f>_xll.qlCalendarAdvance(Calendar,X2930,NDays&amp;"D")</f>
        <v>59807</v>
      </c>
      <c r="Z2930" s="132">
        <v>1.2769396666767839E-2</v>
      </c>
      <c r="AA2930" s="129">
        <v>1.2734394540752092E-2</v>
      </c>
    </row>
    <row r="2931" spans="19:27" x14ac:dyDescent="0.2">
      <c r="S2931" s="1"/>
      <c r="T2931" s="109"/>
      <c r="W2931" s="130" t="str">
        <f t="shared" si="55"/>
        <v>1w</v>
      </c>
      <c r="X2931" s="128">
        <f>_xll.qlCalendarAdvance(Calendar,X2930,W2931,"f",FALSE)</f>
        <v>59812</v>
      </c>
      <c r="Y2931" s="131">
        <f>_xll.qlCalendarAdvance(Calendar,X2931,NDays&amp;"D")</f>
        <v>59814</v>
      </c>
      <c r="Z2931" s="132">
        <v>1.2771707182933467E-2</v>
      </c>
      <c r="AA2931" s="129">
        <v>1.2736492788194553E-2</v>
      </c>
    </row>
    <row r="2932" spans="19:27" x14ac:dyDescent="0.2">
      <c r="S2932" s="1"/>
      <c r="T2932" s="109"/>
      <c r="W2932" s="130" t="str">
        <f t="shared" si="55"/>
        <v>1w</v>
      </c>
      <c r="X2932" s="128">
        <f>_xll.qlCalendarAdvance(Calendar,X2931,W2932,"f",FALSE)</f>
        <v>59819</v>
      </c>
      <c r="Y2932" s="131">
        <f>_xll.qlCalendarAdvance(Calendar,X2932,NDays&amp;"D")</f>
        <v>59821</v>
      </c>
      <c r="Z2932" s="132">
        <v>1.2774049315205423E-2</v>
      </c>
      <c r="AA2932" s="129">
        <v>1.2738622548615908E-2</v>
      </c>
    </row>
    <row r="2933" spans="19:27" x14ac:dyDescent="0.2">
      <c r="S2933" s="1"/>
      <c r="T2933" s="109"/>
      <c r="W2933" s="130" t="str">
        <f t="shared" si="55"/>
        <v>1w</v>
      </c>
      <c r="X2933" s="128">
        <f>_xll.qlCalendarAdvance(Calendar,X2932,W2933,"f",FALSE)</f>
        <v>59826</v>
      </c>
      <c r="Y2933" s="131">
        <f>_xll.qlCalendarAdvance(Calendar,X2933,NDays&amp;"D")</f>
        <v>59828</v>
      </c>
      <c r="Z2933" s="132">
        <v>1.2776423063640685E-2</v>
      </c>
      <c r="AA2933" s="129">
        <v>1.2740783822016155E-2</v>
      </c>
    </row>
    <row r="2934" spans="19:27" x14ac:dyDescent="0.2">
      <c r="S2934" s="1"/>
      <c r="T2934" s="109"/>
      <c r="W2934" s="130" t="str">
        <f t="shared" si="55"/>
        <v>1w</v>
      </c>
      <c r="X2934" s="128">
        <f>_xll.qlCalendarAdvance(Calendar,X2933,W2934,"f",FALSE)</f>
        <v>59833</v>
      </c>
      <c r="Y2934" s="131">
        <f>_xll.qlCalendarAdvance(Calendar,X2934,NDays&amp;"D")</f>
        <v>59835</v>
      </c>
      <c r="Z2934" s="132">
        <v>1.2778828428297076E-2</v>
      </c>
      <c r="AA2934" s="129">
        <v>1.2742976608448586E-2</v>
      </c>
    </row>
    <row r="2935" spans="19:27" x14ac:dyDescent="0.2">
      <c r="S2935" s="1"/>
      <c r="T2935" s="109"/>
      <c r="W2935" s="130" t="str">
        <f t="shared" si="55"/>
        <v>1w</v>
      </c>
      <c r="X2935" s="128">
        <f>_xll.qlCalendarAdvance(Calendar,X2934,W2935,"f",FALSE)</f>
        <v>59840</v>
      </c>
      <c r="Y2935" s="131">
        <f>_xll.qlCalendarAdvance(Calendar,X2935,NDays&amp;"D")</f>
        <v>59842</v>
      </c>
      <c r="Z2935" s="132">
        <v>1.2781265409236674E-2</v>
      </c>
      <c r="AA2935" s="129">
        <v>1.2745200907886556E-2</v>
      </c>
    </row>
    <row r="2936" spans="19:27" x14ac:dyDescent="0.2">
      <c r="S2936" s="1"/>
      <c r="T2936" s="109"/>
      <c r="W2936" s="130" t="str">
        <f t="shared" si="55"/>
        <v>1w</v>
      </c>
      <c r="X2936" s="128">
        <f>_xll.qlCalendarAdvance(Calendar,X2935,W2936,"f",FALSE)</f>
        <v>59847</v>
      </c>
      <c r="Y2936" s="131">
        <f>_xll.qlCalendarAdvance(Calendar,X2936,NDays&amp;"D")</f>
        <v>59849</v>
      </c>
      <c r="Z2936" s="132">
        <v>1.2783734006516459E-2</v>
      </c>
      <c r="AA2936" s="129">
        <v>1.2747456720330064E-2</v>
      </c>
    </row>
    <row r="2937" spans="19:27" x14ac:dyDescent="0.2">
      <c r="S2937" s="1"/>
      <c r="T2937" s="109"/>
      <c r="W2937" s="130" t="str">
        <f t="shared" si="55"/>
        <v>1w</v>
      </c>
      <c r="X2937" s="128">
        <f>_xll.qlCalendarAdvance(Calendar,X2936,W2937,"f",FALSE)</f>
        <v>59854</v>
      </c>
      <c r="Y2937" s="131">
        <f>_xll.qlCalendarAdvance(Calendar,X2937,NDays&amp;"D")</f>
        <v>59856</v>
      </c>
      <c r="Z2937" s="132">
        <v>1.2786234220198504E-2</v>
      </c>
      <c r="AA2937" s="129">
        <v>1.274974404577911E-2</v>
      </c>
    </row>
    <row r="2938" spans="19:27" x14ac:dyDescent="0.2">
      <c r="S2938" s="1"/>
      <c r="T2938" s="109"/>
      <c r="W2938" s="130" t="str">
        <f t="shared" si="55"/>
        <v>1w</v>
      </c>
      <c r="X2938" s="128">
        <f>_xll.qlCalendarAdvance(Calendar,X2937,W2938,"f",FALSE)</f>
        <v>59861</v>
      </c>
      <c r="Y2938" s="131">
        <f>_xll.qlCalendarAdvance(Calendar,X2938,NDays&amp;"D")</f>
        <v>59863</v>
      </c>
      <c r="Z2938" s="132">
        <v>1.2788766050345741E-2</v>
      </c>
      <c r="AA2938" s="129">
        <v>1.2752062884233695E-2</v>
      </c>
    </row>
    <row r="2939" spans="19:27" x14ac:dyDescent="0.2">
      <c r="S2939" s="1"/>
      <c r="T2939" s="109"/>
      <c r="W2939" s="130" t="str">
        <f t="shared" si="55"/>
        <v>1w</v>
      </c>
      <c r="X2939" s="128">
        <f>_xll.qlCalendarAdvance(Calendar,X2938,W2939,"f",FALSE)</f>
        <v>59868</v>
      </c>
      <c r="Y2939" s="131">
        <f>_xll.qlCalendarAdvance(Calendar,X2939,NDays&amp;"D")</f>
        <v>59870</v>
      </c>
      <c r="Z2939" s="132">
        <v>1.2790081705233821E-2</v>
      </c>
      <c r="AA2939" s="129">
        <v>1.2754413235693818E-2</v>
      </c>
    </row>
    <row r="2940" spans="19:27" x14ac:dyDescent="0.2">
      <c r="S2940" s="1"/>
      <c r="T2940" s="109"/>
      <c r="W2940" s="130" t="str">
        <f t="shared" si="55"/>
        <v>1w</v>
      </c>
      <c r="X2940" s="128">
        <f>_xll.qlCalendarAdvance(Calendar,X2939,W2940,"f",FALSE)</f>
        <v>59875</v>
      </c>
      <c r="Y2940" s="131">
        <f>_xll.qlCalendarAdvance(Calendar,X2940,NDays&amp;"D")</f>
        <v>59877</v>
      </c>
      <c r="Z2940" s="132">
        <v>1.279266971806116E-2</v>
      </c>
      <c r="AA2940" s="129">
        <v>1.2756795100186125E-2</v>
      </c>
    </row>
    <row r="2941" spans="19:27" x14ac:dyDescent="0.2">
      <c r="S2941" s="1"/>
      <c r="T2941" s="109"/>
      <c r="W2941" s="130" t="str">
        <f t="shared" si="55"/>
        <v>1w</v>
      </c>
      <c r="X2941" s="128">
        <f>_xll.qlCalendarAdvance(Calendar,X2940,W2941,"f",FALSE)</f>
        <v>59882</v>
      </c>
      <c r="Y2941" s="131">
        <f>_xll.qlCalendarAdvance(Calendar,X2941,NDays&amp;"D")</f>
        <v>59884</v>
      </c>
      <c r="Z2941" s="132">
        <v>1.2795289344105159E-2</v>
      </c>
      <c r="AA2941" s="129">
        <v>1.2759208477657324E-2</v>
      </c>
    </row>
    <row r="2942" spans="19:27" x14ac:dyDescent="0.2">
      <c r="S2942" s="1"/>
      <c r="T2942" s="109"/>
      <c r="W2942" s="130" t="str">
        <f t="shared" si="55"/>
        <v>1w</v>
      </c>
      <c r="X2942" s="128">
        <f>_xll.qlCalendarAdvance(Calendar,X2941,W2942,"f",FALSE)</f>
        <v>59889</v>
      </c>
      <c r="Y2942" s="131">
        <f>_xll.qlCalendarAdvance(Calendar,X2942,NDays&amp;"D")</f>
        <v>59891</v>
      </c>
      <c r="Z2942" s="132">
        <v>1.2797940583432577E-2</v>
      </c>
      <c r="AA2942" s="129">
        <v>1.2761653368187353E-2</v>
      </c>
    </row>
    <row r="2943" spans="19:27" x14ac:dyDescent="0.2">
      <c r="S2943" s="1"/>
      <c r="T2943" s="109"/>
      <c r="W2943" s="130" t="str">
        <f t="shared" si="55"/>
        <v>1w</v>
      </c>
      <c r="X2943" s="128">
        <f>_xll.qlCalendarAdvance(Calendar,X2942,W2943,"f",FALSE)</f>
        <v>59897</v>
      </c>
      <c r="Y2943" s="131">
        <f>_xll.qlCalendarAdvance(Calendar,X2943,NDays&amp;"D")</f>
        <v>59901</v>
      </c>
      <c r="Z2943" s="132">
        <v>1.2801782907675969E-2</v>
      </c>
      <c r="AA2943" s="129">
        <v>1.2764795401727369E-2</v>
      </c>
    </row>
    <row r="2944" spans="19:27" x14ac:dyDescent="0.2">
      <c r="S2944" s="1"/>
      <c r="T2944" s="109"/>
      <c r="W2944" s="130" t="str">
        <f t="shared" si="55"/>
        <v>1w</v>
      </c>
      <c r="X2944" s="128">
        <f>_xll.qlCalendarAdvance(Calendar,X2943,W2944,"f",FALSE)</f>
        <v>59904</v>
      </c>
      <c r="Y2944" s="131">
        <f>_xll.qlCalendarAdvance(Calendar,X2944,NDays&amp;"D")</f>
        <v>59908</v>
      </c>
      <c r="Z2944" s="132">
        <v>1.2804939389943591E-2</v>
      </c>
      <c r="AA2944" s="129">
        <v>1.2766907043468834E-2</v>
      </c>
    </row>
    <row r="2945" spans="19:27" x14ac:dyDescent="0.2">
      <c r="S2945" s="1"/>
      <c r="T2945" s="109"/>
      <c r="W2945" s="130" t="str">
        <f t="shared" si="55"/>
        <v>1w</v>
      </c>
      <c r="X2945" s="128">
        <f>_xll.qlCalendarAdvance(Calendar,X2944,W2945,"f",FALSE)</f>
        <v>59911</v>
      </c>
      <c r="Y2945" s="131">
        <f>_xll.qlCalendarAdvance(Calendar,X2945,NDays&amp;"D")</f>
        <v>59915</v>
      </c>
      <c r="Z2945" s="132">
        <v>1.2807270550586601E-2</v>
      </c>
      <c r="AA2945" s="129">
        <v>1.2769455295877918E-2</v>
      </c>
    </row>
    <row r="2946" spans="19:27" x14ac:dyDescent="0.2">
      <c r="S2946" s="1"/>
      <c r="T2946" s="109"/>
      <c r="W2946" s="130" t="str">
        <f t="shared" si="55"/>
        <v>1w</v>
      </c>
      <c r="X2946" s="128">
        <f>_xll.qlCalendarAdvance(Calendar,X2945,W2946,"f",FALSE)</f>
        <v>59918</v>
      </c>
      <c r="Y2946" s="131">
        <f>_xll.qlCalendarAdvance(Calendar,X2946,NDays&amp;"D")</f>
        <v>59922</v>
      </c>
      <c r="Z2946" s="132">
        <v>1.2810061792359701E-2</v>
      </c>
      <c r="AA2946" s="129">
        <v>1.2772035059240849E-2</v>
      </c>
    </row>
    <row r="2947" spans="19:27" x14ac:dyDescent="0.2">
      <c r="S2947" s="1"/>
      <c r="T2947" s="109"/>
      <c r="W2947" s="130" t="str">
        <f t="shared" si="55"/>
        <v>1w</v>
      </c>
      <c r="X2947" s="128">
        <f>_xll.qlCalendarAdvance(Calendar,X2946,W2947,"f",FALSE)</f>
        <v>59925</v>
      </c>
      <c r="Y2947" s="131">
        <f>_xll.qlCalendarAdvance(Calendar,X2947,NDays&amp;"D")</f>
        <v>59929</v>
      </c>
      <c r="Z2947" s="132">
        <v>1.2812884647768466E-2</v>
      </c>
      <c r="AA2947" s="129">
        <v>1.2774646333317818E-2</v>
      </c>
    </row>
    <row r="2948" spans="19:27" x14ac:dyDescent="0.2">
      <c r="S2948" s="1"/>
      <c r="T2948" s="109"/>
      <c r="W2948" s="130" t="str">
        <f t="shared" si="55"/>
        <v>1w</v>
      </c>
      <c r="X2948" s="128">
        <f>_xll.qlCalendarAdvance(Calendar,X2947,W2948,"f",FALSE)</f>
        <v>59932</v>
      </c>
      <c r="Y2948" s="131">
        <f>_xll.qlCalendarAdvance(Calendar,X2948,NDays&amp;"D")</f>
        <v>59936</v>
      </c>
      <c r="Z2948" s="132">
        <v>1.2815739116878777E-2</v>
      </c>
      <c r="AA2948" s="129">
        <v>1.2777289118028889E-2</v>
      </c>
    </row>
    <row r="2949" spans="19:27" x14ac:dyDescent="0.2">
      <c r="S2949" s="1"/>
      <c r="T2949" s="109"/>
      <c r="W2949" s="130" t="str">
        <f t="shared" si="55"/>
        <v>1w</v>
      </c>
      <c r="X2949" s="128">
        <f>_xll.qlCalendarAdvance(Calendar,X2948,W2949,"f",FALSE)</f>
        <v>59939</v>
      </c>
      <c r="Y2949" s="131">
        <f>_xll.qlCalendarAdvance(Calendar,X2949,NDays&amp;"D")</f>
        <v>59943</v>
      </c>
      <c r="Z2949" s="132">
        <v>1.2818625199758273E-2</v>
      </c>
      <c r="AA2949" s="129">
        <v>1.2779963413613871E-2</v>
      </c>
    </row>
    <row r="2950" spans="19:27" x14ac:dyDescent="0.2">
      <c r="S2950" s="1"/>
      <c r="T2950" s="109"/>
      <c r="W2950" s="130" t="str">
        <f t="shared" si="55"/>
        <v>1w</v>
      </c>
      <c r="X2950" s="128">
        <f>_xll.qlCalendarAdvance(Calendar,X2949,W2950,"f",FALSE)</f>
        <v>59946</v>
      </c>
      <c r="Y2950" s="131">
        <f>_xll.qlCalendarAdvance(Calendar,X2950,NDays&amp;"D")</f>
        <v>59950</v>
      </c>
      <c r="Z2950" s="132">
        <v>1.2821542896478985E-2</v>
      </c>
      <c r="AA2950" s="129">
        <v>1.278266921991289E-2</v>
      </c>
    </row>
    <row r="2951" spans="19:27" x14ac:dyDescent="0.2">
      <c r="S2951" s="1"/>
      <c r="T2951" s="109"/>
      <c r="W2951" s="130" t="str">
        <f t="shared" si="55"/>
        <v>1w</v>
      </c>
      <c r="X2951" s="128">
        <f>_xll.qlCalendarAdvance(Calendar,X2950,W2951,"f",FALSE)</f>
        <v>59953</v>
      </c>
      <c r="Y2951" s="131">
        <f>_xll.qlCalendarAdvance(Calendar,X2951,NDays&amp;"D")</f>
        <v>59957</v>
      </c>
      <c r="Z2951" s="132">
        <v>1.2824492207106792E-2</v>
      </c>
      <c r="AA2951" s="129">
        <v>1.2785406536925947E-2</v>
      </c>
    </row>
    <row r="2952" spans="19:27" x14ac:dyDescent="0.2">
      <c r="S2952" s="1"/>
      <c r="T2952" s="109"/>
      <c r="W2952" s="130" t="str">
        <f t="shared" si="55"/>
        <v>1w</v>
      </c>
      <c r="X2952" s="128">
        <f>_xll.qlCalendarAdvance(Calendar,X2951,W2952,"f",FALSE)</f>
        <v>59960</v>
      </c>
      <c r="Y2952" s="131">
        <f>_xll.qlCalendarAdvance(Calendar,X2952,NDays&amp;"D")</f>
        <v>59964</v>
      </c>
      <c r="Z2952" s="132">
        <v>1.2827920481123198E-2</v>
      </c>
      <c r="AA2952" s="129">
        <v>1.2788175364812915E-2</v>
      </c>
    </row>
    <row r="2953" spans="19:27" x14ac:dyDescent="0.2">
      <c r="S2953" s="1"/>
      <c r="T2953" s="109"/>
      <c r="W2953" s="130" t="str">
        <f t="shared" si="55"/>
        <v>1w</v>
      </c>
      <c r="X2953" s="128">
        <f>_xll.qlCalendarAdvance(Calendar,X2952,W2953,"f",FALSE)</f>
        <v>59967</v>
      </c>
      <c r="Y2953" s="131">
        <f>_xll.qlCalendarAdvance(Calendar,X2953,NDays&amp;"D")</f>
        <v>59971</v>
      </c>
      <c r="Z2953" s="132">
        <v>1.2830935385199155E-2</v>
      </c>
      <c r="AA2953" s="129">
        <v>1.279097570341392E-2</v>
      </c>
    </row>
    <row r="2954" spans="19:27" x14ac:dyDescent="0.2">
      <c r="S2954" s="1"/>
      <c r="T2954" s="109"/>
      <c r="W2954" s="130" t="str">
        <f t="shared" si="55"/>
        <v>1w</v>
      </c>
      <c r="X2954" s="128">
        <f>_xll.qlCalendarAdvance(Calendar,X2953,W2954,"f",FALSE)</f>
        <v>59974</v>
      </c>
      <c r="Y2954" s="131">
        <f>_xll.qlCalendarAdvance(Calendar,X2954,NDays&amp;"D")</f>
        <v>59978</v>
      </c>
      <c r="Z2954" s="132">
        <v>1.2833981904553336E-2</v>
      </c>
      <c r="AA2954" s="129">
        <v>1.2793807552728964E-2</v>
      </c>
    </row>
    <row r="2955" spans="19:27" x14ac:dyDescent="0.2">
      <c r="S2955" s="1"/>
      <c r="T2955" s="109"/>
      <c r="W2955" s="130" t="str">
        <f t="shared" si="55"/>
        <v>1w</v>
      </c>
      <c r="X2955" s="128">
        <f>_xll.qlCalendarAdvance(Calendar,X2954,W2955,"f",FALSE)</f>
        <v>59981</v>
      </c>
      <c r="Y2955" s="131">
        <f>_xll.qlCalendarAdvance(Calendar,X2955,NDays&amp;"D")</f>
        <v>59985</v>
      </c>
      <c r="Z2955" s="132">
        <v>1.2837060039261329E-2</v>
      </c>
      <c r="AA2955" s="129">
        <v>1.2796670912837982E-2</v>
      </c>
    </row>
    <row r="2956" spans="19:27" x14ac:dyDescent="0.2">
      <c r="S2956" s="1"/>
      <c r="T2956" s="109"/>
      <c r="W2956" s="130" t="str">
        <f t="shared" si="55"/>
        <v>1w</v>
      </c>
      <c r="X2956" s="128">
        <f>_xll.qlCalendarAdvance(Calendar,X2955,W2956,"f",FALSE)</f>
        <v>59988</v>
      </c>
      <c r="Y2956" s="131">
        <f>_xll.qlCalendarAdvance(Calendar,X2956,NDays&amp;"D")</f>
        <v>59992</v>
      </c>
      <c r="Z2956" s="132">
        <v>1.2839712971374219E-2</v>
      </c>
      <c r="AA2956" s="129">
        <v>1.2799565783661038E-2</v>
      </c>
    </row>
    <row r="2957" spans="19:27" x14ac:dyDescent="0.2">
      <c r="S2957" s="1"/>
      <c r="T2957" s="109"/>
      <c r="W2957" s="130" t="str">
        <f t="shared" si="55"/>
        <v>1w</v>
      </c>
      <c r="X2957" s="128">
        <f>_xll.qlCalendarAdvance(Calendar,X2956,W2957,"f",FALSE)</f>
        <v>59995</v>
      </c>
      <c r="Y2957" s="131">
        <f>_xll.qlCalendarAdvance(Calendar,X2957,NDays&amp;"D")</f>
        <v>60001</v>
      </c>
      <c r="Z2957" s="132">
        <v>1.2843754629570908E-2</v>
      </c>
      <c r="AA2957" s="129">
        <v>1.2803334062070348E-2</v>
      </c>
    </row>
    <row r="2958" spans="19:27" x14ac:dyDescent="0.2">
      <c r="S2958" s="1"/>
      <c r="T2958" s="109"/>
      <c r="W2958" s="130" t="str">
        <f t="shared" si="55"/>
        <v>1w</v>
      </c>
      <c r="X2958" s="128">
        <f>_xll.qlCalendarAdvance(Calendar,X2957,W2958,"f",FALSE)</f>
        <v>60002</v>
      </c>
      <c r="Y2958" s="131">
        <f>_xll.qlCalendarAdvance(Calendar,X2958,NDays&amp;"D")</f>
        <v>60006</v>
      </c>
      <c r="Z2958" s="132">
        <v>1.2846022576967386E-2</v>
      </c>
      <c r="AA2958" s="129">
        <v>1.2805450057689072E-2</v>
      </c>
    </row>
    <row r="2959" spans="19:27" x14ac:dyDescent="0.2">
      <c r="S2959" s="1"/>
      <c r="T2959" s="109"/>
      <c r="W2959" s="130" t="str">
        <f t="shared" si="55"/>
        <v>1w</v>
      </c>
      <c r="X2959" s="128">
        <f>_xll.qlCalendarAdvance(Calendar,X2958,W2959,"f",FALSE)</f>
        <v>60009</v>
      </c>
      <c r="Y2959" s="131">
        <f>_xll.qlCalendarAdvance(Calendar,X2959,NDays&amp;"D")</f>
        <v>60013</v>
      </c>
      <c r="Z2959" s="132">
        <v>1.2849224801467897E-2</v>
      </c>
      <c r="AA2959" s="129">
        <v>1.280843946089405E-2</v>
      </c>
    </row>
    <row r="2960" spans="19:27" x14ac:dyDescent="0.2">
      <c r="S2960" s="1"/>
      <c r="T2960" s="109"/>
      <c r="W2960" s="130" t="str">
        <f t="shared" si="55"/>
        <v>1w</v>
      </c>
      <c r="X2960" s="128">
        <f>_xll.qlCalendarAdvance(Calendar,X2959,W2960,"f",FALSE)</f>
        <v>60016</v>
      </c>
      <c r="Y2960" s="131">
        <f>_xll.qlCalendarAdvance(Calendar,X2960,NDays&amp;"D")</f>
        <v>60020</v>
      </c>
      <c r="Z2960" s="132">
        <v>1.285245864053783E-2</v>
      </c>
      <c r="AA2960" s="129">
        <v>1.2811460374813066E-2</v>
      </c>
    </row>
    <row r="2961" spans="19:27" x14ac:dyDescent="0.2">
      <c r="S2961" s="1"/>
      <c r="T2961" s="109"/>
      <c r="W2961" s="130" t="str">
        <f t="shared" si="55"/>
        <v>1w</v>
      </c>
      <c r="X2961" s="128">
        <f>_xll.qlCalendarAdvance(Calendar,X2960,W2961,"f",FALSE)</f>
        <v>60024</v>
      </c>
      <c r="Y2961" s="131">
        <f>_xll.qlCalendarAdvance(Calendar,X2961,NDays&amp;"D")</f>
        <v>60028</v>
      </c>
      <c r="Z2961" s="132">
        <v>1.2856662187618873E-2</v>
      </c>
      <c r="AA2961" s="129">
        <v>1.2814951432416066E-2</v>
      </c>
    </row>
    <row r="2962" spans="19:27" x14ac:dyDescent="0.2">
      <c r="S2962" s="1"/>
      <c r="T2962" s="109"/>
      <c r="W2962" s="130" t="str">
        <f t="shared" si="55"/>
        <v>1w</v>
      </c>
      <c r="X2962" s="128">
        <f>_xll.qlCalendarAdvance(Calendar,X2961,W2962,"f",FALSE)</f>
        <v>60031</v>
      </c>
      <c r="Y2962" s="131">
        <f>_xll.qlCalendarAdvance(Calendar,X2962,NDays&amp;"D")</f>
        <v>60035</v>
      </c>
      <c r="Z2962" s="132">
        <v>1.2859966148475082E-2</v>
      </c>
      <c r="AA2962" s="129">
        <v>1.2818039869522124E-2</v>
      </c>
    </row>
    <row r="2963" spans="19:27" x14ac:dyDescent="0.2">
      <c r="S2963" s="1"/>
      <c r="T2963" s="109"/>
      <c r="W2963" s="130" t="str">
        <f t="shared" si="55"/>
        <v>1w</v>
      </c>
      <c r="X2963" s="128">
        <f>_xll.qlCalendarAdvance(Calendar,X2962,W2963,"f",FALSE)</f>
        <v>60038</v>
      </c>
      <c r="Y2963" s="131">
        <f>_xll.qlCalendarAdvance(Calendar,X2963,NDays&amp;"D")</f>
        <v>60042</v>
      </c>
      <c r="Z2963" s="132">
        <v>1.2863301725308952E-2</v>
      </c>
      <c r="AA2963" s="129">
        <v>1.2821159817182348E-2</v>
      </c>
    </row>
    <row r="2964" spans="19:27" x14ac:dyDescent="0.2">
      <c r="S2964" s="1"/>
      <c r="T2964" s="109"/>
      <c r="W2964" s="130" t="str">
        <f t="shared" si="55"/>
        <v>1w</v>
      </c>
      <c r="X2964" s="128">
        <f>_xll.qlCalendarAdvance(Calendar,X2963,W2964,"f",FALSE)</f>
        <v>60045</v>
      </c>
      <c r="Y2964" s="131">
        <f>_xll.qlCalendarAdvance(Calendar,X2964,NDays&amp;"D")</f>
        <v>60049</v>
      </c>
      <c r="Z2964" s="132">
        <v>1.2866668918203029E-2</v>
      </c>
      <c r="AA2964" s="129">
        <v>1.2824311275636546E-2</v>
      </c>
    </row>
    <row r="2965" spans="19:27" x14ac:dyDescent="0.2">
      <c r="S2965" s="1"/>
      <c r="T2965" s="109"/>
      <c r="W2965" s="130" t="str">
        <f t="shared" ref="W2965:W3028" si="56">W2964</f>
        <v>1w</v>
      </c>
      <c r="X2965" s="128">
        <f>_xll.qlCalendarAdvance(Calendar,X2964,W2965,"f",FALSE)</f>
        <v>60052</v>
      </c>
      <c r="Y2965" s="131">
        <f>_xll.qlCalendarAdvance(Calendar,X2965,NDays&amp;"D")</f>
        <v>60056</v>
      </c>
      <c r="Z2965" s="132">
        <v>1.2870067727239851E-2</v>
      </c>
      <c r="AA2965" s="129">
        <v>1.2827494245044591E-2</v>
      </c>
    </row>
    <row r="2966" spans="19:27" x14ac:dyDescent="0.2">
      <c r="S2966" s="1"/>
      <c r="T2966" s="109"/>
      <c r="W2966" s="130" t="str">
        <f t="shared" si="56"/>
        <v>1w</v>
      </c>
      <c r="X2966" s="128">
        <f>_xll.qlCalendarAdvance(Calendar,X2965,W2966,"f",FALSE)</f>
        <v>60059</v>
      </c>
      <c r="Y2966" s="131">
        <f>_xll.qlCalendarAdvance(Calendar,X2966,NDays&amp;"D")</f>
        <v>60063</v>
      </c>
      <c r="Z2966" s="132">
        <v>1.2873498152499357E-2</v>
      </c>
      <c r="AA2966" s="129">
        <v>1.2830708725086737E-2</v>
      </c>
    </row>
    <row r="2967" spans="19:27" x14ac:dyDescent="0.2">
      <c r="S2967" s="1"/>
      <c r="T2967" s="109"/>
      <c r="W2967" s="130" t="str">
        <f t="shared" si="56"/>
        <v>1w</v>
      </c>
      <c r="X2967" s="128">
        <f>_xll.qlCalendarAdvance(Calendar,X2966,W2967,"f",FALSE)</f>
        <v>60066</v>
      </c>
      <c r="Y2967" s="131">
        <f>_xll.qlCalendarAdvance(Calendar,X2967,NDays&amp;"D")</f>
        <v>60070</v>
      </c>
      <c r="Z2967" s="132">
        <v>1.2876960194065827E-2</v>
      </c>
      <c r="AA2967" s="129">
        <v>1.2833954715922857E-2</v>
      </c>
    </row>
    <row r="2968" spans="19:27" x14ac:dyDescent="0.2">
      <c r="S2968" s="1"/>
      <c r="T2968" s="109"/>
      <c r="W2968" s="130" t="str">
        <f t="shared" si="56"/>
        <v>1w</v>
      </c>
      <c r="X2968" s="128">
        <f>_xll.qlCalendarAdvance(Calendar,X2967,W2968,"f",FALSE)</f>
        <v>60073</v>
      </c>
      <c r="Y2968" s="131">
        <f>_xll.qlCalendarAdvance(Calendar,X2968,NDays&amp;"D")</f>
        <v>60077</v>
      </c>
      <c r="Z2968" s="132">
        <v>1.2880453852020935E-2</v>
      </c>
      <c r="AA2968" s="129">
        <v>1.283723221739308E-2</v>
      </c>
    </row>
    <row r="2969" spans="19:27" x14ac:dyDescent="0.2">
      <c r="S2969" s="1"/>
      <c r="T2969" s="109"/>
      <c r="W2969" s="130" t="str">
        <f t="shared" si="56"/>
        <v>1w</v>
      </c>
      <c r="X2969" s="128">
        <f>_xll.qlCalendarAdvance(Calendar,X2968,W2969,"f",FALSE)</f>
        <v>60080</v>
      </c>
      <c r="Y2969" s="131">
        <f>_xll.qlCalendarAdvance(Calendar,X2969,NDays&amp;"D")</f>
        <v>60084</v>
      </c>
      <c r="Z2969" s="132">
        <v>1.2883979126451566E-2</v>
      </c>
      <c r="AA2969" s="129">
        <v>1.2840541229897084E-2</v>
      </c>
    </row>
    <row r="2970" spans="19:27" x14ac:dyDescent="0.2">
      <c r="S2970" s="1"/>
      <c r="T2970" s="109"/>
      <c r="W2970" s="130" t="str">
        <f t="shared" si="56"/>
        <v>1w</v>
      </c>
      <c r="X2970" s="128">
        <f>_xll.qlCalendarAdvance(Calendar,X2969,W2970,"f",FALSE)</f>
        <v>60087</v>
      </c>
      <c r="Y2970" s="131">
        <f>_xll.qlCalendarAdvance(Calendar,X2970,NDays&amp;"D")</f>
        <v>60091</v>
      </c>
      <c r="Z2970" s="132">
        <v>1.2887536017441135E-2</v>
      </c>
      <c r="AA2970" s="129">
        <v>1.2843881753035191E-2</v>
      </c>
    </row>
    <row r="2971" spans="19:27" x14ac:dyDescent="0.2">
      <c r="S2971" s="1"/>
      <c r="T2971" s="109"/>
      <c r="W2971" s="130" t="str">
        <f t="shared" si="56"/>
        <v>1w</v>
      </c>
      <c r="X2971" s="128">
        <f>_xll.qlCalendarAdvance(Calendar,X2970,W2971,"f",FALSE)</f>
        <v>60094</v>
      </c>
      <c r="Y2971" s="131">
        <f>_xll.qlCalendarAdvance(Calendar,X2971,NDays&amp;"D")</f>
        <v>60098</v>
      </c>
      <c r="Z2971" s="132">
        <v>1.2891124525077395E-2</v>
      </c>
      <c r="AA2971" s="129">
        <v>1.2847253786967272E-2</v>
      </c>
    </row>
    <row r="2972" spans="19:27" x14ac:dyDescent="0.2">
      <c r="S2972" s="1"/>
      <c r="T2972" s="109"/>
      <c r="W2972" s="130" t="str">
        <f t="shared" si="56"/>
        <v>1w</v>
      </c>
      <c r="X2972" s="128">
        <f>_xll.qlCalendarAdvance(Calendar,X2971,W2972,"f",FALSE)</f>
        <v>60101</v>
      </c>
      <c r="Y2972" s="131">
        <f>_xll.qlCalendarAdvance(Calendar,X2972,NDays&amp;"D")</f>
        <v>60105</v>
      </c>
      <c r="Z2972" s="132">
        <v>1.2894744649444628E-2</v>
      </c>
      <c r="AA2972" s="129">
        <v>1.2850657331533455E-2</v>
      </c>
    </row>
    <row r="2973" spans="19:27" x14ac:dyDescent="0.2">
      <c r="S2973" s="1"/>
      <c r="T2973" s="109"/>
      <c r="W2973" s="130" t="str">
        <f t="shared" si="56"/>
        <v>1w</v>
      </c>
      <c r="X2973" s="128">
        <f>_xll.qlCalendarAdvance(Calendar,X2972,W2973,"f",FALSE)</f>
        <v>60108</v>
      </c>
      <c r="Y2973" s="131">
        <f>_xll.qlCalendarAdvance(Calendar,X2973,NDays&amp;"D")</f>
        <v>60112</v>
      </c>
      <c r="Z2973" s="132">
        <v>1.2898396390631459E-2</v>
      </c>
      <c r="AA2973" s="129">
        <v>1.285409238713342E-2</v>
      </c>
    </row>
    <row r="2974" spans="19:27" x14ac:dyDescent="0.2">
      <c r="S2974" s="1"/>
      <c r="T2974" s="109"/>
      <c r="W2974" s="130" t="str">
        <f t="shared" si="56"/>
        <v>1w</v>
      </c>
      <c r="X2974" s="128">
        <f>_xll.qlCalendarAdvance(Calendar,X2973,W2974,"f",FALSE)</f>
        <v>60115</v>
      </c>
      <c r="Y2974" s="131">
        <f>_xll.qlCalendarAdvance(Calendar,X2974,NDays&amp;"D")</f>
        <v>60119</v>
      </c>
      <c r="Z2974" s="132">
        <v>1.2902079748728248E-2</v>
      </c>
      <c r="AA2974" s="129">
        <v>1.2857558953367487E-2</v>
      </c>
    </row>
    <row r="2975" spans="19:27" x14ac:dyDescent="0.2">
      <c r="S2975" s="1"/>
      <c r="T2975" s="109"/>
      <c r="W2975" s="130" t="str">
        <f t="shared" si="56"/>
        <v>1w</v>
      </c>
      <c r="X2975" s="128">
        <f>_xll.qlCalendarAdvance(Calendar,X2974,W2975,"f",FALSE)</f>
        <v>60122</v>
      </c>
      <c r="Y2975" s="131">
        <f>_xll.qlCalendarAdvance(Calendar,X2975,NDays&amp;"D")</f>
        <v>60126</v>
      </c>
      <c r="Z2975" s="132">
        <v>1.2905794723819277E-2</v>
      </c>
      <c r="AA2975" s="129">
        <v>1.2861057030395528E-2</v>
      </c>
    </row>
    <row r="2976" spans="19:27" x14ac:dyDescent="0.2">
      <c r="S2976" s="1"/>
      <c r="T2976" s="109"/>
      <c r="W2976" s="130" t="str">
        <f t="shared" si="56"/>
        <v>1w</v>
      </c>
      <c r="X2976" s="128">
        <f>_xll.qlCalendarAdvance(Calendar,X2975,W2976,"f",FALSE)</f>
        <v>60129</v>
      </c>
      <c r="Y2976" s="131">
        <f>_xll.qlCalendarAdvance(Calendar,X2976,NDays&amp;"D")</f>
        <v>60133</v>
      </c>
      <c r="Z2976" s="132">
        <v>1.2909541315997516E-2</v>
      </c>
      <c r="AA2976" s="129">
        <v>1.2864586618137608E-2</v>
      </c>
    </row>
    <row r="2977" spans="19:27" x14ac:dyDescent="0.2">
      <c r="S2977" s="1"/>
      <c r="T2977" s="109"/>
      <c r="W2977" s="130" t="str">
        <f t="shared" si="56"/>
        <v>1w</v>
      </c>
      <c r="X2977" s="128">
        <f>_xll.qlCalendarAdvance(Calendar,X2976,W2977,"f",FALSE)</f>
        <v>60136</v>
      </c>
      <c r="Y2977" s="131">
        <f>_xll.qlCalendarAdvance(Calendar,X2977,NDays&amp;"D")</f>
        <v>60140</v>
      </c>
      <c r="Z2977" s="132">
        <v>1.2913319525353328E-2</v>
      </c>
      <c r="AA2977" s="129">
        <v>1.2868147716753597E-2</v>
      </c>
    </row>
    <row r="2978" spans="19:27" x14ac:dyDescent="0.2">
      <c r="S2978" s="1"/>
      <c r="T2978" s="109"/>
      <c r="W2978" s="130" t="str">
        <f t="shared" si="56"/>
        <v>1w</v>
      </c>
      <c r="X2978" s="128">
        <f>_xll.qlCalendarAdvance(Calendar,X2977,W2978,"f",FALSE)</f>
        <v>60143</v>
      </c>
      <c r="Y2978" s="131">
        <f>_xll.qlCalendarAdvance(Calendar,X2978,NDays&amp;"D")</f>
        <v>60147</v>
      </c>
      <c r="Z2978" s="132">
        <v>1.2916619781593773E-2</v>
      </c>
      <c r="AA2978" s="129">
        <v>1.2871740326083625E-2</v>
      </c>
    </row>
    <row r="2979" spans="19:27" x14ac:dyDescent="0.2">
      <c r="S2979" s="1"/>
      <c r="T2979" s="109"/>
      <c r="W2979" s="130" t="str">
        <f t="shared" si="56"/>
        <v>1w</v>
      </c>
      <c r="X2979" s="128">
        <f>_xll.qlCalendarAdvance(Calendar,X2978,W2979,"f",FALSE)</f>
        <v>60150</v>
      </c>
      <c r="Y2979" s="131">
        <f>_xll.qlCalendarAdvance(Calendar,X2979,NDays&amp;"D")</f>
        <v>60154</v>
      </c>
      <c r="Z2979" s="132">
        <v>1.2920458829644658E-2</v>
      </c>
      <c r="AA2979" s="129">
        <v>1.2875364446127691E-2</v>
      </c>
    </row>
    <row r="2980" spans="19:27" x14ac:dyDescent="0.2">
      <c r="S2980" s="1"/>
      <c r="T2980" s="109"/>
      <c r="W2980" s="130" t="str">
        <f t="shared" si="56"/>
        <v>1w</v>
      </c>
      <c r="X2980" s="128">
        <f>_xll.qlCalendarAdvance(Calendar,X2979,W2980,"f",FALSE)</f>
        <v>60157</v>
      </c>
      <c r="Y2980" s="131">
        <f>_xll.qlCalendarAdvance(Calendar,X2980,NDays&amp;"D")</f>
        <v>60161</v>
      </c>
      <c r="Z2980" s="132">
        <v>1.2924329493969978E-2</v>
      </c>
      <c r="AA2980" s="129">
        <v>1.2879020077125602E-2</v>
      </c>
    </row>
    <row r="2981" spans="19:27" x14ac:dyDescent="0.2">
      <c r="S2981" s="1"/>
      <c r="T2981" s="109"/>
      <c r="W2981" s="130" t="str">
        <f t="shared" si="56"/>
        <v>1w</v>
      </c>
      <c r="X2981" s="128">
        <f>_xll.qlCalendarAdvance(Calendar,X2980,W2981,"f",FALSE)</f>
        <v>60164</v>
      </c>
      <c r="Y2981" s="131">
        <f>_xll.qlCalendarAdvance(Calendar,X2981,NDays&amp;"D")</f>
        <v>60168</v>
      </c>
      <c r="Z2981" s="132">
        <v>1.292823177465933E-2</v>
      </c>
      <c r="AA2981" s="129">
        <v>1.2882707218837552E-2</v>
      </c>
    </row>
    <row r="2982" spans="19:27" x14ac:dyDescent="0.2">
      <c r="S2982" s="1"/>
      <c r="T2982" s="109"/>
      <c r="W2982" s="130" t="str">
        <f t="shared" si="56"/>
        <v>1w</v>
      </c>
      <c r="X2982" s="128">
        <f>_xll.qlCalendarAdvance(Calendar,X2981,W2982,"f",FALSE)</f>
        <v>60171</v>
      </c>
      <c r="Y2982" s="131">
        <f>_xll.qlCalendarAdvance(Calendar,X2982,NDays&amp;"D")</f>
        <v>60175</v>
      </c>
      <c r="Z2982" s="132">
        <v>1.2932684833009907E-2</v>
      </c>
      <c r="AA2982" s="129">
        <v>1.288642587126354E-2</v>
      </c>
    </row>
    <row r="2983" spans="19:27" x14ac:dyDescent="0.2">
      <c r="S2983" s="1"/>
      <c r="T2983" s="109"/>
      <c r="W2983" s="130" t="str">
        <f t="shared" si="56"/>
        <v>1w</v>
      </c>
      <c r="X2983" s="128">
        <f>_xll.qlCalendarAdvance(Calendar,X2982,W2983,"f",FALSE)</f>
        <v>60178</v>
      </c>
      <c r="Y2983" s="131">
        <f>_xll.qlCalendarAdvance(Calendar,X2983,NDays&amp;"D")</f>
        <v>60182</v>
      </c>
      <c r="Z2983" s="132">
        <v>1.2936652747370466E-2</v>
      </c>
      <c r="AA2983" s="129">
        <v>1.2890176034563439E-2</v>
      </c>
    </row>
    <row r="2984" spans="19:27" x14ac:dyDescent="0.2">
      <c r="S2984" s="1"/>
      <c r="T2984" s="109"/>
      <c r="W2984" s="130" t="str">
        <f t="shared" si="56"/>
        <v>1w</v>
      </c>
      <c r="X2984" s="128">
        <f>_xll.qlCalendarAdvance(Calendar,X2983,W2984,"f",FALSE)</f>
        <v>60185</v>
      </c>
      <c r="Y2984" s="131">
        <f>_xll.qlCalendarAdvance(Calendar,X2984,NDays&amp;"D")</f>
        <v>60189</v>
      </c>
      <c r="Z2984" s="132">
        <v>1.2940652279563725E-2</v>
      </c>
      <c r="AA2984" s="129">
        <v>1.2893957708577375E-2</v>
      </c>
    </row>
    <row r="2985" spans="19:27" x14ac:dyDescent="0.2">
      <c r="S2985" s="1"/>
      <c r="T2985" s="109"/>
      <c r="W2985" s="130" t="str">
        <f t="shared" si="56"/>
        <v>1w</v>
      </c>
      <c r="X2985" s="128">
        <f>_xll.qlCalendarAdvance(Calendar,X2984,W2985,"f",FALSE)</f>
        <v>60192</v>
      </c>
      <c r="Y2985" s="131">
        <f>_xll.qlCalendarAdvance(Calendar,X2985,NDays&amp;"D")</f>
        <v>60196</v>
      </c>
      <c r="Z2985" s="132">
        <v>1.2944683429686998E-2</v>
      </c>
      <c r="AA2985" s="129">
        <v>1.2897770893465221E-2</v>
      </c>
    </row>
    <row r="2986" spans="19:27" x14ac:dyDescent="0.2">
      <c r="S2986" s="1"/>
      <c r="T2986" s="109"/>
      <c r="W2986" s="130" t="str">
        <f t="shared" si="56"/>
        <v>1w</v>
      </c>
      <c r="X2986" s="128">
        <f>_xll.qlCalendarAdvance(Calendar,X2985,W2986,"f",FALSE)</f>
        <v>60199</v>
      </c>
      <c r="Y2986" s="131">
        <f>_xll.qlCalendarAdvance(Calendar,X2986,NDays&amp;"D")</f>
        <v>60203</v>
      </c>
      <c r="Z2986" s="132">
        <v>1.2948746197834121E-2</v>
      </c>
      <c r="AA2986" s="129">
        <v>1.290161558898717E-2</v>
      </c>
    </row>
    <row r="2987" spans="19:27" x14ac:dyDescent="0.2">
      <c r="S2987" s="1"/>
      <c r="T2987" s="109"/>
      <c r="W2987" s="130" t="str">
        <f t="shared" si="56"/>
        <v>1w</v>
      </c>
      <c r="X2987" s="128">
        <f>_xll.qlCalendarAdvance(Calendar,X2986,W2987,"f",FALSE)</f>
        <v>60206</v>
      </c>
      <c r="Y2987" s="131">
        <f>_xll.qlCalendarAdvance(Calendar,X2987,NDays&amp;"D")</f>
        <v>60210</v>
      </c>
      <c r="Z2987" s="132">
        <v>1.2952840584108491E-2</v>
      </c>
      <c r="AA2987" s="129">
        <v>1.29054917955429E-2</v>
      </c>
    </row>
    <row r="2988" spans="19:27" x14ac:dyDescent="0.2">
      <c r="S2988" s="1"/>
      <c r="T2988" s="109"/>
      <c r="W2988" s="130" t="str">
        <f t="shared" si="56"/>
        <v>1w</v>
      </c>
      <c r="X2988" s="128">
        <f>_xll.qlCalendarAdvance(Calendar,X2987,W2988,"f",FALSE)</f>
        <v>60213</v>
      </c>
      <c r="Y2988" s="131">
        <f>_xll.qlCalendarAdvance(Calendar,X2988,NDays&amp;"D")</f>
        <v>60217</v>
      </c>
      <c r="Z2988" s="132">
        <v>1.2956966588603947E-2</v>
      </c>
      <c r="AA2988" s="129">
        <v>1.2909399512732733E-2</v>
      </c>
    </row>
    <row r="2989" spans="19:27" x14ac:dyDescent="0.2">
      <c r="S2989" s="1"/>
      <c r="T2989" s="109"/>
      <c r="W2989" s="130" t="str">
        <f t="shared" si="56"/>
        <v>1w</v>
      </c>
      <c r="X2989" s="128">
        <f>_xll.qlCalendarAdvance(Calendar,X2988,W2989,"f",FALSE)</f>
        <v>60220</v>
      </c>
      <c r="Y2989" s="131">
        <f>_xll.qlCalendarAdvance(Calendar,X2989,NDays&amp;"D")</f>
        <v>60224</v>
      </c>
      <c r="Z2989" s="132">
        <v>1.2961124211423014E-2</v>
      </c>
      <c r="AA2989" s="129">
        <v>1.291333874071654E-2</v>
      </c>
    </row>
    <row r="2990" spans="19:27" x14ac:dyDescent="0.2">
      <c r="S2990" s="1"/>
      <c r="T2990" s="109"/>
      <c r="W2990" s="130" t="str">
        <f t="shared" si="56"/>
        <v>1w</v>
      </c>
      <c r="X2990" s="128">
        <f>_xll.qlCalendarAdvance(Calendar,X2989,W2990,"f",FALSE)</f>
        <v>60227</v>
      </c>
      <c r="Y2990" s="131">
        <f>_xll.qlCalendarAdvance(Calendar,X2990,NDays&amp;"D")</f>
        <v>60231</v>
      </c>
      <c r="Z2990" s="132">
        <v>1.2965313452664742E-2</v>
      </c>
      <c r="AA2990" s="129">
        <v>1.2917309479494321E-2</v>
      </c>
    </row>
    <row r="2991" spans="19:27" x14ac:dyDescent="0.2">
      <c r="S2991" s="1"/>
      <c r="T2991" s="109"/>
      <c r="W2991" s="130" t="str">
        <f t="shared" si="56"/>
        <v>1w</v>
      </c>
      <c r="X2991" s="128">
        <f>_xll.qlCalendarAdvance(Calendar,X2990,W2991,"f",FALSE)</f>
        <v>60234</v>
      </c>
      <c r="Y2991" s="131">
        <f>_xll.qlCalendarAdvance(Calendar,X2991,NDays&amp;"D")</f>
        <v>60238</v>
      </c>
      <c r="Z2991" s="132">
        <v>1.296845293538329E-2</v>
      </c>
      <c r="AA2991" s="129">
        <v>1.2921311729066076E-2</v>
      </c>
    </row>
    <row r="2992" spans="19:27" x14ac:dyDescent="0.2">
      <c r="S2992" s="1"/>
      <c r="T2992" s="109"/>
      <c r="W2992" s="130" t="str">
        <f t="shared" si="56"/>
        <v>1w</v>
      </c>
      <c r="X2992" s="128">
        <f>_xll.qlCalendarAdvance(Calendar,X2991,W2992,"f",FALSE)</f>
        <v>60241</v>
      </c>
      <c r="Y2992" s="131">
        <f>_xll.qlCalendarAdvance(Calendar,X2992,NDays&amp;"D")</f>
        <v>60245</v>
      </c>
      <c r="Z2992" s="132">
        <v>1.2972700591215691E-2</v>
      </c>
      <c r="AA2992" s="129">
        <v>1.2925345489431805E-2</v>
      </c>
    </row>
    <row r="2993" spans="19:27" x14ac:dyDescent="0.2">
      <c r="S2993" s="1"/>
      <c r="T2993" s="109"/>
      <c r="W2993" s="130" t="str">
        <f t="shared" si="56"/>
        <v>1w</v>
      </c>
      <c r="X2993" s="128">
        <f>_xll.qlCalendarAdvance(Calendar,X2992,W2993,"f",FALSE)</f>
        <v>60248</v>
      </c>
      <c r="Y2993" s="131">
        <f>_xll.qlCalendarAdvance(Calendar,X2993,NDays&amp;"D")</f>
        <v>60252</v>
      </c>
      <c r="Z2993" s="132">
        <v>1.2976979863387861E-2</v>
      </c>
      <c r="AA2993" s="129">
        <v>1.2929410760591509E-2</v>
      </c>
    </row>
    <row r="2994" spans="19:27" x14ac:dyDescent="0.2">
      <c r="S2994" s="1"/>
      <c r="T2994" s="109"/>
      <c r="W2994" s="130" t="str">
        <f t="shared" si="56"/>
        <v>1w</v>
      </c>
      <c r="X2994" s="128">
        <f>_xll.qlCalendarAdvance(Calendar,X2993,W2994,"f",FALSE)</f>
        <v>60255</v>
      </c>
      <c r="Y2994" s="131">
        <f>_xll.qlCalendarAdvance(Calendar,X2994,NDays&amp;"D")</f>
        <v>60259</v>
      </c>
      <c r="Z2994" s="132">
        <v>1.2981290751998387E-2</v>
      </c>
      <c r="AA2994" s="129">
        <v>1.2933507542545186E-2</v>
      </c>
    </row>
    <row r="2995" spans="19:27" x14ac:dyDescent="0.2">
      <c r="S2995" s="1"/>
      <c r="T2995" s="109"/>
      <c r="W2995" s="130" t="str">
        <f t="shared" si="56"/>
        <v>1w</v>
      </c>
      <c r="X2995" s="128">
        <f>_xll.qlCalendarAdvance(Calendar,X2994,W2995,"f",FALSE)</f>
        <v>60265</v>
      </c>
      <c r="Y2995" s="131">
        <f>_xll.qlCalendarAdvance(Calendar,X2995,NDays&amp;"D")</f>
        <v>60267</v>
      </c>
      <c r="Z2995" s="132">
        <v>1.2986256195978818E-2</v>
      </c>
      <c r="AA2995" s="129">
        <v>1.2938757157008318E-2</v>
      </c>
    </row>
    <row r="2996" spans="19:27" x14ac:dyDescent="0.2">
      <c r="S2996" s="1"/>
      <c r="T2996" s="109"/>
      <c r="W2996" s="130" t="str">
        <f t="shared" si="56"/>
        <v>1w</v>
      </c>
      <c r="X2996" s="128">
        <f>_xll.qlCalendarAdvance(Calendar,X2995,W2996,"f",FALSE)</f>
        <v>60272</v>
      </c>
      <c r="Y2996" s="131">
        <f>_xll.qlCalendarAdvance(Calendar,X2996,NDays&amp;"D")</f>
        <v>60274</v>
      </c>
      <c r="Z2996" s="132">
        <v>1.29906348344484E-2</v>
      </c>
      <c r="AA2996" s="129">
        <v>1.2942392468859865E-2</v>
      </c>
    </row>
    <row r="2997" spans="19:27" x14ac:dyDescent="0.2">
      <c r="S2997" s="1"/>
      <c r="T2997" s="109"/>
      <c r="W2997" s="130" t="str">
        <f t="shared" si="56"/>
        <v>1w</v>
      </c>
      <c r="X2997" s="128">
        <f>_xll.qlCalendarAdvance(Calendar,X2996,W2997,"f",FALSE)</f>
        <v>60279</v>
      </c>
      <c r="Y2997" s="131">
        <f>_xll.qlCalendarAdvance(Calendar,X2997,NDays&amp;"D")</f>
        <v>60281</v>
      </c>
      <c r="Z2997" s="132">
        <v>1.2995045089679635E-2</v>
      </c>
      <c r="AA2997" s="129">
        <v>1.2946588284794558E-2</v>
      </c>
    </row>
    <row r="2998" spans="19:27" x14ac:dyDescent="0.2">
      <c r="S2998" s="1"/>
      <c r="T2998" s="109"/>
      <c r="W2998" s="130" t="str">
        <f t="shared" si="56"/>
        <v>1w</v>
      </c>
      <c r="X2998" s="128">
        <f>_xll.qlCalendarAdvance(Calendar,X2997,W2998,"f",FALSE)</f>
        <v>60286</v>
      </c>
      <c r="Y2998" s="131">
        <f>_xll.qlCalendarAdvance(Calendar,X2998,NDays&amp;"D")</f>
        <v>60288</v>
      </c>
      <c r="Z2998" s="132">
        <v>1.2999486961778217E-2</v>
      </c>
      <c r="AA2998" s="129">
        <v>1.2950815611363353E-2</v>
      </c>
    </row>
    <row r="2999" spans="19:27" x14ac:dyDescent="0.2">
      <c r="S2999" s="1"/>
      <c r="T2999" s="109"/>
      <c r="W2999" s="130" t="str">
        <f t="shared" si="56"/>
        <v>1w</v>
      </c>
      <c r="X2999" s="128">
        <f>_xll.qlCalendarAdvance(Calendar,X2998,W2999,"f",FALSE)</f>
        <v>60293</v>
      </c>
      <c r="Y2999" s="131">
        <f>_xll.qlCalendarAdvance(Calendar,X2999,NDays&amp;"D")</f>
        <v>60295</v>
      </c>
      <c r="Z2999" s="132">
        <v>1.300396045084895E-2</v>
      </c>
      <c r="AA2999" s="129">
        <v>1.2955074448965931E-2</v>
      </c>
    </row>
    <row r="3000" spans="19:27" x14ac:dyDescent="0.2">
      <c r="S3000" s="1"/>
      <c r="T3000" s="109"/>
      <c r="W3000" s="130" t="str">
        <f t="shared" si="56"/>
        <v>1w</v>
      </c>
      <c r="X3000" s="128">
        <f>_xll.qlCalendarAdvance(Calendar,X2999,W3000,"f",FALSE)</f>
        <v>60300</v>
      </c>
      <c r="Y3000" s="131">
        <f>_xll.qlCalendarAdvance(Calendar,X3000,NDays&amp;"D")</f>
        <v>60302</v>
      </c>
      <c r="Z3000" s="132">
        <v>1.3007903144456011E-2</v>
      </c>
      <c r="AA3000" s="129">
        <v>1.295936479720261E-2</v>
      </c>
    </row>
    <row r="3001" spans="19:27" x14ac:dyDescent="0.2">
      <c r="S3001" s="1"/>
      <c r="T3001" s="109"/>
      <c r="W3001" s="130" t="str">
        <f t="shared" si="56"/>
        <v>1w</v>
      </c>
      <c r="X3001" s="128">
        <f>_xll.qlCalendarAdvance(Calendar,X3000,W3001,"f",FALSE)</f>
        <v>60307</v>
      </c>
      <c r="Y3001" s="131">
        <f>_xll.qlCalendarAdvance(Calendar,X3001,NDays&amp;"D")</f>
        <v>60309</v>
      </c>
      <c r="Z3001" s="132">
        <v>1.301243744580209E-2</v>
      </c>
      <c r="AA3001" s="129">
        <v>1.2963686656393136E-2</v>
      </c>
    </row>
    <row r="3002" spans="19:27" x14ac:dyDescent="0.2">
      <c r="S3002" s="1"/>
      <c r="T3002" s="109"/>
      <c r="W3002" s="130" t="str">
        <f t="shared" si="56"/>
        <v>1w</v>
      </c>
      <c r="X3002" s="128">
        <f>_xll.qlCalendarAdvance(Calendar,X3001,W3002,"f",FALSE)</f>
        <v>60314</v>
      </c>
      <c r="Y3002" s="131">
        <f>_xll.qlCalendarAdvance(Calendar,X3002,NDays&amp;"D")</f>
        <v>60316</v>
      </c>
      <c r="Z3002" s="132">
        <v>1.3017003363232301E-2</v>
      </c>
      <c r="AA3002" s="129">
        <v>1.2968040026217764E-2</v>
      </c>
    </row>
    <row r="3003" spans="19:27" x14ac:dyDescent="0.2">
      <c r="S3003" s="1"/>
      <c r="T3003" s="109"/>
      <c r="W3003" s="130" t="str">
        <f t="shared" si="56"/>
        <v>1w</v>
      </c>
      <c r="X3003" s="128">
        <f>_xll.qlCalendarAdvance(Calendar,X3002,W3003,"f",FALSE)</f>
        <v>60321</v>
      </c>
      <c r="Y3003" s="131">
        <f>_xll.qlCalendarAdvance(Calendar,X3003,NDays&amp;"D")</f>
        <v>60323</v>
      </c>
      <c r="Z3003" s="132">
        <v>1.3021600896855322E-2</v>
      </c>
      <c r="AA3003" s="129">
        <v>1.2972424906996238E-2</v>
      </c>
    </row>
    <row r="3004" spans="19:27" x14ac:dyDescent="0.2">
      <c r="S3004" s="1"/>
      <c r="T3004" s="109"/>
      <c r="W3004" s="130" t="str">
        <f t="shared" si="56"/>
        <v>1w</v>
      </c>
      <c r="X3004" s="128">
        <f>_xll.qlCalendarAdvance(Calendar,X3003,W3004,"f",FALSE)</f>
        <v>60328</v>
      </c>
      <c r="Y3004" s="131">
        <f>_xll.qlCalendarAdvance(Calendar,X3004,NDays&amp;"D")</f>
        <v>60330</v>
      </c>
      <c r="Z3004" s="132">
        <v>1.3027947105230905E-2</v>
      </c>
      <c r="AA3004" s="129">
        <v>1.297684129848875E-2</v>
      </c>
    </row>
    <row r="3005" spans="19:27" x14ac:dyDescent="0.2">
      <c r="S3005" s="1"/>
      <c r="T3005" s="109"/>
      <c r="W3005" s="130" t="str">
        <f t="shared" si="56"/>
        <v>1w</v>
      </c>
      <c r="X3005" s="128">
        <f>_xll.qlCalendarAdvance(Calendar,X3004,W3005,"f",FALSE)</f>
        <v>60335</v>
      </c>
      <c r="Y3005" s="131">
        <f>_xll.qlCalendarAdvance(Calendar,X3005,NDays&amp;"D")</f>
        <v>60337</v>
      </c>
      <c r="Z3005" s="132">
        <v>1.3032615152550031E-2</v>
      </c>
      <c r="AA3005" s="129">
        <v>1.2981289200855173E-2</v>
      </c>
    </row>
    <row r="3006" spans="19:27" x14ac:dyDescent="0.2">
      <c r="S3006" s="1"/>
      <c r="T3006" s="109"/>
      <c r="W3006" s="130" t="str">
        <f t="shared" si="56"/>
        <v>1w</v>
      </c>
      <c r="X3006" s="128">
        <f>_xll.qlCalendarAdvance(Calendar,X3005,W3006,"f",FALSE)</f>
        <v>60342</v>
      </c>
      <c r="Y3006" s="131">
        <f>_xll.qlCalendarAdvance(Calendar,X3006,NDays&amp;"D")</f>
        <v>60344</v>
      </c>
      <c r="Z3006" s="132">
        <v>1.3037314820018263E-2</v>
      </c>
      <c r="AA3006" s="129">
        <v>1.2985768613935633E-2</v>
      </c>
    </row>
    <row r="3007" spans="19:27" x14ac:dyDescent="0.2">
      <c r="S3007" s="1"/>
      <c r="T3007" s="109"/>
      <c r="W3007" s="130" t="str">
        <f t="shared" si="56"/>
        <v>1w</v>
      </c>
      <c r="X3007" s="128">
        <f>_xll.qlCalendarAdvance(Calendar,X3006,W3007,"f",FALSE)</f>
        <v>60349</v>
      </c>
      <c r="Y3007" s="131">
        <f>_xll.qlCalendarAdvance(Calendar,X3007,NDays&amp;"D")</f>
        <v>60351</v>
      </c>
      <c r="Z3007" s="132">
        <v>1.3042046107751162E-2</v>
      </c>
      <c r="AA3007" s="129">
        <v>1.299027953796994E-2</v>
      </c>
    </row>
    <row r="3008" spans="19:27" x14ac:dyDescent="0.2">
      <c r="S3008" s="1"/>
      <c r="T3008" s="109"/>
      <c r="W3008" s="130" t="str">
        <f t="shared" si="56"/>
        <v>1w</v>
      </c>
      <c r="X3008" s="128">
        <f>_xll.qlCalendarAdvance(Calendar,X3007,W3008,"f",FALSE)</f>
        <v>60357</v>
      </c>
      <c r="Y3008" s="131">
        <f>_xll.qlCalendarAdvance(Calendar,X3008,NDays&amp;"D")</f>
        <v>60359</v>
      </c>
      <c r="Z3008" s="132">
        <v>1.3046909351316714E-2</v>
      </c>
      <c r="AA3008" s="129">
        <v>1.2995473464298968E-2</v>
      </c>
    </row>
    <row r="3009" spans="19:27" x14ac:dyDescent="0.2">
      <c r="S3009" s="1"/>
      <c r="T3009" s="109"/>
      <c r="W3009" s="130" t="str">
        <f t="shared" si="56"/>
        <v>1w</v>
      </c>
      <c r="X3009" s="128">
        <f>_xll.qlCalendarAdvance(Calendar,X3008,W3009,"f",FALSE)</f>
        <v>60364</v>
      </c>
      <c r="Y3009" s="131">
        <f>_xll.qlCalendarAdvance(Calendar,X3009,NDays&amp;"D")</f>
        <v>60366</v>
      </c>
      <c r="Z3009" s="132">
        <v>1.3051705964940808E-2</v>
      </c>
      <c r="AA3009" s="129">
        <v>1.300005191144038E-2</v>
      </c>
    </row>
    <row r="3010" spans="19:27" x14ac:dyDescent="0.2">
      <c r="S3010" s="1"/>
      <c r="T3010" s="109"/>
      <c r="W3010" s="130" t="str">
        <f t="shared" si="56"/>
        <v>1w</v>
      </c>
      <c r="X3010" s="128">
        <f>_xll.qlCalendarAdvance(Calendar,X3009,W3010,"f",FALSE)</f>
        <v>60371</v>
      </c>
      <c r="Y3010" s="131">
        <f>_xll.qlCalendarAdvance(Calendar,X3010,NDays&amp;"D")</f>
        <v>60373</v>
      </c>
      <c r="Z3010" s="132">
        <v>1.3056534197973533E-2</v>
      </c>
      <c r="AA3010" s="129">
        <v>1.300466186929583E-2</v>
      </c>
    </row>
    <row r="3011" spans="19:27" x14ac:dyDescent="0.2">
      <c r="S3011" s="1"/>
      <c r="T3011" s="109"/>
      <c r="W3011" s="130" t="str">
        <f t="shared" si="56"/>
        <v>1w</v>
      </c>
      <c r="X3011" s="128">
        <f>_xll.qlCalendarAdvance(Calendar,X3010,W3011,"f",FALSE)</f>
        <v>60378</v>
      </c>
      <c r="Y3011" s="131">
        <f>_xll.qlCalendarAdvance(Calendar,X3011,NDays&amp;"D")</f>
        <v>60380</v>
      </c>
      <c r="Z3011" s="132">
        <v>1.3061394050529959E-2</v>
      </c>
      <c r="AA3011" s="129">
        <v>1.3009303338105127E-2</v>
      </c>
    </row>
    <row r="3012" spans="19:27" x14ac:dyDescent="0.2">
      <c r="S3012" s="1"/>
      <c r="T3012" s="109"/>
      <c r="W3012" s="130" t="str">
        <f t="shared" si="56"/>
        <v>1w</v>
      </c>
      <c r="X3012" s="128">
        <f>_xll.qlCalendarAdvance(Calendar,X3011,W3012,"f",FALSE)</f>
        <v>60385</v>
      </c>
      <c r="Y3012" s="131">
        <f>_xll.qlCalendarAdvance(Calendar,X3012,NDays&amp;"D")</f>
        <v>60387</v>
      </c>
      <c r="Z3012" s="132">
        <v>1.3066877920098391E-2</v>
      </c>
      <c r="AA3012" s="129">
        <v>1.3015687979640589E-2</v>
      </c>
    </row>
    <row r="3013" spans="19:27" x14ac:dyDescent="0.2">
      <c r="S3013" s="1"/>
      <c r="T3013" s="109"/>
      <c r="W3013" s="130" t="str">
        <f t="shared" si="56"/>
        <v>1w</v>
      </c>
      <c r="X3013" s="128">
        <f>_xll.qlCalendarAdvance(Calendar,X3012,W3013,"f",FALSE)</f>
        <v>60392</v>
      </c>
      <c r="Y3013" s="131">
        <f>_xll.qlCalendarAdvance(Calendar,X3013,NDays&amp;"D")</f>
        <v>60394</v>
      </c>
      <c r="Z3013" s="132">
        <v>1.3071803449131726E-2</v>
      </c>
      <c r="AA3013" s="129">
        <v>1.3018680808025707E-2</v>
      </c>
    </row>
    <row r="3014" spans="19:27" x14ac:dyDescent="0.2">
      <c r="S3014" s="1"/>
      <c r="T3014" s="109"/>
      <c r="W3014" s="130" t="str">
        <f t="shared" si="56"/>
        <v>1w</v>
      </c>
      <c r="X3014" s="128">
        <f>_xll.qlCalendarAdvance(Calendar,X3013,W3014,"f",FALSE)</f>
        <v>60399</v>
      </c>
      <c r="Y3014" s="131">
        <f>_xll.qlCalendarAdvance(Calendar,X3014,NDays&amp;"D")</f>
        <v>60401</v>
      </c>
      <c r="Z3014" s="132">
        <v>1.3076760599262107E-2</v>
      </c>
      <c r="AA3014" s="129">
        <v>1.3023416809216926E-2</v>
      </c>
    </row>
    <row r="3015" spans="19:27" x14ac:dyDescent="0.2">
      <c r="S3015" s="1"/>
      <c r="T3015" s="109"/>
      <c r="W3015" s="130" t="str">
        <f t="shared" si="56"/>
        <v>1w</v>
      </c>
      <c r="X3015" s="128">
        <f>_xll.qlCalendarAdvance(Calendar,X3014,W3015,"f",FALSE)</f>
        <v>60406</v>
      </c>
      <c r="Y3015" s="131">
        <f>_xll.qlCalendarAdvance(Calendar,X3015,NDays&amp;"D")</f>
        <v>60408</v>
      </c>
      <c r="Z3015" s="132">
        <v>1.3081749370608567E-2</v>
      </c>
      <c r="AA3015" s="129">
        <v>1.3028184321202119E-2</v>
      </c>
    </row>
    <row r="3016" spans="19:27" x14ac:dyDescent="0.2">
      <c r="S3016" s="1"/>
      <c r="T3016" s="109"/>
      <c r="W3016" s="130" t="str">
        <f t="shared" si="56"/>
        <v>1w</v>
      </c>
      <c r="X3016" s="128">
        <f>_xll.qlCalendarAdvance(Calendar,X3015,W3016,"f",FALSE)</f>
        <v>60413</v>
      </c>
      <c r="Y3016" s="131">
        <f>_xll.qlCalendarAdvance(Calendar,X3016,NDays&amp;"D")</f>
        <v>60415</v>
      </c>
      <c r="Z3016" s="132">
        <v>1.308676976329275E-2</v>
      </c>
      <c r="AA3016" s="129">
        <v>1.3032983344141158E-2</v>
      </c>
    </row>
    <row r="3017" spans="19:27" x14ac:dyDescent="0.2">
      <c r="S3017" s="1"/>
      <c r="T3017" s="109"/>
      <c r="W3017" s="130" t="str">
        <f t="shared" si="56"/>
        <v>1w</v>
      </c>
      <c r="X3017" s="128">
        <f>_xll.qlCalendarAdvance(Calendar,X3016,W3017,"f",FALSE)</f>
        <v>60420</v>
      </c>
      <c r="Y3017" s="131">
        <f>_xll.qlCalendarAdvance(Calendar,X3017,NDays&amp;"D")</f>
        <v>60422</v>
      </c>
      <c r="Z3017" s="132">
        <v>1.3091821777437165E-2</v>
      </c>
      <c r="AA3017" s="129">
        <v>1.3037813877794235E-2</v>
      </c>
    </row>
    <row r="3018" spans="19:27" x14ac:dyDescent="0.2">
      <c r="S3018" s="1"/>
      <c r="T3018" s="109"/>
      <c r="W3018" s="130" t="str">
        <f t="shared" si="56"/>
        <v>1w</v>
      </c>
      <c r="X3018" s="128">
        <f>_xll.qlCalendarAdvance(Calendar,X3017,W3018,"f",FALSE)</f>
        <v>60427</v>
      </c>
      <c r="Y3018" s="131">
        <f>_xll.qlCalendarAdvance(Calendar,X3018,NDays&amp;"D")</f>
        <v>60429</v>
      </c>
      <c r="Z3018" s="132">
        <v>1.3096905413159979E-2</v>
      </c>
      <c r="AA3018" s="129">
        <v>1.3042675922241287E-2</v>
      </c>
    </row>
    <row r="3019" spans="19:27" x14ac:dyDescent="0.2">
      <c r="S3019" s="1"/>
      <c r="T3019" s="109"/>
      <c r="W3019" s="130" t="str">
        <f t="shared" si="56"/>
        <v>1w</v>
      </c>
      <c r="X3019" s="128">
        <f>_xll.qlCalendarAdvance(Calendar,X3018,W3019,"f",FALSE)</f>
        <v>60434</v>
      </c>
      <c r="Y3019" s="131">
        <f>_xll.qlCalendarAdvance(Calendar,X3019,NDays&amp;"D")</f>
        <v>60436</v>
      </c>
      <c r="Z3019" s="132">
        <v>1.31020201406702E-2</v>
      </c>
      <c r="AA3019" s="129">
        <v>1.3047569477562249E-2</v>
      </c>
    </row>
    <row r="3020" spans="19:27" x14ac:dyDescent="0.2">
      <c r="S3020" s="1"/>
      <c r="T3020" s="109"/>
      <c r="W3020" s="130" t="str">
        <f t="shared" si="56"/>
        <v>1w</v>
      </c>
      <c r="X3020" s="128">
        <f>_xll.qlCalendarAdvance(Calendar,X3019,W3020,"f",FALSE)</f>
        <v>60441</v>
      </c>
      <c r="Y3020" s="131">
        <f>_xll.qlCalendarAdvance(Calendar,X3020,NDays&amp;"D")</f>
        <v>60443</v>
      </c>
      <c r="Z3020" s="132">
        <v>1.3107163310500224E-2</v>
      </c>
      <c r="AA3020" s="129">
        <v>1.305249454375712E-2</v>
      </c>
    </row>
    <row r="3021" spans="19:27" x14ac:dyDescent="0.2">
      <c r="S3021" s="1"/>
      <c r="T3021" s="109"/>
      <c r="W3021" s="130" t="str">
        <f t="shared" si="56"/>
        <v>1w</v>
      </c>
      <c r="X3021" s="128">
        <f>_xll.qlCalendarAdvance(Calendar,X3020,W3021,"f",FALSE)</f>
        <v>60448</v>
      </c>
      <c r="Y3021" s="131">
        <f>_xll.qlCalendarAdvance(Calendar,X3021,NDays&amp;"D")</f>
        <v>60450</v>
      </c>
      <c r="Z3021" s="132">
        <v>1.3112331743246355E-2</v>
      </c>
      <c r="AA3021" s="129">
        <v>1.305745112066603E-2</v>
      </c>
    </row>
    <row r="3022" spans="19:27" x14ac:dyDescent="0.2">
      <c r="S3022" s="1"/>
      <c r="T3022" s="109"/>
      <c r="W3022" s="130" t="str">
        <f t="shared" si="56"/>
        <v>1w</v>
      </c>
      <c r="X3022" s="128">
        <f>_xll.qlCalendarAdvance(Calendar,X3021,W3022,"f",FALSE)</f>
        <v>60455</v>
      </c>
      <c r="Y3022" s="131">
        <f>_xll.qlCalendarAdvance(Calendar,X3022,NDays&amp;"D")</f>
        <v>60457</v>
      </c>
      <c r="Z3022" s="132">
        <v>1.3117522259496209E-2</v>
      </c>
      <c r="AA3022" s="129">
        <v>1.3062439208528787E-2</v>
      </c>
    </row>
    <row r="3023" spans="19:27" x14ac:dyDescent="0.2">
      <c r="S3023" s="1"/>
      <c r="T3023" s="109"/>
      <c r="W3023" s="130" t="str">
        <f t="shared" si="56"/>
        <v>1w</v>
      </c>
      <c r="X3023" s="128">
        <f>_xll.qlCalendarAdvance(Calendar,X3022,W3023,"f",FALSE)</f>
        <v>60462</v>
      </c>
      <c r="Y3023" s="131">
        <f>_xll.qlCalendarAdvance(Calendar,X3023,NDays&amp;"D")</f>
        <v>60464</v>
      </c>
      <c r="Z3023" s="132">
        <v>1.3122731679815675E-2</v>
      </c>
      <c r="AA3023" s="129">
        <v>1.3067458807105581E-2</v>
      </c>
    </row>
    <row r="3024" spans="19:27" x14ac:dyDescent="0.2">
      <c r="S3024" s="1"/>
      <c r="T3024" s="109"/>
      <c r="W3024" s="130" t="str">
        <f t="shared" si="56"/>
        <v>1w</v>
      </c>
      <c r="X3024" s="128">
        <f>_xll.qlCalendarAdvance(Calendar,X3023,W3024,"f",FALSE)</f>
        <v>60469</v>
      </c>
      <c r="Y3024" s="131">
        <f>_xll.qlCalendarAdvance(Calendar,X3024,NDays&amp;"D")</f>
        <v>60471</v>
      </c>
      <c r="Z3024" s="132">
        <v>1.3127956824755876E-2</v>
      </c>
      <c r="AA3024" s="129">
        <v>1.3072509916716157E-2</v>
      </c>
    </row>
    <row r="3025" spans="19:27" x14ac:dyDescent="0.2">
      <c r="S3025" s="1"/>
      <c r="T3025" s="109"/>
      <c r="W3025" s="130" t="str">
        <f t="shared" si="56"/>
        <v>1w</v>
      </c>
      <c r="X3025" s="128">
        <f>_xll.qlCalendarAdvance(Calendar,X3024,W3025,"f",FALSE)</f>
        <v>60476</v>
      </c>
      <c r="Y3025" s="131">
        <f>_xll.qlCalendarAdvance(Calendar,X3025,NDays&amp;"D")</f>
        <v>60478</v>
      </c>
      <c r="Z3025" s="132">
        <v>1.3133194514849691E-2</v>
      </c>
      <c r="AA3025" s="129">
        <v>1.3077592536800964E-2</v>
      </c>
    </row>
    <row r="3026" spans="19:27" x14ac:dyDescent="0.2">
      <c r="S3026" s="1"/>
      <c r="T3026" s="109"/>
      <c r="W3026" s="130" t="str">
        <f t="shared" si="56"/>
        <v>1w</v>
      </c>
      <c r="X3026" s="128">
        <f>_xll.qlCalendarAdvance(Calendar,X3025,W3026,"f",FALSE)</f>
        <v>60483</v>
      </c>
      <c r="Y3026" s="131">
        <f>_xll.qlCalendarAdvance(Calendar,X3026,NDays&amp;"D")</f>
        <v>60485</v>
      </c>
      <c r="Z3026" s="132">
        <v>1.3138441570616959E-2</v>
      </c>
      <c r="AA3026" s="129">
        <v>1.3082706668079425E-2</v>
      </c>
    </row>
    <row r="3027" spans="19:27" x14ac:dyDescent="0.2">
      <c r="S3027" s="1"/>
      <c r="T3027" s="109"/>
      <c r="W3027" s="130" t="str">
        <f t="shared" si="56"/>
        <v>1w</v>
      </c>
      <c r="X3027" s="128">
        <f>_xll.qlCalendarAdvance(Calendar,X3026,W3027,"f",FALSE)</f>
        <v>60490</v>
      </c>
      <c r="Y3027" s="131">
        <f>_xll.qlCalendarAdvance(Calendar,X3027,NDays&amp;"D")</f>
        <v>60492</v>
      </c>
      <c r="Z3027" s="132">
        <v>1.314369481255667E-2</v>
      </c>
      <c r="AA3027" s="129">
        <v>1.3087852309991987E-2</v>
      </c>
    </row>
    <row r="3028" spans="19:27" x14ac:dyDescent="0.2">
      <c r="S3028" s="1"/>
      <c r="T3028" s="109"/>
      <c r="W3028" s="130" t="str">
        <f t="shared" si="56"/>
        <v>1w</v>
      </c>
      <c r="X3028" s="128">
        <f>_xll.qlCalendarAdvance(Calendar,X3027,W3028,"f",FALSE)</f>
        <v>60497</v>
      </c>
      <c r="Y3028" s="131">
        <f>_xll.qlCalendarAdvance(Calendar,X3028,NDays&amp;"D")</f>
        <v>60499</v>
      </c>
      <c r="Z3028" s="132">
        <v>1.3148951061152176E-2</v>
      </c>
      <c r="AA3028" s="129">
        <v>1.309302946277846E-2</v>
      </c>
    </row>
    <row r="3029" spans="19:27" x14ac:dyDescent="0.2">
      <c r="S3029" s="1"/>
      <c r="T3029" s="109"/>
      <c r="W3029" s="130" t="str">
        <f t="shared" ref="W3029:W3092" si="57">W3028</f>
        <v>1w</v>
      </c>
      <c r="X3029" s="128">
        <f>_xll.qlCalendarAdvance(Calendar,X3028,W3029,"f",FALSE)</f>
        <v>60504</v>
      </c>
      <c r="Y3029" s="131">
        <f>_xll.qlCalendarAdvance(Calendar,X3029,NDays&amp;"D")</f>
        <v>60506</v>
      </c>
      <c r="Z3029" s="132">
        <v>1.3154207136872056E-2</v>
      </c>
      <c r="AA3029" s="129">
        <v>1.3098238126438844E-2</v>
      </c>
    </row>
    <row r="3030" spans="19:27" x14ac:dyDescent="0.2">
      <c r="S3030" s="1"/>
      <c r="T3030" s="109"/>
      <c r="W3030" s="130" t="str">
        <f t="shared" si="57"/>
        <v>1w</v>
      </c>
      <c r="X3030" s="128">
        <f>_xll.qlCalendarAdvance(Calendar,X3029,W3030,"f",FALSE)</f>
        <v>60511</v>
      </c>
      <c r="Y3030" s="131">
        <f>_xll.qlCalendarAdvance(Calendar,X3030,NDays&amp;"D")</f>
        <v>60513</v>
      </c>
      <c r="Z3030" s="132">
        <v>1.3158846048436902E-2</v>
      </c>
      <c r="AA3030" s="129">
        <v>1.3103478301053073E-2</v>
      </c>
    </row>
    <row r="3031" spans="19:27" x14ac:dyDescent="0.2">
      <c r="S3031" s="1"/>
      <c r="T3031" s="109"/>
      <c r="W3031" s="130" t="str">
        <f t="shared" si="57"/>
        <v>1w</v>
      </c>
      <c r="X3031" s="128">
        <f>_xll.qlCalendarAdvance(Calendar,X3030,W3031,"f",FALSE)</f>
        <v>60518</v>
      </c>
      <c r="Y3031" s="131">
        <f>_xll.qlCalendarAdvance(Calendar,X3031,NDays&amp;"D")</f>
        <v>60520</v>
      </c>
      <c r="Z3031" s="132">
        <v>1.3164092765682183E-2</v>
      </c>
      <c r="AA3031" s="129">
        <v>1.3108749986221468E-2</v>
      </c>
    </row>
    <row r="3032" spans="19:27" x14ac:dyDescent="0.2">
      <c r="S3032" s="1"/>
      <c r="T3032" s="109"/>
      <c r="W3032" s="130" t="str">
        <f t="shared" si="57"/>
        <v>1w</v>
      </c>
      <c r="X3032" s="128">
        <f>_xll.qlCalendarAdvance(Calendar,X3031,W3032,"f",FALSE)</f>
        <v>60525</v>
      </c>
      <c r="Y3032" s="131">
        <f>_xll.qlCalendarAdvance(Calendar,X3032,NDays&amp;"D")</f>
        <v>60527</v>
      </c>
      <c r="Z3032" s="132">
        <v>1.3169330113991948E-2</v>
      </c>
      <c r="AA3032" s="129">
        <v>1.3114035190895379E-2</v>
      </c>
    </row>
    <row r="3033" spans="19:27" x14ac:dyDescent="0.2">
      <c r="S3033" s="1"/>
      <c r="T3033" s="109"/>
      <c r="W3033" s="130" t="str">
        <f t="shared" si="57"/>
        <v>1w</v>
      </c>
      <c r="X3033" s="128">
        <f>_xll.qlCalendarAdvance(Calendar,X3032,W3033,"f",FALSE)</f>
        <v>60532</v>
      </c>
      <c r="Y3033" s="131">
        <f>_xll.qlCalendarAdvance(Calendar,X3033,NDays&amp;"D")</f>
        <v>60534</v>
      </c>
      <c r="Z3033" s="132">
        <v>1.3174557298319529E-2</v>
      </c>
      <c r="AA3033" s="129">
        <v>1.3119310398206352E-2</v>
      </c>
    </row>
    <row r="3034" spans="19:27" x14ac:dyDescent="0.2">
      <c r="S3034" s="1"/>
      <c r="T3034" s="109"/>
      <c r="W3034" s="130" t="str">
        <f t="shared" si="57"/>
        <v>1w</v>
      </c>
      <c r="X3034" s="128">
        <f>_xll.qlCalendarAdvance(Calendar,X3033,W3034,"f",FALSE)</f>
        <v>60539</v>
      </c>
      <c r="Y3034" s="131">
        <f>_xll.qlCalendarAdvance(Calendar,X3034,NDays&amp;"D")</f>
        <v>60541</v>
      </c>
      <c r="Z3034" s="132">
        <v>1.3182220820708062E-2</v>
      </c>
      <c r="AA3034" s="129">
        <v>1.3124575466427757E-2</v>
      </c>
    </row>
    <row r="3035" spans="19:27" x14ac:dyDescent="0.2">
      <c r="S3035" s="1"/>
      <c r="T3035" s="109"/>
      <c r="W3035" s="130" t="str">
        <f t="shared" si="57"/>
        <v>1w</v>
      </c>
      <c r="X3035" s="128">
        <f>_xll.qlCalendarAdvance(Calendar,X3034,W3035,"f",FALSE)</f>
        <v>60546</v>
      </c>
      <c r="Y3035" s="131">
        <f>_xll.qlCalendarAdvance(Calendar,X3035,NDays&amp;"D")</f>
        <v>60548</v>
      </c>
      <c r="Z3035" s="132">
        <v>1.3185592314608766E-2</v>
      </c>
      <c r="AA3035" s="129">
        <v>1.3129830395719466E-2</v>
      </c>
    </row>
    <row r="3036" spans="19:27" x14ac:dyDescent="0.2">
      <c r="S3036" s="1"/>
      <c r="T3036" s="109"/>
      <c r="W3036" s="130" t="str">
        <f t="shared" si="57"/>
        <v>1w</v>
      </c>
      <c r="X3036" s="128">
        <f>_xll.qlCalendarAdvance(Calendar,X3035,W3036,"f",FALSE)</f>
        <v>60553</v>
      </c>
      <c r="Y3036" s="131">
        <f>_xll.qlCalendarAdvance(Calendar,X3036,NDays&amp;"D")</f>
        <v>60555</v>
      </c>
      <c r="Z3036" s="132">
        <v>1.3190788465977946E-2</v>
      </c>
      <c r="AA3036" s="129">
        <v>1.313507518608148E-2</v>
      </c>
    </row>
    <row r="3037" spans="19:27" x14ac:dyDescent="0.2">
      <c r="S3037" s="1"/>
      <c r="T3037" s="109"/>
      <c r="W3037" s="130" t="str">
        <f t="shared" si="57"/>
        <v>1w</v>
      </c>
      <c r="X3037" s="128">
        <f>_xll.qlCalendarAdvance(Calendar,X3036,W3037,"f",FALSE)</f>
        <v>60560</v>
      </c>
      <c r="Y3037" s="131">
        <f>_xll.qlCalendarAdvance(Calendar,X3037,NDays&amp;"D")</f>
        <v>60562</v>
      </c>
      <c r="Z3037" s="132">
        <v>1.3195974451342565E-2</v>
      </c>
      <c r="AA3037" s="129">
        <v>1.3140309837353925E-2</v>
      </c>
    </row>
    <row r="3038" spans="19:27" x14ac:dyDescent="0.2">
      <c r="S3038" s="1"/>
      <c r="T3038" s="109"/>
      <c r="W3038" s="130" t="str">
        <f t="shared" si="57"/>
        <v>1w</v>
      </c>
      <c r="X3038" s="128">
        <f>_xll.qlCalendarAdvance(Calendar,X3037,W3038,"f",FALSE)</f>
        <v>60567</v>
      </c>
      <c r="Y3038" s="131">
        <f>_xll.qlCalendarAdvance(Calendar,X3038,NDays&amp;"D")</f>
        <v>60569</v>
      </c>
      <c r="Z3038" s="132">
        <v>1.3201150270665265E-2</v>
      </c>
      <c r="AA3038" s="129">
        <v>1.3145534349776611E-2</v>
      </c>
    </row>
    <row r="3039" spans="19:27" x14ac:dyDescent="0.2">
      <c r="S3039" s="1"/>
      <c r="T3039" s="109"/>
      <c r="W3039" s="130" t="str">
        <f t="shared" si="57"/>
        <v>1w</v>
      </c>
      <c r="X3039" s="128">
        <f>_xll.qlCalendarAdvance(Calendar,X3038,W3039,"f",FALSE)</f>
        <v>60574</v>
      </c>
      <c r="Y3039" s="131">
        <f>_xll.qlCalendarAdvance(Calendar,X3039,NDays&amp;"D")</f>
        <v>60576</v>
      </c>
      <c r="Z3039" s="132">
        <v>1.3206315923903467E-2</v>
      </c>
      <c r="AA3039" s="129">
        <v>1.3150748723109729E-2</v>
      </c>
    </row>
    <row r="3040" spans="19:27" x14ac:dyDescent="0.2">
      <c r="S3040" s="1"/>
      <c r="T3040" s="109"/>
      <c r="W3040" s="130" t="str">
        <f t="shared" si="57"/>
        <v>1w</v>
      </c>
      <c r="X3040" s="128">
        <f>_xll.qlCalendarAdvance(Calendar,X3039,W3040,"f",FALSE)</f>
        <v>60581</v>
      </c>
      <c r="Y3040" s="131">
        <f>_xll.qlCalendarAdvance(Calendar,X3040,NDays&amp;"D")</f>
        <v>60583</v>
      </c>
      <c r="Z3040" s="132">
        <v>1.3211471411018074E-2</v>
      </c>
      <c r="AA3040" s="129">
        <v>1.3155952957513151E-2</v>
      </c>
    </row>
    <row r="3041" spans="19:27" x14ac:dyDescent="0.2">
      <c r="S3041" s="1"/>
      <c r="T3041" s="109"/>
      <c r="W3041" s="130" t="str">
        <f t="shared" si="57"/>
        <v>1w</v>
      </c>
      <c r="X3041" s="128">
        <f>_xll.qlCalendarAdvance(Calendar,X3040,W3041,"f",FALSE)</f>
        <v>60588</v>
      </c>
      <c r="Y3041" s="131">
        <f>_xll.qlCalendarAdvance(Calendar,X3041,NDays&amp;"D")</f>
        <v>60590</v>
      </c>
      <c r="Z3041" s="132">
        <v>1.3216616731969989E-2</v>
      </c>
      <c r="AA3041" s="129">
        <v>1.3161147052906941E-2</v>
      </c>
    </row>
    <row r="3042" spans="19:27" x14ac:dyDescent="0.2">
      <c r="S3042" s="1"/>
      <c r="T3042" s="109"/>
      <c r="W3042" s="130" t="str">
        <f t="shared" si="57"/>
        <v>1w</v>
      </c>
      <c r="X3042" s="128">
        <f>_xll.qlCalendarAdvance(Calendar,X3041,W3042,"f",FALSE)</f>
        <v>60595</v>
      </c>
      <c r="Y3042" s="131">
        <f>_xll.qlCalendarAdvance(Calendar,X3042,NDays&amp;"D")</f>
        <v>60597</v>
      </c>
      <c r="Z3042" s="132">
        <v>1.3221751886718371E-2</v>
      </c>
      <c r="AA3042" s="129">
        <v>1.3166331009450971E-2</v>
      </c>
    </row>
    <row r="3043" spans="19:27" x14ac:dyDescent="0.2">
      <c r="S3043" s="1"/>
      <c r="T3043" s="109"/>
      <c r="W3043" s="130" t="str">
        <f t="shared" si="57"/>
        <v>1w</v>
      </c>
      <c r="X3043" s="128">
        <f>_xll.qlCalendarAdvance(Calendar,X3042,W3043,"f",FALSE)</f>
        <v>60602</v>
      </c>
      <c r="Y3043" s="131">
        <f>_xll.qlCalendarAdvance(Calendar,X3043,NDays&amp;"D")</f>
        <v>60604</v>
      </c>
      <c r="Z3043" s="132">
        <v>1.3225663144167399E-2</v>
      </c>
      <c r="AA3043" s="129">
        <v>1.3171504826825498E-2</v>
      </c>
    </row>
    <row r="3044" spans="19:27" x14ac:dyDescent="0.2">
      <c r="S3044" s="1"/>
      <c r="T3044" s="109"/>
      <c r="W3044" s="130" t="str">
        <f t="shared" si="57"/>
        <v>1w</v>
      </c>
      <c r="X3044" s="128">
        <f>_xll.qlCalendarAdvance(Calendar,X3043,W3044,"f",FALSE)</f>
        <v>60609</v>
      </c>
      <c r="Y3044" s="131">
        <f>_xll.qlCalendarAdvance(Calendar,X3044,NDays&amp;"D")</f>
        <v>60611</v>
      </c>
      <c r="Z3044" s="132">
        <v>1.3230779043359675E-2</v>
      </c>
      <c r="AA3044" s="129">
        <v>1.3176668505270328E-2</v>
      </c>
    </row>
    <row r="3045" spans="19:27" x14ac:dyDescent="0.2">
      <c r="S3045" s="1"/>
      <c r="T3045" s="109"/>
      <c r="W3045" s="130" t="str">
        <f t="shared" si="57"/>
        <v>1w</v>
      </c>
      <c r="X3045" s="128">
        <f>_xll.qlCalendarAdvance(Calendar,X3044,W3045,"f",FALSE)</f>
        <v>60616</v>
      </c>
      <c r="Y3045" s="131">
        <f>_xll.qlCalendarAdvance(Calendar,X3045,NDays&amp;"D")</f>
        <v>60618</v>
      </c>
      <c r="Z3045" s="132">
        <v>1.3235884776834794E-2</v>
      </c>
      <c r="AA3045" s="129">
        <v>1.3181822044625591E-2</v>
      </c>
    </row>
    <row r="3046" spans="19:27" x14ac:dyDescent="0.2">
      <c r="S3046" s="1"/>
      <c r="T3046" s="109"/>
      <c r="W3046" s="130" t="str">
        <f t="shared" si="57"/>
        <v>1w</v>
      </c>
      <c r="X3046" s="128">
        <f>_xll.qlCalendarAdvance(Calendar,X3045,W3046,"f",FALSE)</f>
        <v>60623</v>
      </c>
      <c r="Y3046" s="131">
        <f>_xll.qlCalendarAdvance(Calendar,X3046,NDays&amp;"D")</f>
        <v>60625</v>
      </c>
      <c r="Z3046" s="132">
        <v>1.3240980344555453E-2</v>
      </c>
      <c r="AA3046" s="129">
        <v>1.3188790859550714E-2</v>
      </c>
    </row>
    <row r="3047" spans="19:27" x14ac:dyDescent="0.2">
      <c r="S3047" s="1"/>
      <c r="T3047" s="109"/>
      <c r="W3047" s="130" t="str">
        <f t="shared" si="57"/>
        <v>1w</v>
      </c>
      <c r="X3047" s="128">
        <f>_xll.qlCalendarAdvance(Calendar,X3046,W3047,"f",FALSE)</f>
        <v>60630</v>
      </c>
      <c r="Y3047" s="131">
        <f>_xll.qlCalendarAdvance(Calendar,X3047,NDays&amp;"D")</f>
        <v>60632</v>
      </c>
      <c r="Z3047" s="132">
        <v>1.3246065746482572E-2</v>
      </c>
      <c r="AA3047" s="129">
        <v>1.3193922512413359E-2</v>
      </c>
    </row>
    <row r="3048" spans="19:27" x14ac:dyDescent="0.2">
      <c r="S3048" s="1"/>
      <c r="T3048" s="109"/>
      <c r="W3048" s="130" t="str">
        <f t="shared" si="57"/>
        <v>1w</v>
      </c>
      <c r="X3048" s="128">
        <f>_xll.qlCalendarAdvance(Calendar,X3047,W3048,"f",FALSE)</f>
        <v>60637</v>
      </c>
      <c r="Y3048" s="131">
        <f>_xll.qlCalendarAdvance(Calendar,X3048,NDays&amp;"D")</f>
        <v>60639</v>
      </c>
      <c r="Z3048" s="132">
        <v>1.3251140982577958E-2</v>
      </c>
      <c r="AA3048" s="129">
        <v>1.319722182919314E-2</v>
      </c>
    </row>
    <row r="3049" spans="19:27" x14ac:dyDescent="0.2">
      <c r="S3049" s="1"/>
      <c r="T3049" s="109"/>
      <c r="W3049" s="130" t="str">
        <f t="shared" si="57"/>
        <v>1w</v>
      </c>
      <c r="X3049" s="128">
        <f>_xll.qlCalendarAdvance(Calendar,X3048,W3049,"f",FALSE)</f>
        <v>60644</v>
      </c>
      <c r="Y3049" s="131">
        <f>_xll.qlCalendarAdvance(Calendar,X3049,NDays&amp;"D")</f>
        <v>60646</v>
      </c>
      <c r="Z3049" s="132">
        <v>1.3256206052801645E-2</v>
      </c>
      <c r="AA3049" s="129">
        <v>1.3202334812669747E-2</v>
      </c>
    </row>
    <row r="3050" spans="19:27" x14ac:dyDescent="0.2">
      <c r="S3050" s="1"/>
      <c r="T3050" s="109"/>
      <c r="W3050" s="130" t="str">
        <f t="shared" si="57"/>
        <v>1w</v>
      </c>
      <c r="X3050" s="128">
        <f>_xll.qlCalendarAdvance(Calendar,X3049,W3050,"f",FALSE)</f>
        <v>60651</v>
      </c>
      <c r="Y3050" s="131">
        <f>_xll.qlCalendarAdvance(Calendar,X3050,NDays&amp;"D")</f>
        <v>60653</v>
      </c>
      <c r="Z3050" s="132">
        <v>1.3261260957115439E-2</v>
      </c>
      <c r="AA3050" s="129">
        <v>1.3207437657136722E-2</v>
      </c>
    </row>
    <row r="3051" spans="19:27" x14ac:dyDescent="0.2">
      <c r="S3051" s="1"/>
      <c r="T3051" s="109"/>
      <c r="W3051" s="130" t="str">
        <f t="shared" si="57"/>
        <v>1w</v>
      </c>
      <c r="X3051" s="128">
        <f>_xll.qlCalendarAdvance(Calendar,X3050,W3051,"f",FALSE)</f>
        <v>60658</v>
      </c>
      <c r="Y3051" s="131">
        <f>_xll.qlCalendarAdvance(Calendar,X3051,NDays&amp;"D")</f>
        <v>60660</v>
      </c>
      <c r="Z3051" s="132">
        <v>1.3266305695481151E-2</v>
      </c>
      <c r="AA3051" s="129">
        <v>1.3212530362594066E-2</v>
      </c>
    </row>
    <row r="3052" spans="19:27" x14ac:dyDescent="0.2">
      <c r="S3052" s="1"/>
      <c r="T3052" s="109"/>
      <c r="W3052" s="130" t="str">
        <f t="shared" si="57"/>
        <v>1w</v>
      </c>
      <c r="X3052" s="128">
        <f>_xll.qlCalendarAdvance(Calendar,X3051,W3052,"f",FALSE)</f>
        <v>60665</v>
      </c>
      <c r="Y3052" s="131">
        <f>_xll.qlCalendarAdvance(Calendar,X3052,NDays&amp;"D")</f>
        <v>60667</v>
      </c>
      <c r="Z3052" s="132">
        <v>1.3270738204402633E-2</v>
      </c>
      <c r="AA3052" s="129">
        <v>1.321761292920165E-2</v>
      </c>
    </row>
    <row r="3053" spans="19:27" x14ac:dyDescent="0.2">
      <c r="S3053" s="1"/>
      <c r="T3053" s="109"/>
      <c r="W3053" s="130" t="str">
        <f t="shared" si="57"/>
        <v>1w</v>
      </c>
      <c r="X3053" s="128">
        <f>_xll.qlCalendarAdvance(Calendar,X3052,W3053,"f",FALSE)</f>
        <v>60672</v>
      </c>
      <c r="Y3053" s="131">
        <f>_xll.qlCalendarAdvance(Calendar,X3053,NDays&amp;"D")</f>
        <v>60674</v>
      </c>
      <c r="Z3053" s="132">
        <v>1.3275763151936659E-2</v>
      </c>
      <c r="AA3053" s="129">
        <v>1.3222685356879538E-2</v>
      </c>
    </row>
    <row r="3054" spans="19:27" x14ac:dyDescent="0.2">
      <c r="S3054" s="1"/>
      <c r="T3054" s="109"/>
      <c r="W3054" s="130" t="str">
        <f t="shared" si="57"/>
        <v>1w</v>
      </c>
      <c r="X3054" s="128">
        <f>_xll.qlCalendarAdvance(Calendar,X3053,W3054,"f",FALSE)</f>
        <v>60679</v>
      </c>
      <c r="Y3054" s="131">
        <f>_xll.qlCalendarAdvance(Calendar,X3054,NDays&amp;"D")</f>
        <v>60681</v>
      </c>
      <c r="Z3054" s="132">
        <v>1.328077793371301E-2</v>
      </c>
      <c r="AA3054" s="129">
        <v>1.3227747645387922E-2</v>
      </c>
    </row>
    <row r="3055" spans="19:27" x14ac:dyDescent="0.2">
      <c r="S3055" s="1"/>
      <c r="T3055" s="109"/>
      <c r="W3055" s="130" t="str">
        <f t="shared" si="57"/>
        <v>1w</v>
      </c>
      <c r="X3055" s="128">
        <f>_xll.qlCalendarAdvance(Calendar,X3054,W3055,"f",FALSE)</f>
        <v>60686</v>
      </c>
      <c r="Y3055" s="131">
        <f>_xll.qlCalendarAdvance(Calendar,X3055,NDays&amp;"D")</f>
        <v>60688</v>
      </c>
      <c r="Z3055" s="132">
        <v>1.3285782549696661E-2</v>
      </c>
      <c r="AA3055" s="129">
        <v>1.323279979496661E-2</v>
      </c>
    </row>
    <row r="3056" spans="19:27" x14ac:dyDescent="0.2">
      <c r="S3056" s="1"/>
      <c r="T3056" s="109"/>
      <c r="W3056" s="130" t="str">
        <f t="shared" si="57"/>
        <v>1w</v>
      </c>
      <c r="X3056" s="128">
        <f>_xll.qlCalendarAdvance(Calendar,X3055,W3056,"f",FALSE)</f>
        <v>60693</v>
      </c>
      <c r="Y3056" s="131">
        <f>_xll.qlCalendarAdvance(Calendar,X3056,NDays&amp;"D")</f>
        <v>60695</v>
      </c>
      <c r="Z3056" s="132">
        <v>1.3292576579591429E-2</v>
      </c>
      <c r="AA3056" s="129">
        <v>1.3237841805535666E-2</v>
      </c>
    </row>
    <row r="3057" spans="19:27" x14ac:dyDescent="0.2">
      <c r="S3057" s="1"/>
      <c r="T3057" s="109"/>
      <c r="W3057" s="130" t="str">
        <f t="shared" si="57"/>
        <v>1w</v>
      </c>
      <c r="X3057" s="128">
        <f>_xll.qlCalendarAdvance(Calendar,X3056,W3057,"f",FALSE)</f>
        <v>60700</v>
      </c>
      <c r="Y3057" s="131">
        <f>_xll.qlCalendarAdvance(Calendar,X3057,NDays&amp;"D")</f>
        <v>60702</v>
      </c>
      <c r="Z3057" s="132">
        <v>1.3297559236539337E-2</v>
      </c>
      <c r="AA3057" s="129">
        <v>1.3242873677095091E-2</v>
      </c>
    </row>
    <row r="3058" spans="19:27" x14ac:dyDescent="0.2">
      <c r="S3058" s="1"/>
      <c r="T3058" s="109"/>
      <c r="W3058" s="130" t="str">
        <f t="shared" si="57"/>
        <v>1w</v>
      </c>
      <c r="X3058" s="128">
        <f>_xll.qlCalendarAdvance(Calendar,X3057,W3058,"f",FALSE)</f>
        <v>60707</v>
      </c>
      <c r="Y3058" s="131">
        <f>_xll.qlCalendarAdvance(Calendar,X3058,NDays&amp;"D")</f>
        <v>60709</v>
      </c>
      <c r="Z3058" s="132">
        <v>1.3302531726653783E-2</v>
      </c>
      <c r="AA3058" s="129">
        <v>1.3247895409724819E-2</v>
      </c>
    </row>
    <row r="3059" spans="19:27" x14ac:dyDescent="0.2">
      <c r="S3059" s="1"/>
      <c r="T3059" s="109"/>
      <c r="W3059" s="130" t="str">
        <f t="shared" si="57"/>
        <v>1w</v>
      </c>
      <c r="X3059" s="128">
        <f>_xll.qlCalendarAdvance(Calendar,X3058,W3059,"f",FALSE)</f>
        <v>60714</v>
      </c>
      <c r="Y3059" s="131">
        <f>_xll.qlCalendarAdvance(Calendar,X3059,NDays&amp;"D")</f>
        <v>60716</v>
      </c>
      <c r="Z3059" s="132">
        <v>1.3307494049898274E-2</v>
      </c>
      <c r="AA3059" s="129">
        <v>1.3252907003344916E-2</v>
      </c>
    </row>
    <row r="3060" spans="19:27" x14ac:dyDescent="0.2">
      <c r="S3060" s="1"/>
      <c r="T3060" s="109"/>
      <c r="W3060" s="130" t="str">
        <f t="shared" si="57"/>
        <v>1w</v>
      </c>
      <c r="X3060" s="128">
        <f>_xll.qlCalendarAdvance(Calendar,X3059,W3060,"f",FALSE)</f>
        <v>60721</v>
      </c>
      <c r="Y3060" s="131">
        <f>_xll.qlCalendarAdvance(Calendar,X3060,NDays&amp;"D")</f>
        <v>60723</v>
      </c>
      <c r="Z3060" s="132">
        <v>1.3311848555098546E-2</v>
      </c>
      <c r="AA3060" s="129">
        <v>1.3257908457955381E-2</v>
      </c>
    </row>
    <row r="3061" spans="19:27" x14ac:dyDescent="0.2">
      <c r="S3061" s="1"/>
      <c r="T3061" s="109"/>
      <c r="W3061" s="130" t="str">
        <f t="shared" si="57"/>
        <v>1w</v>
      </c>
      <c r="X3061" s="128">
        <f>_xll.qlCalendarAdvance(Calendar,X3060,W3061,"f",FALSE)</f>
        <v>60728</v>
      </c>
      <c r="Y3061" s="131">
        <f>_xll.qlCalendarAdvance(Calendar,X3061,NDays&amp;"D")</f>
        <v>60730</v>
      </c>
      <c r="Z3061" s="132">
        <v>1.3316791088205731E-2</v>
      </c>
      <c r="AA3061" s="129">
        <v>1.3265301287743725E-2</v>
      </c>
    </row>
    <row r="3062" spans="19:27" x14ac:dyDescent="0.2">
      <c r="S3062" s="1"/>
      <c r="T3062" s="109"/>
      <c r="W3062" s="130" t="str">
        <f t="shared" si="57"/>
        <v>1w</v>
      </c>
      <c r="X3062" s="128">
        <f>_xll.qlCalendarAdvance(Calendar,X3061,W3062,"f",FALSE)</f>
        <v>60735</v>
      </c>
      <c r="Y3062" s="131">
        <f>_xll.qlCalendarAdvance(Calendar,X3062,NDays&amp;"D")</f>
        <v>60737</v>
      </c>
      <c r="Z3062" s="132">
        <v>1.3321723454636622E-2</v>
      </c>
      <c r="AA3062" s="129">
        <v>1.3267880950227351E-2</v>
      </c>
    </row>
    <row r="3063" spans="19:27" x14ac:dyDescent="0.2">
      <c r="S3063" s="1"/>
      <c r="T3063" s="109"/>
      <c r="W3063" s="130" t="str">
        <f t="shared" si="57"/>
        <v>1w</v>
      </c>
      <c r="X3063" s="128">
        <f>_xll.qlCalendarAdvance(Calendar,X3062,W3063,"f",FALSE)</f>
        <v>60742</v>
      </c>
      <c r="Y3063" s="131">
        <f>_xll.qlCalendarAdvance(Calendar,X3063,NDays&amp;"D")</f>
        <v>60744</v>
      </c>
      <c r="Z3063" s="132">
        <v>1.332664565435345E-2</v>
      </c>
      <c r="AA3063" s="129">
        <v>1.3272851987888856E-2</v>
      </c>
    </row>
    <row r="3064" spans="19:27" x14ac:dyDescent="0.2">
      <c r="S3064" s="1"/>
      <c r="T3064" s="109"/>
      <c r="W3064" s="130" t="str">
        <f t="shared" si="57"/>
        <v>1w</v>
      </c>
      <c r="X3064" s="128">
        <f>_xll.qlCalendarAdvance(Calendar,X3063,W3064,"f",FALSE)</f>
        <v>60749</v>
      </c>
      <c r="Y3064" s="131">
        <f>_xll.qlCalendarAdvance(Calendar,X3064,NDays&amp;"D")</f>
        <v>60751</v>
      </c>
      <c r="Z3064" s="132">
        <v>1.3331557687317563E-2</v>
      </c>
      <c r="AA3064" s="129">
        <v>1.327781288654073E-2</v>
      </c>
    </row>
    <row r="3065" spans="19:27" x14ac:dyDescent="0.2">
      <c r="S3065" s="1"/>
      <c r="T3065" s="109"/>
      <c r="W3065" s="130" t="str">
        <f t="shared" si="57"/>
        <v>1w</v>
      </c>
      <c r="X3065" s="128">
        <f>_xll.qlCalendarAdvance(Calendar,X3064,W3065,"f",FALSE)</f>
        <v>60756</v>
      </c>
      <c r="Y3065" s="131">
        <f>_xll.qlCalendarAdvance(Calendar,X3065,NDays&amp;"D")</f>
        <v>60758</v>
      </c>
      <c r="Z3065" s="132">
        <v>1.3337054482905753E-2</v>
      </c>
      <c r="AA3065" s="129">
        <v>1.3282763646103035E-2</v>
      </c>
    </row>
    <row r="3066" spans="19:27" x14ac:dyDescent="0.2">
      <c r="S3066" s="1"/>
      <c r="T3066" s="109"/>
      <c r="W3066" s="130" t="str">
        <f t="shared" si="57"/>
        <v>1w</v>
      </c>
      <c r="X3066" s="128">
        <f>_xll.qlCalendarAdvance(Calendar,X3065,W3066,"f",FALSE)</f>
        <v>60763</v>
      </c>
      <c r="Y3066" s="131">
        <f>_xll.qlCalendarAdvance(Calendar,X3066,NDays&amp;"D")</f>
        <v>60765</v>
      </c>
      <c r="Z3066" s="132">
        <v>1.3341945636974474E-2</v>
      </c>
      <c r="AA3066" s="129">
        <v>1.3287704266815581E-2</v>
      </c>
    </row>
    <row r="3067" spans="19:27" x14ac:dyDescent="0.2">
      <c r="S3067" s="1"/>
      <c r="T3067" s="109"/>
      <c r="W3067" s="130" t="str">
        <f t="shared" si="57"/>
        <v>1w</v>
      </c>
      <c r="X3067" s="128">
        <f>_xll.qlCalendarAdvance(Calendar,X3066,W3067,"f",FALSE)</f>
        <v>60770</v>
      </c>
      <c r="Y3067" s="131">
        <f>_xll.qlCalendarAdvance(Calendar,X3067,NDays&amp;"D")</f>
        <v>60772</v>
      </c>
      <c r="Z3067" s="132">
        <v>1.3346826623864792E-2</v>
      </c>
      <c r="AA3067" s="129">
        <v>1.3292634748358623E-2</v>
      </c>
    </row>
    <row r="3068" spans="19:27" x14ac:dyDescent="0.2">
      <c r="S3068" s="1"/>
      <c r="T3068" s="109"/>
      <c r="W3068" s="130" t="str">
        <f t="shared" si="57"/>
        <v>1w</v>
      </c>
      <c r="X3068" s="128">
        <f>_xll.qlCalendarAdvance(Calendar,X3067,W3068,"f",FALSE)</f>
        <v>60777</v>
      </c>
      <c r="Y3068" s="131">
        <f>_xll.qlCalendarAdvance(Calendar,X3068,NDays&amp;"D")</f>
        <v>60779</v>
      </c>
      <c r="Z3068" s="132">
        <v>1.3351697443539345E-2</v>
      </c>
      <c r="AA3068" s="129">
        <v>1.3297555091051905E-2</v>
      </c>
    </row>
    <row r="3069" spans="19:27" x14ac:dyDescent="0.2">
      <c r="S3069" s="1"/>
      <c r="T3069" s="109"/>
      <c r="W3069" s="130" t="str">
        <f t="shared" si="57"/>
        <v>1w</v>
      </c>
      <c r="X3069" s="128">
        <f>_xll.qlCalendarAdvance(Calendar,X3068,W3069,"f",FALSE)</f>
        <v>60784</v>
      </c>
      <c r="Y3069" s="131">
        <f>_xll.qlCalendarAdvance(Calendar,X3069,NDays&amp;"D")</f>
        <v>60786</v>
      </c>
      <c r="Z3069" s="132">
        <v>1.3356558095961639E-2</v>
      </c>
      <c r="AA3069" s="129">
        <v>1.3302465294735555E-2</v>
      </c>
    </row>
    <row r="3070" spans="19:27" x14ac:dyDescent="0.2">
      <c r="S3070" s="1"/>
      <c r="T3070" s="109"/>
      <c r="W3070" s="130" t="str">
        <f t="shared" si="57"/>
        <v>1w</v>
      </c>
      <c r="X3070" s="128">
        <f>_xll.qlCalendarAdvance(Calendar,X3069,W3070,"f",FALSE)</f>
        <v>60791</v>
      </c>
      <c r="Y3070" s="131">
        <f>_xll.qlCalendarAdvance(Calendar,X3070,NDays&amp;"D")</f>
        <v>60793</v>
      </c>
      <c r="Z3070" s="132">
        <v>1.3361408581091709E-2</v>
      </c>
      <c r="AA3070" s="129">
        <v>1.3307365359409573E-2</v>
      </c>
    </row>
    <row r="3071" spans="19:27" x14ac:dyDescent="0.2">
      <c r="S3071" s="1"/>
      <c r="T3071" s="109"/>
      <c r="W3071" s="130" t="str">
        <f t="shared" si="57"/>
        <v>1w</v>
      </c>
      <c r="X3071" s="128">
        <f>_xll.qlCalendarAdvance(Calendar,X3070,W3071,"f",FALSE)</f>
        <v>60798</v>
      </c>
      <c r="Y3071" s="131">
        <f>_xll.qlCalendarAdvance(Calendar,X3071,NDays&amp;"D")</f>
        <v>60800</v>
      </c>
      <c r="Z3071" s="132">
        <v>1.336624889889393E-2</v>
      </c>
      <c r="AA3071" s="129">
        <v>1.3312255285073959E-2</v>
      </c>
    </row>
    <row r="3072" spans="19:27" x14ac:dyDescent="0.2">
      <c r="S3072" s="1"/>
      <c r="T3072" s="109"/>
      <c r="W3072" s="130" t="str">
        <f t="shared" si="57"/>
        <v>1w</v>
      </c>
      <c r="X3072" s="128">
        <f>_xll.qlCalendarAdvance(Calendar,X3071,W3072,"f",FALSE)</f>
        <v>60805</v>
      </c>
      <c r="Y3072" s="131">
        <f>_xll.qlCalendarAdvance(Calendar,X3072,NDays&amp;"D")</f>
        <v>60807</v>
      </c>
      <c r="Z3072" s="132">
        <v>1.3371079049329201E-2</v>
      </c>
      <c r="AA3072" s="129">
        <v>1.331713507180865E-2</v>
      </c>
    </row>
    <row r="3073" spans="19:27" x14ac:dyDescent="0.2">
      <c r="S3073" s="1"/>
      <c r="T3073" s="109"/>
      <c r="W3073" s="130" t="str">
        <f t="shared" si="57"/>
        <v>1w</v>
      </c>
      <c r="X3073" s="128">
        <f>_xll.qlCalendarAdvance(Calendar,X3072,W3073,"f",FALSE)</f>
        <v>60812</v>
      </c>
      <c r="Y3073" s="131">
        <f>_xll.qlCalendarAdvance(Calendar,X3073,NDays&amp;"D")</f>
        <v>60814</v>
      </c>
      <c r="Z3073" s="132">
        <v>1.3375899032360165E-2</v>
      </c>
      <c r="AA3073" s="129">
        <v>1.3322004719453773E-2</v>
      </c>
    </row>
    <row r="3074" spans="19:27" x14ac:dyDescent="0.2">
      <c r="S3074" s="1"/>
      <c r="T3074" s="109"/>
      <c r="W3074" s="130" t="str">
        <f t="shared" si="57"/>
        <v>1w</v>
      </c>
      <c r="X3074" s="128">
        <f>_xll.qlCalendarAdvance(Calendar,X3073,W3074,"f",FALSE)</f>
        <v>60819</v>
      </c>
      <c r="Y3074" s="131">
        <f>_xll.qlCalendarAdvance(Calendar,X3074,NDays&amp;"D")</f>
        <v>60821</v>
      </c>
      <c r="Z3074" s="132">
        <v>1.3380708847949455E-2</v>
      </c>
      <c r="AA3074" s="129">
        <v>1.3326864228089264E-2</v>
      </c>
    </row>
    <row r="3075" spans="19:27" x14ac:dyDescent="0.2">
      <c r="S3075" s="1"/>
      <c r="T3075" s="109"/>
      <c r="W3075" s="130" t="str">
        <f t="shared" si="57"/>
        <v>1w</v>
      </c>
      <c r="X3075" s="128">
        <f>_xll.qlCalendarAdvance(Calendar,X3074,W3075,"f",FALSE)</f>
        <v>60826</v>
      </c>
      <c r="Y3075" s="131">
        <f>_xll.qlCalendarAdvance(Calendar,X3075,NDays&amp;"D")</f>
        <v>60828</v>
      </c>
      <c r="Z3075" s="132">
        <v>1.3385508496059713E-2</v>
      </c>
      <c r="AA3075" s="129">
        <v>1.3331713597795058E-2</v>
      </c>
    </row>
    <row r="3076" spans="19:27" x14ac:dyDescent="0.2">
      <c r="S3076" s="1"/>
      <c r="T3076" s="109"/>
      <c r="W3076" s="130" t="str">
        <f t="shared" si="57"/>
        <v>1w</v>
      </c>
      <c r="X3076" s="128">
        <f>_xll.qlCalendarAdvance(Calendar,X3075,W3076,"f",FALSE)</f>
        <v>60833</v>
      </c>
      <c r="Y3076" s="131">
        <f>_xll.qlCalendarAdvance(Calendar,X3076,NDays&amp;"D")</f>
        <v>60835</v>
      </c>
      <c r="Z3076" s="132">
        <v>1.3390297976654447E-2</v>
      </c>
      <c r="AA3076" s="129">
        <v>1.3336552828491222E-2</v>
      </c>
    </row>
    <row r="3077" spans="19:27" x14ac:dyDescent="0.2">
      <c r="S3077" s="1"/>
      <c r="T3077" s="109"/>
      <c r="W3077" s="130" t="str">
        <f t="shared" si="57"/>
        <v>1w</v>
      </c>
      <c r="X3077" s="128">
        <f>_xll.qlCalendarAdvance(Calendar,X3076,W3077,"f",FALSE)</f>
        <v>60840</v>
      </c>
      <c r="Y3077" s="131">
        <f>_xll.qlCalendarAdvance(Calendar,X3077,NDays&amp;"D")</f>
        <v>60842</v>
      </c>
      <c r="Z3077" s="132">
        <v>1.3395077289695426E-2</v>
      </c>
      <c r="AA3077" s="129">
        <v>1.3341381920177753E-2</v>
      </c>
    </row>
    <row r="3078" spans="19:27" x14ac:dyDescent="0.2">
      <c r="S3078" s="1"/>
      <c r="T3078" s="109"/>
      <c r="W3078" s="130" t="str">
        <f t="shared" si="57"/>
        <v>1w</v>
      </c>
      <c r="X3078" s="128">
        <f>_xll.qlCalendarAdvance(Calendar,X3077,W3078,"f",FALSE)</f>
        <v>60847</v>
      </c>
      <c r="Y3078" s="131">
        <f>_xll.qlCalendarAdvance(Calendar,X3078,NDays&amp;"D")</f>
        <v>60849</v>
      </c>
      <c r="Z3078" s="132">
        <v>1.3399846435145286E-2</v>
      </c>
      <c r="AA3078" s="129">
        <v>1.3346200872854652E-2</v>
      </c>
    </row>
    <row r="3079" spans="19:27" x14ac:dyDescent="0.2">
      <c r="S3079" s="1"/>
      <c r="T3079" s="109"/>
      <c r="W3079" s="130" t="str">
        <f t="shared" si="57"/>
        <v>1w</v>
      </c>
      <c r="X3079" s="128">
        <f>_xll.qlCalendarAdvance(Calendar,X3078,W3079,"f",FALSE)</f>
        <v>60854</v>
      </c>
      <c r="Y3079" s="131">
        <f>_xll.qlCalendarAdvance(Calendar,X3079,NDays&amp;"D")</f>
        <v>60856</v>
      </c>
      <c r="Z3079" s="132">
        <v>1.3404605412967537E-2</v>
      </c>
      <c r="AA3079" s="129">
        <v>1.335100968652192E-2</v>
      </c>
    </row>
    <row r="3080" spans="19:27" x14ac:dyDescent="0.2">
      <c r="S3080" s="1"/>
      <c r="T3080" s="109"/>
      <c r="W3080" s="130" t="str">
        <f t="shared" si="57"/>
        <v>1w</v>
      </c>
      <c r="X3080" s="128">
        <f>_xll.qlCalendarAdvance(Calendar,X3079,W3080,"f",FALSE)</f>
        <v>60861</v>
      </c>
      <c r="Y3080" s="131">
        <f>_xll.qlCalendarAdvance(Calendar,X3080,NDays&amp;"D")</f>
        <v>60863</v>
      </c>
      <c r="Z3080" s="132">
        <v>1.3409354223125686E-2</v>
      </c>
      <c r="AA3080" s="129">
        <v>1.3355808361179555E-2</v>
      </c>
    </row>
    <row r="3081" spans="19:27" x14ac:dyDescent="0.2">
      <c r="S3081" s="1"/>
      <c r="T3081" s="109"/>
      <c r="W3081" s="130" t="str">
        <f t="shared" si="57"/>
        <v>1w</v>
      </c>
      <c r="X3081" s="128">
        <f>_xll.qlCalendarAdvance(Calendar,X3080,W3081,"f",FALSE)</f>
        <v>60868</v>
      </c>
      <c r="Y3081" s="131">
        <f>_xll.qlCalendarAdvance(Calendar,X3081,NDays&amp;"D")</f>
        <v>60870</v>
      </c>
      <c r="Z3081" s="132">
        <v>1.3414092865581505E-2</v>
      </c>
      <c r="AA3081" s="129">
        <v>1.3360596896827559E-2</v>
      </c>
    </row>
    <row r="3082" spans="19:27" x14ac:dyDescent="0.2">
      <c r="S3082" s="1"/>
      <c r="T3082" s="109"/>
      <c r="W3082" s="130" t="str">
        <f t="shared" si="57"/>
        <v>1w</v>
      </c>
      <c r="X3082" s="128">
        <f>_xll.qlCalendarAdvance(Calendar,X3081,W3082,"f",FALSE)</f>
        <v>60875</v>
      </c>
      <c r="Y3082" s="131">
        <f>_xll.qlCalendarAdvance(Calendar,X3082,NDays&amp;"D")</f>
        <v>60877</v>
      </c>
      <c r="Z3082" s="132">
        <v>1.3418235723443755E-2</v>
      </c>
      <c r="AA3082" s="129">
        <v>1.3365375293545867E-2</v>
      </c>
    </row>
    <row r="3083" spans="19:27" x14ac:dyDescent="0.2">
      <c r="S3083" s="1"/>
      <c r="T3083" s="109"/>
      <c r="W3083" s="130" t="str">
        <f t="shared" si="57"/>
        <v>1w</v>
      </c>
      <c r="X3083" s="128">
        <f>_xll.qlCalendarAdvance(Calendar,X3082,W3083,"f",FALSE)</f>
        <v>60882</v>
      </c>
      <c r="Y3083" s="131">
        <f>_xll.qlCalendarAdvance(Calendar,X3083,NDays&amp;"D")</f>
        <v>60884</v>
      </c>
      <c r="Z3083" s="132">
        <v>1.3422954581036784E-2</v>
      </c>
      <c r="AA3083" s="129">
        <v>1.3370143551174607E-2</v>
      </c>
    </row>
    <row r="3084" spans="19:27" x14ac:dyDescent="0.2">
      <c r="S3084" s="1"/>
      <c r="T3084" s="109"/>
      <c r="W3084" s="130" t="str">
        <f t="shared" si="57"/>
        <v>1w</v>
      </c>
      <c r="X3084" s="128">
        <f>_xll.qlCalendarAdvance(Calendar,X3083,W3084,"f",FALSE)</f>
        <v>60889</v>
      </c>
      <c r="Y3084" s="131">
        <f>_xll.qlCalendarAdvance(Calendar,X3084,NDays&amp;"D")</f>
        <v>60891</v>
      </c>
      <c r="Z3084" s="132">
        <v>1.3427663271140106E-2</v>
      </c>
      <c r="AA3084" s="129">
        <v>1.3374901669873651E-2</v>
      </c>
    </row>
    <row r="3085" spans="19:27" x14ac:dyDescent="0.2">
      <c r="S3085" s="1"/>
      <c r="T3085" s="109"/>
      <c r="W3085" s="130" t="str">
        <f t="shared" si="57"/>
        <v>1w</v>
      </c>
      <c r="X3085" s="128">
        <f>_xll.qlCalendarAdvance(Calendar,X3084,W3085,"f",FALSE)</f>
        <v>60896</v>
      </c>
      <c r="Y3085" s="131">
        <f>_xll.qlCalendarAdvance(Calendar,X3085,NDays&amp;"D")</f>
        <v>60898</v>
      </c>
      <c r="Z3085" s="132">
        <v>1.3432361793712436E-2</v>
      </c>
      <c r="AA3085" s="129">
        <v>1.3379649649563063E-2</v>
      </c>
    </row>
    <row r="3086" spans="19:27" x14ac:dyDescent="0.2">
      <c r="S3086" s="1"/>
      <c r="T3086" s="109"/>
      <c r="W3086" s="130" t="str">
        <f t="shared" si="57"/>
        <v>1w</v>
      </c>
      <c r="X3086" s="128">
        <f>_xll.qlCalendarAdvance(Calendar,X3085,W3086,"f",FALSE)</f>
        <v>60903</v>
      </c>
      <c r="Y3086" s="131">
        <f>_xll.qlCalendarAdvance(Calendar,X3086,NDays&amp;"D")</f>
        <v>60905</v>
      </c>
      <c r="Z3086" s="132">
        <v>1.343763356105445E-2</v>
      </c>
      <c r="AA3086" s="129">
        <v>1.3384387490082972E-2</v>
      </c>
    </row>
    <row r="3087" spans="19:27" x14ac:dyDescent="0.2">
      <c r="S3087" s="1"/>
      <c r="T3087" s="109"/>
      <c r="W3087" s="130" t="str">
        <f t="shared" si="57"/>
        <v>1w</v>
      </c>
      <c r="X3087" s="128">
        <f>_xll.qlCalendarAdvance(Calendar,X3086,W3087,"f",FALSE)</f>
        <v>60910</v>
      </c>
      <c r="Y3087" s="131">
        <f>_xll.qlCalendarAdvance(Calendar,X3087,NDays&amp;"D")</f>
        <v>60912</v>
      </c>
      <c r="Z3087" s="132">
        <v>1.3442311196531668E-2</v>
      </c>
      <c r="AA3087" s="129">
        <v>1.3389115191833056E-2</v>
      </c>
    </row>
    <row r="3088" spans="19:27" x14ac:dyDescent="0.2">
      <c r="S3088" s="1"/>
      <c r="T3088" s="109"/>
      <c r="W3088" s="130" t="str">
        <f t="shared" si="57"/>
        <v>1w</v>
      </c>
      <c r="X3088" s="128">
        <f>_xll.qlCalendarAdvance(Calendar,X3087,W3088,"f",FALSE)</f>
        <v>60917</v>
      </c>
      <c r="Y3088" s="131">
        <f>_xll.qlCalendarAdvance(Calendar,X3088,NDays&amp;"D")</f>
        <v>60919</v>
      </c>
      <c r="Z3088" s="132">
        <v>1.3446978664049368E-2</v>
      </c>
      <c r="AA3088" s="129">
        <v>1.3393832754493573E-2</v>
      </c>
    </row>
    <row r="3089" spans="19:27" x14ac:dyDescent="0.2">
      <c r="S3089" s="1"/>
      <c r="T3089" s="109"/>
      <c r="W3089" s="130" t="str">
        <f t="shared" si="57"/>
        <v>1w</v>
      </c>
      <c r="X3089" s="128">
        <f>_xll.qlCalendarAdvance(Calendar,X3088,W3089,"f",FALSE)</f>
        <v>60924</v>
      </c>
      <c r="Y3089" s="131">
        <f>_xll.qlCalendarAdvance(Calendar,X3089,NDays&amp;"D")</f>
        <v>60926</v>
      </c>
      <c r="Z3089" s="132">
        <v>1.3451635963576271E-2</v>
      </c>
      <c r="AA3089" s="129">
        <v>1.3398540178144458E-2</v>
      </c>
    </row>
    <row r="3090" spans="19:27" x14ac:dyDescent="0.2">
      <c r="S3090" s="1"/>
      <c r="T3090" s="109"/>
      <c r="W3090" s="130" t="str">
        <f t="shared" si="57"/>
        <v>1w</v>
      </c>
      <c r="X3090" s="128">
        <f>_xll.qlCalendarAdvance(Calendar,X3089,W3090,"f",FALSE)</f>
        <v>60931</v>
      </c>
      <c r="Y3090" s="131">
        <f>_xll.qlCalendarAdvance(Calendar,X3090,NDays&amp;"D")</f>
        <v>60933</v>
      </c>
      <c r="Z3090" s="132">
        <v>1.3456283095070671E-2</v>
      </c>
      <c r="AA3090" s="129">
        <v>1.3403237462785711E-2</v>
      </c>
    </row>
    <row r="3091" spans="19:27" x14ac:dyDescent="0.2">
      <c r="S3091" s="1"/>
      <c r="T3091" s="109"/>
      <c r="W3091" s="130" t="str">
        <f t="shared" si="57"/>
        <v>1w</v>
      </c>
      <c r="X3091" s="128">
        <f>_xll.qlCalendarAdvance(Calendar,X3090,W3091,"f",FALSE)</f>
        <v>60938</v>
      </c>
      <c r="Y3091" s="131">
        <f>_xll.qlCalendarAdvance(Calendar,X3091,NDays&amp;"D")</f>
        <v>60940</v>
      </c>
      <c r="Z3091" s="132">
        <v>1.3460920058498683E-2</v>
      </c>
      <c r="AA3091" s="129">
        <v>1.3407924608417332E-2</v>
      </c>
    </row>
    <row r="3092" spans="19:27" x14ac:dyDescent="0.2">
      <c r="S3092" s="1"/>
      <c r="T3092" s="109"/>
      <c r="W3092" s="130" t="str">
        <f t="shared" si="57"/>
        <v>1w</v>
      </c>
      <c r="X3092" s="128">
        <f>_xll.qlCalendarAdvance(Calendar,X3091,W3092,"f",FALSE)</f>
        <v>60945</v>
      </c>
      <c r="Y3092" s="131">
        <f>_xll.qlCalendarAdvance(Calendar,X3092,NDays&amp;"D")</f>
        <v>60947</v>
      </c>
      <c r="Z3092" s="132">
        <v>1.346554685382555E-2</v>
      </c>
      <c r="AA3092" s="129">
        <v>1.3412601615119257E-2</v>
      </c>
    </row>
    <row r="3093" spans="19:27" x14ac:dyDescent="0.2">
      <c r="S3093" s="1"/>
      <c r="T3093" s="109"/>
      <c r="W3093" s="130" t="str">
        <f t="shared" ref="W3093:W3156" si="58">W3092</f>
        <v>1w</v>
      </c>
      <c r="X3093" s="128">
        <f>_xll.qlCalendarAdvance(Calendar,X3092,W3093,"f",FALSE)</f>
        <v>60952</v>
      </c>
      <c r="Y3093" s="131">
        <f>_xll.qlCalendarAdvance(Calendar,X3093,NDays&amp;"D")</f>
        <v>60954</v>
      </c>
      <c r="Z3093" s="132">
        <v>1.3470163481013911E-2</v>
      </c>
      <c r="AA3093" s="129">
        <v>1.3417268482731615E-2</v>
      </c>
    </row>
    <row r="3094" spans="19:27" x14ac:dyDescent="0.2">
      <c r="S3094" s="1"/>
      <c r="T3094" s="109"/>
      <c r="W3094" s="130" t="str">
        <f t="shared" si="58"/>
        <v>1w</v>
      </c>
      <c r="X3094" s="128">
        <f>_xll.qlCalendarAdvance(Calendar,X3093,W3094,"f",FALSE)</f>
        <v>60959</v>
      </c>
      <c r="Y3094" s="131">
        <f>_xll.qlCalendarAdvance(Calendar,X3094,NDays&amp;"D")</f>
        <v>60961</v>
      </c>
      <c r="Z3094" s="132">
        <v>1.3474769940027278E-2</v>
      </c>
      <c r="AA3094" s="129">
        <v>1.3421925211254404E-2</v>
      </c>
    </row>
    <row r="3095" spans="19:27" x14ac:dyDescent="0.2">
      <c r="S3095" s="1"/>
      <c r="T3095" s="109"/>
      <c r="W3095" s="130" t="str">
        <f t="shared" si="58"/>
        <v>1w</v>
      </c>
      <c r="X3095" s="128">
        <f>_xll.qlCalendarAdvance(Calendar,X3094,W3095,"f",FALSE)</f>
        <v>60966</v>
      </c>
      <c r="Y3095" s="131">
        <f>_xll.qlCalendarAdvance(Calendar,X3095,NDays&amp;"D")</f>
        <v>60968</v>
      </c>
      <c r="Z3095" s="132">
        <v>1.3478209325622714E-2</v>
      </c>
      <c r="AA3095" s="129">
        <v>1.342657180100737E-2</v>
      </c>
    </row>
    <row r="3096" spans="19:27" x14ac:dyDescent="0.2">
      <c r="S3096" s="1"/>
      <c r="T3096" s="109"/>
      <c r="W3096" s="130" t="str">
        <f t="shared" si="58"/>
        <v>1w</v>
      </c>
      <c r="X3096" s="128">
        <f>_xll.qlCalendarAdvance(Calendar,X3095,W3096,"f",FALSE)</f>
        <v>60973</v>
      </c>
      <c r="Y3096" s="131">
        <f>_xll.qlCalendarAdvance(Calendar,X3096,NDays&amp;"D")</f>
        <v>60975</v>
      </c>
      <c r="Z3096" s="132">
        <v>1.3482796557812371E-2</v>
      </c>
      <c r="AA3096" s="129">
        <v>1.3431208251510895E-2</v>
      </c>
    </row>
    <row r="3097" spans="19:27" x14ac:dyDescent="0.2">
      <c r="S3097" s="1"/>
      <c r="T3097" s="109"/>
      <c r="W3097" s="130" t="str">
        <f t="shared" si="58"/>
        <v>1w</v>
      </c>
      <c r="X3097" s="128">
        <f>_xll.qlCalendarAdvance(Calendar,X3096,W3097,"f",FALSE)</f>
        <v>60980</v>
      </c>
      <c r="Y3097" s="131">
        <f>_xll.qlCalendarAdvance(Calendar,X3097,NDays&amp;"D")</f>
        <v>60982</v>
      </c>
      <c r="Z3097" s="132">
        <v>1.3487373622369958E-2</v>
      </c>
      <c r="AA3097" s="129">
        <v>1.3435834563084725E-2</v>
      </c>
    </row>
    <row r="3098" spans="19:27" x14ac:dyDescent="0.2">
      <c r="S3098" s="1"/>
      <c r="T3098" s="109"/>
      <c r="W3098" s="130" t="str">
        <f t="shared" si="58"/>
        <v>1w</v>
      </c>
      <c r="X3098" s="128">
        <f>_xll.qlCalendarAdvance(Calendar,X3097,W3098,"f",FALSE)</f>
        <v>60987</v>
      </c>
      <c r="Y3098" s="131">
        <f>_xll.qlCalendarAdvance(Calendar,X3098,NDays&amp;"D")</f>
        <v>60989</v>
      </c>
      <c r="Z3098" s="132">
        <v>1.3491940519261725E-2</v>
      </c>
      <c r="AA3098" s="129">
        <v>1.3440450735728859E-2</v>
      </c>
    </row>
    <row r="3099" spans="19:27" x14ac:dyDescent="0.2">
      <c r="S3099" s="1"/>
      <c r="T3099" s="109"/>
      <c r="W3099" s="130" t="str">
        <f t="shared" si="58"/>
        <v>1w</v>
      </c>
      <c r="X3099" s="128">
        <f>_xll.qlCalendarAdvance(Calendar,X3098,W3099,"f",FALSE)</f>
        <v>60994</v>
      </c>
      <c r="Y3099" s="131">
        <f>_xll.qlCalendarAdvance(Calendar,X3099,NDays&amp;"D")</f>
        <v>60996</v>
      </c>
      <c r="Z3099" s="132">
        <v>1.3496497248450368E-2</v>
      </c>
      <c r="AA3099" s="129">
        <v>1.3445056769283426E-2</v>
      </c>
    </row>
    <row r="3100" spans="19:27" x14ac:dyDescent="0.2">
      <c r="S3100" s="1"/>
      <c r="T3100" s="109"/>
      <c r="W3100" s="130" t="str">
        <f t="shared" si="58"/>
        <v>1w</v>
      </c>
      <c r="X3100" s="128">
        <f>_xll.qlCalendarAdvance(Calendar,X3099,W3100,"f",FALSE)</f>
        <v>61001</v>
      </c>
      <c r="Y3100" s="131">
        <f>_xll.qlCalendarAdvance(Calendar,X3100,NDays&amp;"D")</f>
        <v>61003</v>
      </c>
      <c r="Z3100" s="132">
        <v>1.3501043809903912E-2</v>
      </c>
      <c r="AA3100" s="129">
        <v>1.344965266382836E-2</v>
      </c>
    </row>
    <row r="3101" spans="19:27" x14ac:dyDescent="0.2">
      <c r="S3101" s="1"/>
      <c r="T3101" s="109"/>
      <c r="W3101" s="130" t="str">
        <f t="shared" si="58"/>
        <v>1w</v>
      </c>
      <c r="X3101" s="128">
        <f>_xll.qlCalendarAdvance(Calendar,X3100,W3101,"f",FALSE)</f>
        <v>61008</v>
      </c>
      <c r="Y3101" s="131">
        <f>_xll.qlCalendarAdvance(Calendar,X3101,NDays&amp;"D")</f>
        <v>61010</v>
      </c>
      <c r="Z3101" s="132">
        <v>1.3505580203585943E-2</v>
      </c>
      <c r="AA3101" s="129">
        <v>1.3454238419363662E-2</v>
      </c>
    </row>
    <row r="3102" spans="19:27" x14ac:dyDescent="0.2">
      <c r="S3102" s="1"/>
      <c r="T3102" s="109"/>
      <c r="W3102" s="130" t="str">
        <f t="shared" si="58"/>
        <v>1w</v>
      </c>
      <c r="X3102" s="128">
        <f>_xll.qlCalendarAdvance(Calendar,X3101,W3102,"f",FALSE)</f>
        <v>61015</v>
      </c>
      <c r="Y3102" s="131">
        <f>_xll.qlCalendarAdvance(Calendar,X3102,NDays&amp;"D")</f>
        <v>61017</v>
      </c>
      <c r="Z3102" s="132">
        <v>1.3510106429462709E-2</v>
      </c>
      <c r="AA3102" s="129">
        <v>1.3458814035969269E-2</v>
      </c>
    </row>
    <row r="3103" spans="19:27" x14ac:dyDescent="0.2">
      <c r="S3103" s="1"/>
      <c r="T3103" s="109"/>
      <c r="W3103" s="130" t="str">
        <f t="shared" si="58"/>
        <v>1w</v>
      </c>
      <c r="X3103" s="128">
        <f>_xll.qlCalendarAdvance(Calendar,X3102,W3103,"f",FALSE)</f>
        <v>61022</v>
      </c>
      <c r="Y3103" s="131">
        <f>_xll.qlCalendarAdvance(Calendar,X3103,NDays&amp;"D")</f>
        <v>61024</v>
      </c>
      <c r="Z3103" s="132">
        <v>1.3514622487499572E-2</v>
      </c>
      <c r="AA3103" s="129">
        <v>1.3463379513565243E-2</v>
      </c>
    </row>
    <row r="3104" spans="19:27" x14ac:dyDescent="0.2">
      <c r="S3104" s="1"/>
      <c r="T3104" s="109"/>
      <c r="W3104" s="130" t="str">
        <f t="shared" si="58"/>
        <v>1w</v>
      </c>
      <c r="X3104" s="128">
        <f>_xll.qlCalendarAdvance(Calendar,X3103,W3104,"f",FALSE)</f>
        <v>61029</v>
      </c>
      <c r="Y3104" s="131">
        <f>_xll.qlCalendarAdvance(Calendar,X3104,NDays&amp;"D")</f>
        <v>61031</v>
      </c>
      <c r="Z3104" s="132">
        <v>1.3518554871838517E-2</v>
      </c>
      <c r="AA3104" s="129">
        <v>1.3467934851991714E-2</v>
      </c>
    </row>
    <row r="3105" spans="19:27" x14ac:dyDescent="0.2">
      <c r="S3105" s="1"/>
      <c r="T3105" s="109"/>
      <c r="W3105" s="130" t="str">
        <f t="shared" si="58"/>
        <v>1w</v>
      </c>
      <c r="X3105" s="128">
        <f>_xll.qlCalendarAdvance(Calendar,X3104,W3105,"f",FALSE)</f>
        <v>61036</v>
      </c>
      <c r="Y3105" s="131">
        <f>_xll.qlCalendarAdvance(Calendar,X3105,NDays&amp;"D")</f>
        <v>61038</v>
      </c>
      <c r="Z3105" s="132">
        <v>1.3523051151783736E-2</v>
      </c>
      <c r="AA3105" s="129">
        <v>1.3472480051568425E-2</v>
      </c>
    </row>
    <row r="3106" spans="19:27" x14ac:dyDescent="0.2">
      <c r="S3106" s="1"/>
      <c r="T3106" s="109"/>
      <c r="W3106" s="130" t="str">
        <f t="shared" si="58"/>
        <v>1w</v>
      </c>
      <c r="X3106" s="128">
        <f>_xll.qlCalendarAdvance(Calendar,X3105,W3106,"f",FALSE)</f>
        <v>61043</v>
      </c>
      <c r="Y3106" s="131">
        <f>_xll.qlCalendarAdvance(Calendar,X3106,NDays&amp;"D")</f>
        <v>61045</v>
      </c>
      <c r="Z3106" s="132">
        <v>1.3527537264112993E-2</v>
      </c>
      <c r="AA3106" s="129">
        <v>1.3477015112135504E-2</v>
      </c>
    </row>
    <row r="3107" spans="19:27" x14ac:dyDescent="0.2">
      <c r="S3107" s="1"/>
      <c r="T3107" s="109"/>
      <c r="W3107" s="130" t="str">
        <f t="shared" si="58"/>
        <v>1w</v>
      </c>
      <c r="X3107" s="128">
        <f>_xll.qlCalendarAdvance(Calendar,X3106,W3107,"f",FALSE)</f>
        <v>61050</v>
      </c>
      <c r="Y3107" s="131">
        <f>_xll.qlCalendarAdvance(Calendar,X3107,NDays&amp;"D")</f>
        <v>61052</v>
      </c>
      <c r="Z3107" s="132">
        <v>1.3532013208794852E-2</v>
      </c>
      <c r="AA3107" s="129">
        <v>1.3481540033533079E-2</v>
      </c>
    </row>
    <row r="3108" spans="19:27" x14ac:dyDescent="0.2">
      <c r="S3108" s="1"/>
      <c r="T3108" s="109"/>
      <c r="W3108" s="130" t="str">
        <f t="shared" si="58"/>
        <v>1w</v>
      </c>
      <c r="X3108" s="128">
        <f>_xll.qlCalendarAdvance(Calendar,X3107,W3108,"f",FALSE)</f>
        <v>61057</v>
      </c>
      <c r="Y3108" s="131">
        <f>_xll.qlCalendarAdvance(Calendar,X3108,NDays&amp;"D")</f>
        <v>61059</v>
      </c>
      <c r="Z3108" s="132">
        <v>1.3538192688035472E-2</v>
      </c>
      <c r="AA3108" s="129">
        <v>1.3486054816080895E-2</v>
      </c>
    </row>
    <row r="3109" spans="19:27" x14ac:dyDescent="0.2">
      <c r="S3109" s="1"/>
      <c r="T3109" s="109"/>
      <c r="W3109" s="130" t="str">
        <f t="shared" si="58"/>
        <v>1w</v>
      </c>
      <c r="X3109" s="128">
        <f>_xll.qlCalendarAdvance(Calendar,X3108,W3109,"f",FALSE)</f>
        <v>61064</v>
      </c>
      <c r="Y3109" s="131">
        <f>_xll.qlCalendarAdvance(Calendar,X3109,NDays&amp;"D")</f>
        <v>61066</v>
      </c>
      <c r="Z3109" s="132">
        <v>1.3542646620185523E-2</v>
      </c>
      <c r="AA3109" s="129">
        <v>1.3490559459539142E-2</v>
      </c>
    </row>
    <row r="3110" spans="19:27" x14ac:dyDescent="0.2">
      <c r="S3110" s="1"/>
      <c r="T3110" s="109"/>
      <c r="W3110" s="130" t="str">
        <f t="shared" si="58"/>
        <v>1w</v>
      </c>
      <c r="X3110" s="128">
        <f>_xll.qlCalendarAdvance(Calendar,X3109,W3110,"f",FALSE)</f>
        <v>61071</v>
      </c>
      <c r="Y3110" s="131">
        <f>_xll.qlCalendarAdvance(Calendar,X3110,NDays&amp;"D")</f>
        <v>61073</v>
      </c>
      <c r="Z3110" s="132">
        <v>1.3547090383598418E-2</v>
      </c>
      <c r="AA3110" s="129">
        <v>1.3495053964067694E-2</v>
      </c>
    </row>
    <row r="3111" spans="19:27" x14ac:dyDescent="0.2">
      <c r="S3111" s="1"/>
      <c r="T3111" s="109"/>
      <c r="W3111" s="130" t="str">
        <f t="shared" si="58"/>
        <v>1w</v>
      </c>
      <c r="X3111" s="128">
        <f>_xll.qlCalendarAdvance(Calendar,X3110,W3111,"f",FALSE)</f>
        <v>61078</v>
      </c>
      <c r="Y3111" s="131">
        <f>_xll.qlCalendarAdvance(Calendar,X3111,NDays&amp;"D")</f>
        <v>61080</v>
      </c>
      <c r="Z3111" s="132">
        <v>1.3551523978240269E-2</v>
      </c>
      <c r="AA3111" s="129">
        <v>1.3499538329426741E-2</v>
      </c>
    </row>
    <row r="3112" spans="19:27" x14ac:dyDescent="0.2">
      <c r="S3112" s="1"/>
      <c r="T3112" s="109"/>
      <c r="W3112" s="130" t="str">
        <f t="shared" si="58"/>
        <v>1w</v>
      </c>
      <c r="X3112" s="128">
        <f>_xll.qlCalendarAdvance(Calendar,X3111,W3112,"f",FALSE)</f>
        <v>61085</v>
      </c>
      <c r="Y3112" s="131">
        <f>_xll.qlCalendarAdvance(Calendar,X3112,NDays&amp;"D")</f>
        <v>61087</v>
      </c>
      <c r="Z3112" s="132">
        <v>1.3555378447329534E-2</v>
      </c>
      <c r="AA3112" s="129">
        <v>1.3506302168627471E-2</v>
      </c>
    </row>
    <row r="3113" spans="19:27" x14ac:dyDescent="0.2">
      <c r="S3113" s="1"/>
      <c r="T3113" s="109"/>
      <c r="W3113" s="130" t="str">
        <f t="shared" si="58"/>
        <v>1w</v>
      </c>
      <c r="X3113" s="128">
        <f>_xll.qlCalendarAdvance(Calendar,X3112,W3113,"f",FALSE)</f>
        <v>61092</v>
      </c>
      <c r="Y3113" s="131">
        <f>_xll.qlCalendarAdvance(Calendar,X3113,NDays&amp;"D")</f>
        <v>61094</v>
      </c>
      <c r="Z3113" s="132">
        <v>1.3559792264729899E-2</v>
      </c>
      <c r="AA3113" s="129">
        <v>1.3508476643355749E-2</v>
      </c>
    </row>
    <row r="3114" spans="19:27" x14ac:dyDescent="0.2">
      <c r="S3114" s="1"/>
      <c r="T3114" s="109"/>
      <c r="W3114" s="130" t="str">
        <f t="shared" si="58"/>
        <v>1w</v>
      </c>
      <c r="X3114" s="128">
        <f>_xll.qlCalendarAdvance(Calendar,X3113,W3114,"f",FALSE)</f>
        <v>61099</v>
      </c>
      <c r="Y3114" s="131">
        <f>_xll.qlCalendarAdvance(Calendar,X3114,NDays&amp;"D")</f>
        <v>61101</v>
      </c>
      <c r="Z3114" s="132">
        <v>1.3564195913584697E-2</v>
      </c>
      <c r="AA3114" s="129">
        <v>1.3512930591685901E-2</v>
      </c>
    </row>
    <row r="3115" spans="19:27" x14ac:dyDescent="0.2">
      <c r="S3115" s="1"/>
      <c r="T3115" s="109"/>
      <c r="W3115" s="130" t="str">
        <f t="shared" si="58"/>
        <v>1w</v>
      </c>
      <c r="X3115" s="128">
        <f>_xll.qlCalendarAdvance(Calendar,X3114,W3115,"f",FALSE)</f>
        <v>61106</v>
      </c>
      <c r="Y3115" s="131">
        <f>_xll.qlCalendarAdvance(Calendar,X3115,NDays&amp;"D")</f>
        <v>61108</v>
      </c>
      <c r="Z3115" s="132">
        <v>1.3568589393862305E-2</v>
      </c>
      <c r="AA3115" s="129">
        <v>1.3517374401086357E-2</v>
      </c>
    </row>
    <row r="3116" spans="19:27" x14ac:dyDescent="0.2">
      <c r="S3116" s="1"/>
      <c r="T3116" s="109"/>
      <c r="W3116" s="130" t="str">
        <f t="shared" si="58"/>
        <v>1w</v>
      </c>
      <c r="X3116" s="128">
        <f>_xll.qlCalendarAdvance(Calendar,X3115,W3116,"f",FALSE)</f>
        <v>61113</v>
      </c>
      <c r="Y3116" s="131">
        <f>_xll.qlCalendarAdvance(Calendar,X3116,NDays&amp;"D")</f>
        <v>61115</v>
      </c>
      <c r="Z3116" s="132">
        <v>1.3572972705527589E-2</v>
      </c>
      <c r="AA3116" s="129">
        <v>1.3521808071477182E-2</v>
      </c>
    </row>
    <row r="3117" spans="19:27" x14ac:dyDescent="0.2">
      <c r="S3117" s="1"/>
      <c r="T3117" s="109"/>
      <c r="W3117" s="130" t="str">
        <f t="shared" si="58"/>
        <v>1w</v>
      </c>
      <c r="X3117" s="128">
        <f>_xll.qlCalendarAdvance(Calendar,X3116,W3117,"f",FALSE)</f>
        <v>61120</v>
      </c>
      <c r="Y3117" s="131">
        <f>_xll.qlCalendarAdvance(Calendar,X3117,NDays&amp;"D")</f>
        <v>61122</v>
      </c>
      <c r="Z3117" s="132">
        <v>1.3577911999950612E-2</v>
      </c>
      <c r="AA3117" s="129">
        <v>1.3526231602858374E-2</v>
      </c>
    </row>
    <row r="3118" spans="19:27" x14ac:dyDescent="0.2">
      <c r="S3118" s="1"/>
      <c r="T3118" s="109"/>
      <c r="W3118" s="130" t="str">
        <f t="shared" si="58"/>
        <v>1w</v>
      </c>
      <c r="X3118" s="128">
        <f>_xll.qlCalendarAdvance(Calendar,X3117,W3118,"f",FALSE)</f>
        <v>61127</v>
      </c>
      <c r="Y3118" s="131">
        <f>_xll.qlCalendarAdvance(Calendar,X3118,NDays&amp;"D")</f>
        <v>61129</v>
      </c>
      <c r="Z3118" s="132">
        <v>1.3582274412228113E-2</v>
      </c>
      <c r="AA3118" s="129">
        <v>1.3530644995229935E-2</v>
      </c>
    </row>
    <row r="3119" spans="19:27" x14ac:dyDescent="0.2">
      <c r="S3119" s="1"/>
      <c r="T3119" s="109"/>
      <c r="W3119" s="130" t="str">
        <f t="shared" si="58"/>
        <v>1w</v>
      </c>
      <c r="X3119" s="128">
        <f>_xll.qlCalendarAdvance(Calendar,X3118,W3119,"f",FALSE)</f>
        <v>61134</v>
      </c>
      <c r="Y3119" s="131">
        <f>_xll.qlCalendarAdvance(Calendar,X3119,NDays&amp;"D")</f>
        <v>61136</v>
      </c>
      <c r="Z3119" s="132">
        <v>1.358662665545827E-2</v>
      </c>
      <c r="AA3119" s="129">
        <v>1.3535048248511927E-2</v>
      </c>
    </row>
    <row r="3120" spans="19:27" x14ac:dyDescent="0.2">
      <c r="S3120" s="1"/>
      <c r="T3120" s="109"/>
      <c r="W3120" s="130" t="str">
        <f t="shared" si="58"/>
        <v>1w</v>
      </c>
      <c r="X3120" s="128">
        <f>_xll.qlCalendarAdvance(Calendar,X3119,W3120,"f",FALSE)</f>
        <v>61141</v>
      </c>
      <c r="Y3120" s="131">
        <f>_xll.qlCalendarAdvance(Calendar,X3120,NDays&amp;"D")</f>
        <v>61143</v>
      </c>
      <c r="Z3120" s="132">
        <v>1.3590968729610676E-2</v>
      </c>
      <c r="AA3120" s="129">
        <v>1.353944136294416E-2</v>
      </c>
    </row>
    <row r="3121" spans="19:27" x14ac:dyDescent="0.2">
      <c r="S3121" s="1"/>
      <c r="T3121" s="109"/>
      <c r="W3121" s="130" t="str">
        <f t="shared" si="58"/>
        <v>1w</v>
      </c>
      <c r="X3121" s="128">
        <f>_xll.qlCalendarAdvance(Calendar,X3120,W3121,"f",FALSE)</f>
        <v>61148</v>
      </c>
      <c r="Y3121" s="131">
        <f>_xll.qlCalendarAdvance(Calendar,X3121,NDays&amp;"D")</f>
        <v>61150</v>
      </c>
      <c r="Z3121" s="132">
        <v>1.3595300634650571E-2</v>
      </c>
      <c r="AA3121" s="129">
        <v>1.3543824338206889E-2</v>
      </c>
    </row>
    <row r="3122" spans="19:27" x14ac:dyDescent="0.2">
      <c r="S3122" s="1"/>
      <c r="T3122" s="109"/>
      <c r="W3122" s="130" t="str">
        <f t="shared" si="58"/>
        <v>1w</v>
      </c>
      <c r="X3122" s="128">
        <f>_xll.qlCalendarAdvance(Calendar,X3121,W3122,"f",FALSE)</f>
        <v>61155</v>
      </c>
      <c r="Y3122" s="131">
        <f>_xll.qlCalendarAdvance(Calendar,X3122,NDays&amp;"D")</f>
        <v>61157</v>
      </c>
      <c r="Z3122" s="132">
        <v>1.3599622370541466E-2</v>
      </c>
      <c r="AA3122" s="129">
        <v>1.354819717438005E-2</v>
      </c>
    </row>
    <row r="3123" spans="19:27" x14ac:dyDescent="0.2">
      <c r="S3123" s="1"/>
      <c r="T3123" s="109"/>
      <c r="W3123" s="130" t="str">
        <f t="shared" si="58"/>
        <v>1w</v>
      </c>
      <c r="X3123" s="128">
        <f>_xll.qlCalendarAdvance(Calendar,X3122,W3123,"f",FALSE)</f>
        <v>61162</v>
      </c>
      <c r="Y3123" s="131">
        <f>_xll.qlCalendarAdvance(Calendar,X3123,NDays&amp;"D")</f>
        <v>61164</v>
      </c>
      <c r="Z3123" s="132">
        <v>1.3603933937254686E-2</v>
      </c>
      <c r="AA3123" s="129">
        <v>1.3552559871703451E-2</v>
      </c>
    </row>
    <row r="3124" spans="19:27" x14ac:dyDescent="0.2">
      <c r="S3124" s="1"/>
      <c r="T3124" s="109"/>
      <c r="W3124" s="130" t="str">
        <f t="shared" si="58"/>
        <v>1w</v>
      </c>
      <c r="X3124" s="128">
        <f>_xll.qlCalendarAdvance(Calendar,X3123,W3124,"f",FALSE)</f>
        <v>61169</v>
      </c>
      <c r="Y3124" s="131">
        <f>_xll.qlCalendarAdvance(Calendar,X3124,NDays&amp;"D")</f>
        <v>61171</v>
      </c>
      <c r="Z3124" s="132">
        <v>1.3608235334752002E-2</v>
      </c>
      <c r="AA3124" s="129">
        <v>1.3556912429937285E-2</v>
      </c>
    </row>
    <row r="3125" spans="19:27" x14ac:dyDescent="0.2">
      <c r="S3125" s="1"/>
      <c r="T3125" s="109"/>
      <c r="W3125" s="130" t="str">
        <f t="shared" si="58"/>
        <v>1w</v>
      </c>
      <c r="X3125" s="128">
        <f>_xll.qlCalendarAdvance(Calendar,X3124,W3125,"f",FALSE)</f>
        <v>61176</v>
      </c>
      <c r="Y3125" s="131">
        <f>_xll.qlCalendarAdvance(Calendar,X3125,NDays&amp;"D")</f>
        <v>61178</v>
      </c>
      <c r="Z3125" s="132">
        <v>1.3612526563005611E-2</v>
      </c>
      <c r="AA3125" s="129">
        <v>1.3561254849241422E-2</v>
      </c>
    </row>
    <row r="3126" spans="19:27" x14ac:dyDescent="0.2">
      <c r="S3126" s="1"/>
      <c r="T3126" s="109"/>
      <c r="W3126" s="130" t="str">
        <f t="shared" si="58"/>
        <v>1w</v>
      </c>
      <c r="X3126" s="128">
        <f>_xll.qlCalendarAdvance(Calendar,X3125,W3126,"f",FALSE)</f>
        <v>61183</v>
      </c>
      <c r="Y3126" s="131">
        <f>_xll.qlCalendarAdvance(Calendar,X3126,NDays&amp;"D")</f>
        <v>61185</v>
      </c>
      <c r="Z3126" s="132">
        <v>1.3616807621974675E-2</v>
      </c>
      <c r="AA3126" s="129">
        <v>1.3565587129296119E-2</v>
      </c>
    </row>
    <row r="3127" spans="19:27" x14ac:dyDescent="0.2">
      <c r="S3127" s="1"/>
      <c r="T3127" s="109"/>
      <c r="W3127" s="130" t="str">
        <f t="shared" si="58"/>
        <v>1w</v>
      </c>
      <c r="X3127" s="128">
        <f>_xll.qlCalendarAdvance(Calendar,X3126,W3127,"f",FALSE)</f>
        <v>61190</v>
      </c>
      <c r="Y3127" s="131">
        <f>_xll.qlCalendarAdvance(Calendar,X3127,NDays&amp;"D")</f>
        <v>61192</v>
      </c>
      <c r="Z3127" s="132">
        <v>1.3621078511632259E-2</v>
      </c>
      <c r="AA3127" s="129">
        <v>1.3569909270580993E-2</v>
      </c>
    </row>
    <row r="3128" spans="19:27" x14ac:dyDescent="0.2">
      <c r="S3128" s="1"/>
      <c r="T3128" s="109"/>
      <c r="W3128" s="130" t="str">
        <f t="shared" si="58"/>
        <v>1w</v>
      </c>
      <c r="X3128" s="128">
        <f>_xll.qlCalendarAdvance(Calendar,X3127,W3128,"f",FALSE)</f>
        <v>61197</v>
      </c>
      <c r="Y3128" s="131">
        <f>_xll.qlCalendarAdvance(Calendar,X3128,NDays&amp;"D")</f>
        <v>61199</v>
      </c>
      <c r="Z3128" s="132">
        <v>1.3625339231942738E-2</v>
      </c>
      <c r="AA3128" s="129">
        <v>1.3574221272696363E-2</v>
      </c>
    </row>
    <row r="3129" spans="19:27" x14ac:dyDescent="0.2">
      <c r="S3129" s="1"/>
      <c r="T3129" s="109"/>
      <c r="W3129" s="130" t="str">
        <f t="shared" si="58"/>
        <v>1w</v>
      </c>
      <c r="X3129" s="128">
        <f>_xll.qlCalendarAdvance(Calendar,X3128,W3129,"f",FALSE)</f>
        <v>61204</v>
      </c>
      <c r="Y3129" s="131">
        <f>_xll.qlCalendarAdvance(Calendar,X3129,NDays&amp;"D")</f>
        <v>61206</v>
      </c>
      <c r="Z3129" s="132">
        <v>1.362958978287223E-2</v>
      </c>
      <c r="AA3129" s="129">
        <v>1.3578523135882037E-2</v>
      </c>
    </row>
    <row r="3130" spans="19:27" x14ac:dyDescent="0.2">
      <c r="S3130" s="1"/>
      <c r="T3130" s="109"/>
      <c r="W3130" s="130" t="str">
        <f t="shared" si="58"/>
        <v>1w</v>
      </c>
      <c r="X3130" s="128">
        <f>_xll.qlCalendarAdvance(Calendar,X3129,W3130,"f",FALSE)</f>
        <v>61211</v>
      </c>
      <c r="Y3130" s="131">
        <f>_xll.qlCalendarAdvance(Calendar,X3130,NDays&amp;"D")</f>
        <v>61213</v>
      </c>
      <c r="Z3130" s="132">
        <v>1.3633830164388582E-2</v>
      </c>
      <c r="AA3130" s="129">
        <v>1.3582814860058079E-2</v>
      </c>
    </row>
    <row r="3131" spans="19:27" x14ac:dyDescent="0.2">
      <c r="S3131" s="1"/>
      <c r="T3131" s="109"/>
      <c r="W3131" s="130" t="str">
        <f t="shared" si="58"/>
        <v>1w</v>
      </c>
      <c r="X3131" s="128">
        <f>_xll.qlCalendarAdvance(Calendar,X3130,W3131,"f",FALSE)</f>
        <v>61218</v>
      </c>
      <c r="Y3131" s="131">
        <f>_xll.qlCalendarAdvance(Calendar,X3131,NDays&amp;"D")</f>
        <v>61220</v>
      </c>
      <c r="Z3131" s="132">
        <v>1.363806037645965E-2</v>
      </c>
      <c r="AA3131" s="129">
        <v>1.3587096445064617E-2</v>
      </c>
    </row>
    <row r="3132" spans="19:27" x14ac:dyDescent="0.2">
      <c r="S3132" s="1"/>
      <c r="T3132" s="109"/>
      <c r="W3132" s="130" t="str">
        <f t="shared" si="58"/>
        <v>1w</v>
      </c>
      <c r="X3132" s="128">
        <f>_xll.qlCalendarAdvance(Calendar,X3131,W3132,"f",FALSE)</f>
        <v>61225</v>
      </c>
      <c r="Y3132" s="131">
        <f>_xll.qlCalendarAdvance(Calendar,X3132,NDays&amp;"D")</f>
        <v>61227</v>
      </c>
      <c r="Z3132" s="132">
        <v>1.3642280419052414E-2</v>
      </c>
      <c r="AA3132" s="129">
        <v>1.3591367891221395E-2</v>
      </c>
    </row>
    <row r="3133" spans="19:27" x14ac:dyDescent="0.2">
      <c r="S3133" s="1"/>
      <c r="T3133" s="109"/>
      <c r="W3133" s="130" t="str">
        <f t="shared" si="58"/>
        <v>1w</v>
      </c>
      <c r="X3133" s="128">
        <f>_xll.qlCalendarAdvance(Calendar,X3132,W3133,"f",FALSE)</f>
        <v>61232</v>
      </c>
      <c r="Y3133" s="131">
        <f>_xll.qlCalendarAdvance(Calendar,X3133,NDays&amp;"D")</f>
        <v>61234</v>
      </c>
      <c r="Z3133" s="132">
        <v>1.3646490292132121E-2</v>
      </c>
      <c r="AA3133" s="129">
        <v>1.3595629198288606E-2</v>
      </c>
    </row>
    <row r="3134" spans="19:27" x14ac:dyDescent="0.2">
      <c r="S3134" s="1"/>
      <c r="T3134" s="109"/>
      <c r="W3134" s="130" t="str">
        <f t="shared" si="58"/>
        <v>1w</v>
      </c>
      <c r="X3134" s="128">
        <f>_xll.qlCalendarAdvance(Calendar,X3133,W3134,"f",FALSE)</f>
        <v>61239</v>
      </c>
      <c r="Y3134" s="131">
        <f>_xll.qlCalendarAdvance(Calendar,X3134,NDays&amp;"D")</f>
        <v>61241</v>
      </c>
      <c r="Z3134" s="132">
        <v>1.3650133444865752E-2</v>
      </c>
      <c r="AA3134" s="129">
        <v>1.3599880366346184E-2</v>
      </c>
    </row>
    <row r="3135" spans="19:27" x14ac:dyDescent="0.2">
      <c r="S3135" s="1"/>
      <c r="T3135" s="109"/>
      <c r="W3135" s="130" t="str">
        <f t="shared" si="58"/>
        <v>1w</v>
      </c>
      <c r="X3135" s="128">
        <f>_xll.qlCalendarAdvance(Calendar,X3134,W3135,"f",FALSE)</f>
        <v>61246</v>
      </c>
      <c r="Y3135" s="131">
        <f>_xll.qlCalendarAdvance(Calendar,X3135,NDays&amp;"D")</f>
        <v>61248</v>
      </c>
      <c r="Z3135" s="132">
        <v>1.3654323546594195E-2</v>
      </c>
      <c r="AA3135" s="129">
        <v>1.3604121395314195E-2</v>
      </c>
    </row>
    <row r="3136" spans="19:27" x14ac:dyDescent="0.2">
      <c r="S3136" s="1"/>
      <c r="T3136" s="109"/>
      <c r="W3136" s="130" t="str">
        <f t="shared" si="58"/>
        <v>1w</v>
      </c>
      <c r="X3136" s="128">
        <f>_xll.qlCalendarAdvance(Calendar,X3135,W3136,"f",FALSE)</f>
        <v>61253</v>
      </c>
      <c r="Y3136" s="131">
        <f>_xll.qlCalendarAdvance(Calendar,X3136,NDays&amp;"D")</f>
        <v>61255</v>
      </c>
      <c r="Z3136" s="132">
        <v>1.3658503479053254E-2</v>
      </c>
      <c r="AA3136" s="129">
        <v>1.3608352285272574E-2</v>
      </c>
    </row>
    <row r="3137" spans="19:27" x14ac:dyDescent="0.2">
      <c r="S3137" s="1"/>
      <c r="T3137" s="109"/>
      <c r="W3137" s="130" t="str">
        <f t="shared" si="58"/>
        <v>1w</v>
      </c>
      <c r="X3137" s="128">
        <f>_xll.qlCalendarAdvance(Calendar,X3136,W3137,"f",FALSE)</f>
        <v>61260</v>
      </c>
      <c r="Y3137" s="131">
        <f>_xll.qlCalendarAdvance(Calendar,X3137,NDays&amp;"D")</f>
        <v>61262</v>
      </c>
      <c r="Z3137" s="132">
        <v>1.3662673242209551E-2</v>
      </c>
      <c r="AA3137" s="129">
        <v>1.3612573036301256E-2</v>
      </c>
    </row>
    <row r="3138" spans="19:27" x14ac:dyDescent="0.2">
      <c r="S3138" s="1"/>
      <c r="T3138" s="109"/>
      <c r="W3138" s="130" t="str">
        <f t="shared" si="58"/>
        <v>1w</v>
      </c>
      <c r="X3138" s="128">
        <f>_xll.qlCalendarAdvance(Calendar,X3137,W3138,"f",FALSE)</f>
        <v>61267</v>
      </c>
      <c r="Y3138" s="131">
        <f>_xll.qlCalendarAdvance(Calendar,X3138,NDays&amp;"D")</f>
        <v>61269</v>
      </c>
      <c r="Z3138" s="132">
        <v>1.3666832836029706E-2</v>
      </c>
      <c r="AA3138" s="129">
        <v>1.3616783648240371E-2</v>
      </c>
    </row>
    <row r="3139" spans="19:27" x14ac:dyDescent="0.2">
      <c r="S3139" s="1"/>
      <c r="T3139" s="109"/>
      <c r="W3139" s="130" t="str">
        <f t="shared" si="58"/>
        <v>1w</v>
      </c>
      <c r="X3139" s="128">
        <f>_xll.qlCalendarAdvance(Calendar,X3138,W3139,"f",FALSE)</f>
        <v>61274</v>
      </c>
      <c r="Y3139" s="131">
        <f>_xll.qlCalendarAdvance(Calendar,X3139,NDays&amp;"D")</f>
        <v>61276</v>
      </c>
      <c r="Z3139" s="132">
        <v>1.3671535969037587E-2</v>
      </c>
      <c r="AA3139" s="129">
        <v>1.3620984121169855E-2</v>
      </c>
    </row>
    <row r="3140" spans="19:27" x14ac:dyDescent="0.2">
      <c r="S3140" s="1"/>
      <c r="T3140" s="109"/>
      <c r="W3140" s="130" t="str">
        <f t="shared" si="58"/>
        <v>1w</v>
      </c>
      <c r="X3140" s="128">
        <f>_xll.qlCalendarAdvance(Calendar,X3139,W3140,"f",FALSE)</f>
        <v>61281</v>
      </c>
      <c r="Y3140" s="131">
        <f>_xll.qlCalendarAdvance(Calendar,X3140,NDays&amp;"D")</f>
        <v>61283</v>
      </c>
      <c r="Z3140" s="132">
        <v>1.3675674654624001E-2</v>
      </c>
      <c r="AA3140" s="129">
        <v>1.3625174455169642E-2</v>
      </c>
    </row>
    <row r="3141" spans="19:27" x14ac:dyDescent="0.2">
      <c r="S3141" s="1"/>
      <c r="T3141" s="109"/>
      <c r="W3141" s="130" t="str">
        <f t="shared" si="58"/>
        <v>1w</v>
      </c>
      <c r="X3141" s="128">
        <f>_xll.qlCalendarAdvance(Calendar,X3140,W3141,"f",FALSE)</f>
        <v>61288</v>
      </c>
      <c r="Y3141" s="131">
        <f>_xll.qlCalendarAdvance(Calendar,X3141,NDays&amp;"D")</f>
        <v>61290</v>
      </c>
      <c r="Z3141" s="132">
        <v>1.3679803170437566E-2</v>
      </c>
      <c r="AA3141" s="129">
        <v>1.3629354649999925E-2</v>
      </c>
    </row>
    <row r="3142" spans="19:27" x14ac:dyDescent="0.2">
      <c r="S3142" s="1"/>
      <c r="T3142" s="109"/>
      <c r="W3142" s="130" t="str">
        <f t="shared" si="58"/>
        <v>1w</v>
      </c>
      <c r="X3142" s="128">
        <f>_xll.qlCalendarAdvance(Calendar,X3141,W3142,"f",FALSE)</f>
        <v>61295</v>
      </c>
      <c r="Y3142" s="131">
        <f>_xll.qlCalendarAdvance(Calendar,X3142,NDays&amp;"D")</f>
        <v>61297</v>
      </c>
      <c r="Z3142" s="132">
        <v>1.3683921516449609E-2</v>
      </c>
      <c r="AA3142" s="129">
        <v>1.3633524705820577E-2</v>
      </c>
    </row>
    <row r="3143" spans="19:27" x14ac:dyDescent="0.2">
      <c r="S3143" s="1"/>
      <c r="T3143" s="109"/>
      <c r="W3143" s="130" t="str">
        <f t="shared" si="58"/>
        <v>1w</v>
      </c>
      <c r="X3143" s="128">
        <f>_xll.qlCalendarAdvance(Calendar,X3142,W3143,"f",FALSE)</f>
        <v>61302</v>
      </c>
      <c r="Y3143" s="131">
        <f>_xll.qlCalendarAdvance(Calendar,X3143,NDays&amp;"D")</f>
        <v>61304</v>
      </c>
      <c r="Z3143" s="132">
        <v>1.3688029692625373E-2</v>
      </c>
      <c r="AA3143" s="129">
        <v>1.3637684622711532E-2</v>
      </c>
    </row>
    <row r="3144" spans="19:27" x14ac:dyDescent="0.2">
      <c r="S3144" s="1"/>
      <c r="T3144" s="109"/>
      <c r="W3144" s="130" t="str">
        <f t="shared" si="58"/>
        <v>1w</v>
      </c>
      <c r="X3144" s="128">
        <f>_xll.qlCalendarAdvance(Calendar,X3143,W3144,"f",FALSE)</f>
        <v>61309</v>
      </c>
      <c r="Y3144" s="131">
        <f>_xll.qlCalendarAdvance(Calendar,X3144,NDays&amp;"D")</f>
        <v>61311</v>
      </c>
      <c r="Z3144" s="132">
        <v>1.3692127698933581E-2</v>
      </c>
      <c r="AA3144" s="129">
        <v>1.364183440051292E-2</v>
      </c>
    </row>
    <row r="3145" spans="19:27" x14ac:dyDescent="0.2">
      <c r="S3145" s="1"/>
      <c r="T3145" s="109"/>
      <c r="W3145" s="130" t="str">
        <f t="shared" si="58"/>
        <v>1w</v>
      </c>
      <c r="X3145" s="128">
        <f>_xll.qlCalendarAdvance(Calendar,X3144,W3145,"f",FALSE)</f>
        <v>61316</v>
      </c>
      <c r="Y3145" s="131">
        <f>_xll.qlCalendarAdvance(Calendar,X3145,NDays&amp;"D")</f>
        <v>61318</v>
      </c>
      <c r="Z3145" s="132">
        <v>1.3696215535342086E-2</v>
      </c>
      <c r="AA3145" s="129">
        <v>1.3645974039304676E-2</v>
      </c>
    </row>
    <row r="3146" spans="19:27" x14ac:dyDescent="0.2">
      <c r="S3146" s="1"/>
      <c r="T3146" s="109"/>
      <c r="W3146" s="130" t="str">
        <f t="shared" si="58"/>
        <v>1w</v>
      </c>
      <c r="X3146" s="128">
        <f>_xll.qlCalendarAdvance(Calendar,X3145,W3146,"f",FALSE)</f>
        <v>61323</v>
      </c>
      <c r="Y3146" s="131">
        <f>_xll.qlCalendarAdvance(Calendar,X3146,NDays&amp;"D")</f>
        <v>61325</v>
      </c>
      <c r="Z3146" s="132">
        <v>1.3700293201820472E-2</v>
      </c>
      <c r="AA3146" s="129">
        <v>1.36501035390868E-2</v>
      </c>
    </row>
    <row r="3147" spans="19:27" x14ac:dyDescent="0.2">
      <c r="S3147" s="1"/>
      <c r="T3147" s="109"/>
      <c r="W3147" s="130" t="str">
        <f t="shared" si="58"/>
        <v>1w</v>
      </c>
      <c r="X3147" s="128">
        <f>_xll.qlCalendarAdvance(Calendar,X3146,W3147,"f",FALSE)</f>
        <v>61330</v>
      </c>
      <c r="Y3147" s="131">
        <f>_xll.qlCalendarAdvance(Calendar,X3147,NDays&amp;"D")</f>
        <v>61332</v>
      </c>
      <c r="Z3147" s="132">
        <v>1.3703811555091483E-2</v>
      </c>
      <c r="AA3147" s="129">
        <v>1.3654222899779356E-2</v>
      </c>
    </row>
    <row r="3148" spans="19:27" x14ac:dyDescent="0.2">
      <c r="S3148" s="1"/>
      <c r="T3148" s="109"/>
      <c r="W3148" s="130" t="str">
        <f t="shared" si="58"/>
        <v>1w</v>
      </c>
      <c r="X3148" s="128">
        <f>_xll.qlCalendarAdvance(Calendar,X3147,W3148,"f",FALSE)</f>
        <v>61337</v>
      </c>
      <c r="Y3148" s="131">
        <f>_xll.qlCalendarAdvance(Calendar,X3148,NDays&amp;"D")</f>
        <v>61339</v>
      </c>
      <c r="Z3148" s="132">
        <v>1.3707869453815337E-2</v>
      </c>
      <c r="AA3148" s="129">
        <v>1.365833212146228E-2</v>
      </c>
    </row>
    <row r="3149" spans="19:27" x14ac:dyDescent="0.2">
      <c r="S3149" s="1"/>
      <c r="T3149" s="109"/>
      <c r="W3149" s="130" t="str">
        <f t="shared" si="58"/>
        <v>1w</v>
      </c>
      <c r="X3149" s="128">
        <f>_xll.qlCalendarAdvance(Calendar,X3148,W3149,"f",FALSE)</f>
        <v>61344</v>
      </c>
      <c r="Y3149" s="131">
        <f>_xll.qlCalendarAdvance(Calendar,X3149,NDays&amp;"D")</f>
        <v>61346</v>
      </c>
      <c r="Z3149" s="132">
        <v>1.371191718285871E-2</v>
      </c>
      <c r="AA3149" s="129">
        <v>1.3662431204135572E-2</v>
      </c>
    </row>
    <row r="3150" spans="19:27" x14ac:dyDescent="0.2">
      <c r="S3150" s="1"/>
      <c r="T3150" s="109"/>
      <c r="W3150" s="130" t="str">
        <f t="shared" si="58"/>
        <v>1w</v>
      </c>
      <c r="X3150" s="128">
        <f>_xll.qlCalendarAdvance(Calendar,X3149,W3150,"f",FALSE)</f>
        <v>61351</v>
      </c>
      <c r="Y3150" s="131">
        <f>_xll.qlCalendarAdvance(Calendar,X3150,NDays&amp;"D")</f>
        <v>61353</v>
      </c>
      <c r="Z3150" s="132">
        <v>1.3715954742187342E-2</v>
      </c>
      <c r="AA3150" s="129">
        <v>1.3666520147799233E-2</v>
      </c>
    </row>
    <row r="3151" spans="19:27" x14ac:dyDescent="0.2">
      <c r="S3151" s="1"/>
      <c r="T3151" s="109"/>
      <c r="W3151" s="130" t="str">
        <f t="shared" si="58"/>
        <v>1w</v>
      </c>
      <c r="X3151" s="128">
        <f>_xll.qlCalendarAdvance(Calendar,X3150,W3151,"f",FALSE)</f>
        <v>61358</v>
      </c>
      <c r="Y3151" s="131">
        <f>_xll.qlCalendarAdvance(Calendar,X3151,NDays&amp;"D")</f>
        <v>61360</v>
      </c>
      <c r="Z3151" s="132">
        <v>1.3719982131772245E-2</v>
      </c>
      <c r="AA3151" s="129">
        <v>1.3670598952453261E-2</v>
      </c>
    </row>
    <row r="3152" spans="19:27" x14ac:dyDescent="0.2">
      <c r="S3152" s="1"/>
      <c r="T3152" s="109"/>
      <c r="W3152" s="130" t="str">
        <f t="shared" si="58"/>
        <v>1w</v>
      </c>
      <c r="X3152" s="128">
        <f>_xll.qlCalendarAdvance(Calendar,X3151,W3152,"f",FALSE)</f>
        <v>61365</v>
      </c>
      <c r="Y3152" s="131">
        <f>_xll.qlCalendarAdvance(Calendar,X3152,NDays&amp;"D")</f>
        <v>61367</v>
      </c>
      <c r="Z3152" s="132">
        <v>1.3723999351580918E-2</v>
      </c>
      <c r="AA3152" s="129">
        <v>1.3674667618017722E-2</v>
      </c>
    </row>
    <row r="3153" spans="19:27" x14ac:dyDescent="0.2">
      <c r="S3153" s="1"/>
      <c r="T3153" s="109"/>
      <c r="W3153" s="130" t="str">
        <f t="shared" si="58"/>
        <v>1w</v>
      </c>
      <c r="X3153" s="128">
        <f>_xll.qlCalendarAdvance(Calendar,X3152,W3153,"f",FALSE)</f>
        <v>61372</v>
      </c>
      <c r="Y3153" s="131">
        <f>_xll.qlCalendarAdvance(Calendar,X3153,NDays&amp;"D")</f>
        <v>61374</v>
      </c>
      <c r="Z3153" s="132">
        <v>1.3728006401583495E-2</v>
      </c>
      <c r="AA3153" s="129">
        <v>1.3678726144652487E-2</v>
      </c>
    </row>
    <row r="3154" spans="19:27" x14ac:dyDescent="0.2">
      <c r="S3154" s="1"/>
      <c r="T3154" s="109"/>
      <c r="W3154" s="130" t="str">
        <f t="shared" si="58"/>
        <v>1w</v>
      </c>
      <c r="X3154" s="128">
        <f>_xll.qlCalendarAdvance(Calendar,X3153,W3154,"f",FALSE)</f>
        <v>61379</v>
      </c>
      <c r="Y3154" s="131">
        <f>_xll.qlCalendarAdvance(Calendar,X3154,NDays&amp;"D")</f>
        <v>61381</v>
      </c>
      <c r="Z3154" s="132">
        <v>1.3732003281748353E-2</v>
      </c>
      <c r="AA3154" s="129">
        <v>1.3682774532117747E-2</v>
      </c>
    </row>
    <row r="3155" spans="19:27" x14ac:dyDescent="0.2">
      <c r="S3155" s="1"/>
      <c r="T3155" s="109"/>
      <c r="W3155" s="130" t="str">
        <f t="shared" si="58"/>
        <v>1w</v>
      </c>
      <c r="X3155" s="128">
        <f>_xll.qlCalendarAdvance(Calendar,X3154,W3155,"f",FALSE)</f>
        <v>61386</v>
      </c>
      <c r="Y3155" s="131">
        <f>_xll.qlCalendarAdvance(Calendar,X3155,NDays&amp;"D")</f>
        <v>61388</v>
      </c>
      <c r="Z3155" s="132">
        <v>1.3735989992043868E-2</v>
      </c>
      <c r="AA3155" s="129">
        <v>1.3686812780573376E-2</v>
      </c>
    </row>
    <row r="3156" spans="19:27" x14ac:dyDescent="0.2">
      <c r="S3156" s="1"/>
      <c r="T3156" s="109"/>
      <c r="W3156" s="130" t="str">
        <f t="shared" si="58"/>
        <v>1w</v>
      </c>
      <c r="X3156" s="128">
        <f>_xll.qlCalendarAdvance(Calendar,X3155,W3156,"f",FALSE)</f>
        <v>61393</v>
      </c>
      <c r="Y3156" s="131">
        <f>_xll.qlCalendarAdvance(Calendar,X3156,NDays&amp;"D")</f>
        <v>61395</v>
      </c>
      <c r="Z3156" s="132">
        <v>1.3739422510378851E-2</v>
      </c>
      <c r="AA3156" s="129">
        <v>1.3690840890179246E-2</v>
      </c>
    </row>
    <row r="3157" spans="19:27" x14ac:dyDescent="0.2">
      <c r="S3157" s="1"/>
      <c r="T3157" s="109"/>
      <c r="W3157" s="130" t="str">
        <f t="shared" ref="W3157:W3220" si="59">W3156</f>
        <v>1w</v>
      </c>
      <c r="X3157" s="128">
        <f>_xll.qlCalendarAdvance(Calendar,X3156,W3157,"f",FALSE)</f>
        <v>61400</v>
      </c>
      <c r="Y3157" s="131">
        <f>_xll.qlCalendarAdvance(Calendar,X3157,NDays&amp;"D")</f>
        <v>61402</v>
      </c>
      <c r="Z3157" s="132">
        <v>1.3743389456109867E-2</v>
      </c>
      <c r="AA3157" s="129">
        <v>1.3694858860615611E-2</v>
      </c>
    </row>
    <row r="3158" spans="19:27" x14ac:dyDescent="0.2">
      <c r="S3158" s="1"/>
      <c r="T3158" s="109"/>
      <c r="W3158" s="130" t="str">
        <f t="shared" si="59"/>
        <v>1w</v>
      </c>
      <c r="X3158" s="128">
        <f>_xll.qlCalendarAdvance(Calendar,X3157,W3158,"f",FALSE)</f>
        <v>61407</v>
      </c>
      <c r="Y3158" s="131">
        <f>_xll.qlCalendarAdvance(Calendar,X3158,NDays&amp;"D")</f>
        <v>61409</v>
      </c>
      <c r="Z3158" s="132">
        <v>1.3747346232228175E-2</v>
      </c>
      <c r="AA3158" s="129">
        <v>1.3698866691962408E-2</v>
      </c>
    </row>
    <row r="3159" spans="19:27" x14ac:dyDescent="0.2">
      <c r="S3159" s="1"/>
      <c r="T3159" s="109"/>
      <c r="W3159" s="130" t="str">
        <f t="shared" si="59"/>
        <v>1w</v>
      </c>
      <c r="X3159" s="128">
        <f>_xll.qlCalendarAdvance(Calendar,X3158,W3159,"f",FALSE)</f>
        <v>61414</v>
      </c>
      <c r="Y3159" s="131">
        <f>_xll.qlCalendarAdvance(Calendar,X3159,NDays&amp;"D")</f>
        <v>61416</v>
      </c>
      <c r="Z3159" s="132">
        <v>1.3751292838702689E-2</v>
      </c>
      <c r="AA3159" s="129">
        <v>1.3702864384379509E-2</v>
      </c>
    </row>
    <row r="3160" spans="19:27" x14ac:dyDescent="0.2">
      <c r="S3160" s="1"/>
      <c r="T3160" s="109"/>
      <c r="W3160" s="130" t="str">
        <f t="shared" si="59"/>
        <v>1w</v>
      </c>
      <c r="X3160" s="128">
        <f>_xll.qlCalendarAdvance(Calendar,X3159,W3160,"f",FALSE)</f>
        <v>61421</v>
      </c>
      <c r="Y3160" s="131">
        <f>_xll.qlCalendarAdvance(Calendar,X3160,NDays&amp;"D")</f>
        <v>61423</v>
      </c>
      <c r="Z3160" s="132">
        <v>1.3756312672164716E-2</v>
      </c>
      <c r="AA3160" s="129">
        <v>1.3706851937707043E-2</v>
      </c>
    </row>
    <row r="3161" spans="19:27" x14ac:dyDescent="0.2">
      <c r="S3161" s="1"/>
      <c r="T3161" s="109"/>
      <c r="W3161" s="130" t="str">
        <f t="shared" si="59"/>
        <v>1w</v>
      </c>
      <c r="X3161" s="128">
        <f>_xll.qlCalendarAdvance(Calendar,X3160,W3161,"f",FALSE)</f>
        <v>61428</v>
      </c>
      <c r="Y3161" s="131">
        <f>_xll.qlCalendarAdvance(Calendar,X3161,NDays&amp;"D")</f>
        <v>61430</v>
      </c>
      <c r="Z3161" s="132">
        <v>1.3760237785921345E-2</v>
      </c>
      <c r="AA3161" s="129">
        <v>1.3710829352184817E-2</v>
      </c>
    </row>
    <row r="3162" spans="19:27" x14ac:dyDescent="0.2">
      <c r="S3162" s="1"/>
      <c r="T3162" s="109"/>
      <c r="W3162" s="130" t="str">
        <f t="shared" si="59"/>
        <v>1w</v>
      </c>
      <c r="X3162" s="128">
        <f>_xll.qlCalendarAdvance(Calendar,X3161,W3162,"f",FALSE)</f>
        <v>61435</v>
      </c>
      <c r="Y3162" s="131">
        <f>_xll.qlCalendarAdvance(Calendar,X3162,NDays&amp;"D")</f>
        <v>61437</v>
      </c>
      <c r="Z3162" s="132">
        <v>1.3764152729247388E-2</v>
      </c>
      <c r="AA3162" s="129">
        <v>1.3714796627333214E-2</v>
      </c>
    </row>
    <row r="3163" spans="19:27" x14ac:dyDescent="0.2">
      <c r="S3163" s="1"/>
      <c r="T3163" s="109"/>
      <c r="W3163" s="130" t="str">
        <f t="shared" si="59"/>
        <v>1w</v>
      </c>
      <c r="X3163" s="128">
        <f>_xll.qlCalendarAdvance(Calendar,X3162,W3163,"f",FALSE)</f>
        <v>61442</v>
      </c>
      <c r="Y3163" s="131">
        <f>_xll.qlCalendarAdvance(Calendar,X3163,NDays&amp;"D")</f>
        <v>61444</v>
      </c>
      <c r="Z3163" s="132">
        <v>1.3768057502115044E-2</v>
      </c>
      <c r="AA3163" s="129">
        <v>1.3718753763551916E-2</v>
      </c>
    </row>
    <row r="3164" spans="19:27" x14ac:dyDescent="0.2">
      <c r="S3164" s="1"/>
      <c r="T3164" s="109"/>
      <c r="W3164" s="130" t="str">
        <f t="shared" si="59"/>
        <v>1w</v>
      </c>
      <c r="X3164" s="128">
        <f>_xll.qlCalendarAdvance(Calendar,X3163,W3164,"f",FALSE)</f>
        <v>61449</v>
      </c>
      <c r="Y3164" s="131">
        <f>_xll.qlCalendarAdvance(Calendar,X3164,NDays&amp;"D")</f>
        <v>61451</v>
      </c>
      <c r="Z3164" s="132">
        <v>1.3771952104493031E-2</v>
      </c>
      <c r="AA3164" s="129">
        <v>1.3722700760840922E-2</v>
      </c>
    </row>
    <row r="3165" spans="19:27" x14ac:dyDescent="0.2">
      <c r="S3165" s="1"/>
      <c r="T3165" s="109"/>
      <c r="W3165" s="130" t="str">
        <f t="shared" si="59"/>
        <v>1w</v>
      </c>
      <c r="X3165" s="128">
        <f>_xll.qlCalendarAdvance(Calendar,X3164,W3165,"f",FALSE)</f>
        <v>61456</v>
      </c>
      <c r="Y3165" s="131">
        <f>_xll.qlCalendarAdvance(Calendar,X3165,NDays&amp;"D")</f>
        <v>61458</v>
      </c>
      <c r="Z3165" s="132">
        <v>1.3775297745575104E-2</v>
      </c>
      <c r="AA3165" s="129">
        <v>1.3726637619040361E-2</v>
      </c>
    </row>
    <row r="3166" spans="19:27" x14ac:dyDescent="0.2">
      <c r="S3166" s="1"/>
      <c r="T3166" s="109"/>
      <c r="W3166" s="130" t="str">
        <f t="shared" si="59"/>
        <v>1w</v>
      </c>
      <c r="X3166" s="128">
        <f>_xll.qlCalendarAdvance(Calendar,X3165,W3166,"f",FALSE)</f>
        <v>61463</v>
      </c>
      <c r="Y3166" s="131">
        <f>_xll.qlCalendarAdvance(Calendar,X3166,NDays&amp;"D")</f>
        <v>61465</v>
      </c>
      <c r="Z3166" s="132">
        <v>1.3779172585319115E-2</v>
      </c>
      <c r="AA3166" s="129">
        <v>1.3730564338230167E-2</v>
      </c>
    </row>
    <row r="3167" spans="19:27" x14ac:dyDescent="0.2">
      <c r="S3167" s="1"/>
      <c r="T3167" s="109"/>
      <c r="W3167" s="130" t="str">
        <f t="shared" si="59"/>
        <v>1w</v>
      </c>
      <c r="X3167" s="128">
        <f>_xll.qlCalendarAdvance(Calendar,X3166,W3167,"f",FALSE)</f>
        <v>61470</v>
      </c>
      <c r="Y3167" s="131">
        <f>_xll.qlCalendarAdvance(Calendar,X3167,NDays&amp;"D")</f>
        <v>61472</v>
      </c>
      <c r="Z3167" s="132">
        <v>1.3783037254832755E-2</v>
      </c>
      <c r="AA3167" s="129">
        <v>1.3736646060092284E-2</v>
      </c>
    </row>
    <row r="3168" spans="19:27" x14ac:dyDescent="0.2">
      <c r="S3168" s="1"/>
      <c r="T3168" s="109"/>
      <c r="W3168" s="130" t="str">
        <f t="shared" si="59"/>
        <v>1w</v>
      </c>
      <c r="X3168" s="128">
        <f>_xll.qlCalendarAdvance(Calendar,X3167,W3168,"f",FALSE)</f>
        <v>61477</v>
      </c>
      <c r="Y3168" s="131">
        <f>_xll.qlCalendarAdvance(Calendar,X3168,NDays&amp;"D")</f>
        <v>61479</v>
      </c>
      <c r="Z3168" s="132">
        <v>1.3786891754086157E-2</v>
      </c>
      <c r="AA3168" s="129">
        <v>1.3738387359500948E-2</v>
      </c>
    </row>
    <row r="3169" spans="19:27" x14ac:dyDescent="0.2">
      <c r="S3169" s="1"/>
      <c r="T3169" s="109"/>
      <c r="W3169" s="130" t="str">
        <f t="shared" si="59"/>
        <v>1w</v>
      </c>
      <c r="X3169" s="128">
        <f>_xll.qlCalendarAdvance(Calendar,X3168,W3169,"f",FALSE)</f>
        <v>61485</v>
      </c>
      <c r="Y3169" s="131">
        <f>_xll.qlCalendarAdvance(Calendar,X3169,NDays&amp;"D")</f>
        <v>61487</v>
      </c>
      <c r="Z3169" s="132">
        <v>1.3792893494187514E-2</v>
      </c>
      <c r="AA3169" s="129">
        <v>1.3743919635311741E-2</v>
      </c>
    </row>
    <row r="3170" spans="19:27" x14ac:dyDescent="0.2">
      <c r="S3170" s="1"/>
      <c r="T3170" s="109"/>
      <c r="W3170" s="130" t="str">
        <f t="shared" si="59"/>
        <v>1w</v>
      </c>
      <c r="X3170" s="128">
        <f>_xll.qlCalendarAdvance(Calendar,X3169,W3170,"f",FALSE)</f>
        <v>61492</v>
      </c>
      <c r="Y3170" s="131">
        <f>_xll.qlCalendarAdvance(Calendar,X3170,NDays&amp;"D")</f>
        <v>61494</v>
      </c>
      <c r="Z3170" s="132">
        <v>1.3796724460141341E-2</v>
      </c>
      <c r="AA3170" s="129">
        <v>1.3747803198009834E-2</v>
      </c>
    </row>
    <row r="3171" spans="19:27" x14ac:dyDescent="0.2">
      <c r="S3171" s="1"/>
      <c r="T3171" s="109"/>
      <c r="W3171" s="130" t="str">
        <f t="shared" si="59"/>
        <v>1w</v>
      </c>
      <c r="X3171" s="128">
        <f>_xll.qlCalendarAdvance(Calendar,X3170,W3171,"f",FALSE)</f>
        <v>61499</v>
      </c>
      <c r="Y3171" s="131">
        <f>_xll.qlCalendarAdvance(Calendar,X3171,NDays&amp;"D")</f>
        <v>61501</v>
      </c>
      <c r="Z3171" s="132">
        <v>1.3800545254689324E-2</v>
      </c>
      <c r="AA3171" s="129">
        <v>1.375167662097887E-2</v>
      </c>
    </row>
    <row r="3172" spans="19:27" x14ac:dyDescent="0.2">
      <c r="S3172" s="1"/>
      <c r="T3172" s="109"/>
      <c r="W3172" s="130" t="str">
        <f t="shared" si="59"/>
        <v>1w</v>
      </c>
      <c r="X3172" s="128">
        <f>_xll.qlCalendarAdvance(Calendar,X3171,W3172,"f",FALSE)</f>
        <v>61506</v>
      </c>
      <c r="Y3172" s="131">
        <f>_xll.qlCalendarAdvance(Calendar,X3172,NDays&amp;"D")</f>
        <v>61508</v>
      </c>
      <c r="Z3172" s="132">
        <v>1.3804355877802548E-2</v>
      </c>
      <c r="AA3172" s="129">
        <v>1.3755539904245495E-2</v>
      </c>
    </row>
    <row r="3173" spans="19:27" x14ac:dyDescent="0.2">
      <c r="S3173" s="1"/>
      <c r="T3173" s="109"/>
      <c r="W3173" s="130" t="str">
        <f t="shared" si="59"/>
        <v>1w</v>
      </c>
      <c r="X3173" s="128">
        <f>_xll.qlCalendarAdvance(Calendar,X3172,W3173,"f",FALSE)</f>
        <v>61513</v>
      </c>
      <c r="Y3173" s="131">
        <f>_xll.qlCalendarAdvance(Calendar,X3173,NDays&amp;"D")</f>
        <v>61515</v>
      </c>
      <c r="Z3173" s="132">
        <v>1.3808156329450401E-2</v>
      </c>
      <c r="AA3173" s="129">
        <v>1.3759393047783064E-2</v>
      </c>
    </row>
    <row r="3174" spans="19:27" x14ac:dyDescent="0.2">
      <c r="S3174" s="1"/>
      <c r="T3174" s="109"/>
      <c r="W3174" s="130" t="str">
        <f t="shared" si="59"/>
        <v>1w</v>
      </c>
      <c r="X3174" s="128">
        <f>_xll.qlCalendarAdvance(Calendar,X3173,W3174,"f",FALSE)</f>
        <v>61520</v>
      </c>
      <c r="Y3174" s="131">
        <f>_xll.qlCalendarAdvance(Calendar,X3174,NDays&amp;"D")</f>
        <v>61522</v>
      </c>
      <c r="Z3174" s="132">
        <v>1.3811946609602267E-2</v>
      </c>
      <c r="AA3174" s="129">
        <v>1.3763236051564931E-2</v>
      </c>
    </row>
    <row r="3175" spans="19:27" x14ac:dyDescent="0.2">
      <c r="S3175" s="1"/>
      <c r="T3175" s="109"/>
      <c r="W3175" s="130" t="str">
        <f t="shared" si="59"/>
        <v>1w</v>
      </c>
      <c r="X3175" s="128">
        <f>_xll.qlCalendarAdvance(Calendar,X3174,W3175,"f",FALSE)</f>
        <v>61527</v>
      </c>
      <c r="Y3175" s="131">
        <f>_xll.qlCalendarAdvance(Calendar,X3175,NDays&amp;"D")</f>
        <v>61529</v>
      </c>
      <c r="Z3175" s="132">
        <v>1.3815726718226683E-2</v>
      </c>
      <c r="AA3175" s="129">
        <v>1.3767068915644387E-2</v>
      </c>
    </row>
    <row r="3176" spans="19:27" x14ac:dyDescent="0.2">
      <c r="S3176" s="1"/>
      <c r="T3176" s="109"/>
      <c r="W3176" s="130" t="str">
        <f t="shared" si="59"/>
        <v>1w</v>
      </c>
      <c r="X3176" s="128">
        <f>_xll.qlCalendarAdvance(Calendar,X3175,W3176,"f",FALSE)</f>
        <v>61534</v>
      </c>
      <c r="Y3176" s="131">
        <f>_xll.qlCalendarAdvance(Calendar,X3176,NDays&amp;"D")</f>
        <v>61536</v>
      </c>
      <c r="Z3176" s="132">
        <v>1.3819496655296436E-2</v>
      </c>
      <c r="AA3176" s="129">
        <v>1.3770891639994787E-2</v>
      </c>
    </row>
    <row r="3177" spans="19:27" x14ac:dyDescent="0.2">
      <c r="S3177" s="1"/>
      <c r="T3177" s="109"/>
      <c r="W3177" s="130" t="str">
        <f t="shared" si="59"/>
        <v>1w</v>
      </c>
      <c r="X3177" s="128">
        <f>_xll.qlCalendarAdvance(Calendar,X3176,W3177,"f",FALSE)</f>
        <v>61541</v>
      </c>
      <c r="Y3177" s="131">
        <f>_xll.qlCalendarAdvance(Calendar,X3177,NDays&amp;"D")</f>
        <v>61543</v>
      </c>
      <c r="Z3177" s="132">
        <v>1.3821661317052075E-2</v>
      </c>
      <c r="AA3177" s="129">
        <v>1.3774704224642775E-2</v>
      </c>
    </row>
    <row r="3178" spans="19:27" x14ac:dyDescent="0.2">
      <c r="S3178" s="1"/>
      <c r="T3178" s="109"/>
      <c r="W3178" s="130" t="str">
        <f t="shared" si="59"/>
        <v>1w</v>
      </c>
      <c r="X3178" s="128">
        <f>_xll.qlCalendarAdvance(Calendar,X3177,W3178,"f",FALSE)</f>
        <v>61548</v>
      </c>
      <c r="Y3178" s="131">
        <f>_xll.qlCalendarAdvance(Calendar,X3178,NDays&amp;"D")</f>
        <v>61550</v>
      </c>
      <c r="Z3178" s="132">
        <v>1.382700601464695E-2</v>
      </c>
      <c r="AA3178" s="129">
        <v>1.3778506669481771E-2</v>
      </c>
    </row>
    <row r="3179" spans="19:27" x14ac:dyDescent="0.2">
      <c r="S3179" s="1"/>
      <c r="T3179" s="109"/>
      <c r="W3179" s="130" t="str">
        <f t="shared" si="59"/>
        <v>1w</v>
      </c>
      <c r="X3179" s="128">
        <f>_xll.qlCalendarAdvance(Calendar,X3178,W3179,"f",FALSE)</f>
        <v>61555</v>
      </c>
      <c r="Y3179" s="131">
        <f>_xll.qlCalendarAdvance(Calendar,X3179,NDays&amp;"D")</f>
        <v>61557</v>
      </c>
      <c r="Z3179" s="132">
        <v>1.3830745436869884E-2</v>
      </c>
      <c r="AA3179" s="129">
        <v>1.3782298974671647E-2</v>
      </c>
    </row>
    <row r="3180" spans="19:27" x14ac:dyDescent="0.2">
      <c r="S3180" s="1"/>
      <c r="T3180" s="109"/>
      <c r="W3180" s="130" t="str">
        <f t="shared" si="59"/>
        <v>1w</v>
      </c>
      <c r="X3180" s="128">
        <f>_xll.qlCalendarAdvance(Calendar,X3179,W3180,"f",FALSE)</f>
        <v>61562</v>
      </c>
      <c r="Y3180" s="131">
        <f>_xll.qlCalendarAdvance(Calendar,X3180,NDays&amp;"D")</f>
        <v>61564</v>
      </c>
      <c r="Z3180" s="132">
        <v>1.3834474687415702E-2</v>
      </c>
      <c r="AA3180" s="129">
        <v>1.3786081140052531E-2</v>
      </c>
    </row>
    <row r="3181" spans="19:27" x14ac:dyDescent="0.2">
      <c r="S3181" s="1"/>
      <c r="T3181" s="109"/>
      <c r="W3181" s="130" t="str">
        <f t="shared" si="59"/>
        <v>1w</v>
      </c>
      <c r="X3181" s="128">
        <f>_xll.qlCalendarAdvance(Calendar,X3180,W3181,"f",FALSE)</f>
        <v>61569</v>
      </c>
      <c r="Y3181" s="131">
        <f>_xll.qlCalendarAdvance(Calendar,X3181,NDays&amp;"D")</f>
        <v>61571</v>
      </c>
      <c r="Z3181" s="132">
        <v>1.3838193766257188E-2</v>
      </c>
      <c r="AA3181" s="129">
        <v>1.3789853165757648E-2</v>
      </c>
    </row>
    <row r="3182" spans="19:27" x14ac:dyDescent="0.2">
      <c r="S3182" s="1"/>
      <c r="T3182" s="109"/>
      <c r="W3182" s="130" t="str">
        <f t="shared" si="59"/>
        <v>1w</v>
      </c>
      <c r="X3182" s="128">
        <f>_xll.qlCalendarAdvance(Calendar,X3181,W3182,"f",FALSE)</f>
        <v>61576</v>
      </c>
      <c r="Y3182" s="131">
        <f>_xll.qlCalendarAdvance(Calendar,X3182,NDays&amp;"D")</f>
        <v>61578</v>
      </c>
      <c r="Z3182" s="132">
        <v>1.3841902673364581E-2</v>
      </c>
      <c r="AA3182" s="129">
        <v>1.3793615051680419E-2</v>
      </c>
    </row>
    <row r="3183" spans="19:27" x14ac:dyDescent="0.2">
      <c r="S3183" s="1"/>
      <c r="T3183" s="109"/>
      <c r="W3183" s="130" t="str">
        <f t="shared" si="59"/>
        <v>1w</v>
      </c>
      <c r="X3183" s="128">
        <f>_xll.qlCalendarAdvance(Calendar,X3182,W3183,"f",FALSE)</f>
        <v>61583</v>
      </c>
      <c r="Y3183" s="131">
        <f>_xll.qlCalendarAdvance(Calendar,X3183,NDays&amp;"D")</f>
        <v>61585</v>
      </c>
      <c r="Z3183" s="132">
        <v>1.3845601408707267E-2</v>
      </c>
      <c r="AA3183" s="129">
        <v>1.3797366797874133E-2</v>
      </c>
    </row>
    <row r="3184" spans="19:27" x14ac:dyDescent="0.2">
      <c r="S3184" s="1"/>
      <c r="T3184" s="109"/>
      <c r="W3184" s="130" t="str">
        <f t="shared" si="59"/>
        <v>1w</v>
      </c>
      <c r="X3184" s="128">
        <f>_xll.qlCalendarAdvance(Calendar,X3183,W3184,"f",FALSE)</f>
        <v>61590</v>
      </c>
      <c r="Y3184" s="131">
        <f>_xll.qlCalendarAdvance(Calendar,X3184,NDays&amp;"D")</f>
        <v>61592</v>
      </c>
      <c r="Z3184" s="132">
        <v>1.3849289972257183E-2</v>
      </c>
      <c r="AA3184" s="129">
        <v>1.3801108404338791E-2</v>
      </c>
    </row>
    <row r="3185" spans="19:27" x14ac:dyDescent="0.2">
      <c r="S3185" s="1"/>
      <c r="T3185" s="109"/>
      <c r="W3185" s="130" t="str">
        <f t="shared" si="59"/>
        <v>1w</v>
      </c>
      <c r="X3185" s="128">
        <f>_xll.qlCalendarAdvance(Calendar,X3184,W3185,"f",FALSE)</f>
        <v>61597</v>
      </c>
      <c r="Y3185" s="131">
        <f>_xll.qlCalendarAdvance(Calendar,X3185,NDays&amp;"D")</f>
        <v>61599</v>
      </c>
      <c r="Z3185" s="132">
        <v>1.3852968363983717E-2</v>
      </c>
      <c r="AA3185" s="129">
        <v>1.3804839871074392E-2</v>
      </c>
    </row>
    <row r="3186" spans="19:27" x14ac:dyDescent="0.2">
      <c r="S3186" s="1"/>
      <c r="T3186" s="109"/>
      <c r="W3186" s="130" t="str">
        <f t="shared" si="59"/>
        <v>1w</v>
      </c>
      <c r="X3186" s="128">
        <f>_xll.qlCalendarAdvance(Calendar,X3185,W3186,"f",FALSE)</f>
        <v>61604</v>
      </c>
      <c r="Y3186" s="131">
        <f>_xll.qlCalendarAdvance(Calendar,X3186,NDays&amp;"D")</f>
        <v>61606</v>
      </c>
      <c r="Z3186" s="132">
        <v>1.3855057252401945E-2</v>
      </c>
      <c r="AA3186" s="129">
        <v>1.3808561198080938E-2</v>
      </c>
    </row>
    <row r="3187" spans="19:27" x14ac:dyDescent="0.2">
      <c r="S3187" s="1"/>
      <c r="T3187" s="109"/>
      <c r="W3187" s="130" t="str">
        <f t="shared" si="59"/>
        <v>1w</v>
      </c>
      <c r="X3187" s="128">
        <f>_xll.qlCalendarAdvance(Calendar,X3186,W3187,"f",FALSE)</f>
        <v>61611</v>
      </c>
      <c r="Y3187" s="131">
        <f>_xll.qlCalendarAdvance(Calendar,X3187,NDays&amp;"D")</f>
        <v>61613</v>
      </c>
      <c r="Z3187" s="132">
        <v>1.3858717058193994E-2</v>
      </c>
      <c r="AA3187" s="129">
        <v>1.3812272385358426E-2</v>
      </c>
    </row>
    <row r="3188" spans="19:27" x14ac:dyDescent="0.2">
      <c r="S3188" s="1"/>
      <c r="T3188" s="109"/>
      <c r="W3188" s="130" t="str">
        <f t="shared" si="59"/>
        <v>1w</v>
      </c>
      <c r="X3188" s="128">
        <f>_xll.qlCalendarAdvance(Calendar,X3187,W3188,"f",FALSE)</f>
        <v>61618</v>
      </c>
      <c r="Y3188" s="131">
        <f>_xll.qlCalendarAdvance(Calendar,X3188,NDays&amp;"D")</f>
        <v>61620</v>
      </c>
      <c r="Z3188" s="132">
        <v>1.3862366693144291E-2</v>
      </c>
      <c r="AA3188" s="129">
        <v>1.3815973432826922E-2</v>
      </c>
    </row>
    <row r="3189" spans="19:27" x14ac:dyDescent="0.2">
      <c r="S3189" s="1"/>
      <c r="T3189" s="109"/>
      <c r="W3189" s="130" t="str">
        <f t="shared" si="59"/>
        <v>1w</v>
      </c>
      <c r="X3189" s="128">
        <f>_xll.qlCalendarAdvance(Calendar,X3188,W3189,"f",FALSE)</f>
        <v>61625</v>
      </c>
      <c r="Y3189" s="131">
        <f>_xll.qlCalendarAdvance(Calendar,X3189,NDays&amp;"D")</f>
        <v>61627</v>
      </c>
      <c r="Z3189" s="132">
        <v>1.3866006157222971E-2</v>
      </c>
      <c r="AA3189" s="129">
        <v>1.3819664340593008E-2</v>
      </c>
    </row>
    <row r="3190" spans="19:27" x14ac:dyDescent="0.2">
      <c r="S3190" s="1"/>
      <c r="T3190" s="109"/>
      <c r="W3190" s="130" t="str">
        <f t="shared" si="59"/>
        <v>1w</v>
      </c>
      <c r="X3190" s="128">
        <f>_xll.qlCalendarAdvance(Calendar,X3189,W3190,"f",FALSE)</f>
        <v>61632</v>
      </c>
      <c r="Y3190" s="131">
        <f>_xll.qlCalendarAdvance(Calendar,X3190,NDays&amp;"D")</f>
        <v>61634</v>
      </c>
      <c r="Z3190" s="132">
        <v>1.3871207744261324E-2</v>
      </c>
      <c r="AA3190" s="129">
        <v>1.3823345108630036E-2</v>
      </c>
    </row>
    <row r="3191" spans="19:27" x14ac:dyDescent="0.2">
      <c r="S3191" s="1"/>
      <c r="T3191" s="109"/>
      <c r="W3191" s="130" t="str">
        <f t="shared" si="59"/>
        <v>1w</v>
      </c>
      <c r="X3191" s="128">
        <f>_xll.qlCalendarAdvance(Calendar,X3190,W3191,"f",FALSE)</f>
        <v>61639</v>
      </c>
      <c r="Y3191" s="131">
        <f>_xll.qlCalendarAdvance(Calendar,X3191,NDays&amp;"D")</f>
        <v>61641</v>
      </c>
      <c r="Z3191" s="132">
        <v>1.3874825104442934E-2</v>
      </c>
      <c r="AA3191" s="129">
        <v>1.3827015736911363E-2</v>
      </c>
    </row>
    <row r="3192" spans="19:27" x14ac:dyDescent="0.2">
      <c r="S3192" s="1"/>
      <c r="T3192" s="109"/>
      <c r="W3192" s="130" t="str">
        <f t="shared" si="59"/>
        <v>1w</v>
      </c>
      <c r="X3192" s="128">
        <f>_xll.qlCalendarAdvance(Calendar,X3191,W3192,"f",FALSE)</f>
        <v>61646</v>
      </c>
      <c r="Y3192" s="131">
        <f>_xll.qlCalendarAdvance(Calendar,X3192,NDays&amp;"D")</f>
        <v>61648</v>
      </c>
      <c r="Z3192" s="132">
        <v>1.3878432292597916E-2</v>
      </c>
      <c r="AA3192" s="129">
        <v>1.3830676225436989E-2</v>
      </c>
    </row>
    <row r="3193" spans="19:27" x14ac:dyDescent="0.2">
      <c r="S3193" s="1"/>
      <c r="T3193" s="109"/>
      <c r="W3193" s="130" t="str">
        <f t="shared" si="59"/>
        <v>1w</v>
      </c>
      <c r="X3193" s="128">
        <f>_xll.qlCalendarAdvance(Calendar,X3192,W3193,"f",FALSE)</f>
        <v>61653</v>
      </c>
      <c r="Y3193" s="131">
        <f>_xll.qlCalendarAdvance(Calendar,X3193,NDays&amp;"D")</f>
        <v>61655</v>
      </c>
      <c r="Z3193" s="132">
        <v>1.3882029308699062E-2</v>
      </c>
      <c r="AA3193" s="129">
        <v>1.3834326574206912E-2</v>
      </c>
    </row>
    <row r="3194" spans="19:27" x14ac:dyDescent="0.2">
      <c r="S3194" s="1"/>
      <c r="T3194" s="109"/>
      <c r="W3194" s="130" t="str">
        <f t="shared" si="59"/>
        <v>1w</v>
      </c>
      <c r="X3194" s="128">
        <f>_xll.qlCalendarAdvance(Calendar,X3193,W3194,"f",FALSE)</f>
        <v>61660</v>
      </c>
      <c r="Y3194" s="131">
        <f>_xll.qlCalendarAdvance(Calendar,X3194,NDays&amp;"D")</f>
        <v>61662</v>
      </c>
      <c r="Z3194" s="132">
        <v>1.3885616152718308E-2</v>
      </c>
      <c r="AA3194" s="129">
        <v>1.3837966783274425E-2</v>
      </c>
    </row>
    <row r="3195" spans="19:27" x14ac:dyDescent="0.2">
      <c r="S3195" s="1"/>
      <c r="T3195" s="109"/>
      <c r="W3195" s="130" t="str">
        <f t="shared" si="59"/>
        <v>1w</v>
      </c>
      <c r="X3195" s="128">
        <f>_xll.qlCalendarAdvance(Calendar,X3194,W3195,"f",FALSE)</f>
        <v>61667</v>
      </c>
      <c r="Y3195" s="131">
        <f>_xll.qlCalendarAdvance(Calendar,X3195,NDays&amp;"D")</f>
        <v>61669</v>
      </c>
      <c r="Z3195" s="132">
        <v>1.388919282462589E-2</v>
      </c>
      <c r="AA3195" s="129">
        <v>1.3841596852532945E-2</v>
      </c>
    </row>
    <row r="3196" spans="19:27" x14ac:dyDescent="0.2">
      <c r="S3196" s="1"/>
      <c r="T3196" s="109"/>
      <c r="W3196" s="130" t="str">
        <f t="shared" si="59"/>
        <v>1w</v>
      </c>
      <c r="X3196" s="128">
        <f>_xll.qlCalendarAdvance(Calendar,X3195,W3196,"f",FALSE)</f>
        <v>61674</v>
      </c>
      <c r="Y3196" s="131">
        <f>_xll.qlCalendarAdvance(Calendar,X3196,NDays&amp;"D")</f>
        <v>61676</v>
      </c>
      <c r="Z3196" s="132">
        <v>1.3892759324393746E-2</v>
      </c>
      <c r="AA3196" s="129">
        <v>1.3845216782062408E-2</v>
      </c>
    </row>
    <row r="3197" spans="19:27" x14ac:dyDescent="0.2">
      <c r="S3197" s="1"/>
      <c r="T3197" s="109"/>
      <c r="W3197" s="130" t="str">
        <f t="shared" si="59"/>
        <v>1w</v>
      </c>
      <c r="X3197" s="128">
        <f>_xll.qlCalendarAdvance(Calendar,X3196,W3197,"f",FALSE)</f>
        <v>61681</v>
      </c>
      <c r="Y3197" s="131">
        <f>_xll.qlCalendarAdvance(Calendar,X3197,NDays&amp;"D")</f>
        <v>61683</v>
      </c>
      <c r="Z3197" s="132">
        <v>1.3896315651994662E-2</v>
      </c>
      <c r="AA3197" s="129">
        <v>1.3848826571889461E-2</v>
      </c>
    </row>
    <row r="3198" spans="19:27" x14ac:dyDescent="0.2">
      <c r="S3198" s="1"/>
      <c r="T3198" s="109"/>
      <c r="W3198" s="130" t="str">
        <f t="shared" si="59"/>
        <v>1w</v>
      </c>
      <c r="X3198" s="128">
        <f>_xll.qlCalendarAdvance(Calendar,X3197,W3198,"f",FALSE)</f>
        <v>61688</v>
      </c>
      <c r="Y3198" s="131">
        <f>_xll.qlCalendarAdvance(Calendar,X3198,NDays&amp;"D")</f>
        <v>61690</v>
      </c>
      <c r="Z3198" s="132">
        <v>1.3899861807399728E-2</v>
      </c>
      <c r="AA3198" s="129">
        <v>1.3852426221907521E-2</v>
      </c>
    </row>
    <row r="3199" spans="19:27" x14ac:dyDescent="0.2">
      <c r="S3199" s="1"/>
      <c r="T3199" s="109"/>
      <c r="W3199" s="130" t="str">
        <f t="shared" si="59"/>
        <v>1w</v>
      </c>
      <c r="X3199" s="128">
        <f>_xll.qlCalendarAdvance(Calendar,X3198,W3199,"f",FALSE)</f>
        <v>61695</v>
      </c>
      <c r="Y3199" s="131">
        <f>_xll.qlCalendarAdvance(Calendar,X3199,NDays&amp;"D")</f>
        <v>61697</v>
      </c>
      <c r="Z3199" s="132">
        <v>1.3901322509243919E-2</v>
      </c>
      <c r="AA3199" s="129">
        <v>1.3856015732196525E-2</v>
      </c>
    </row>
    <row r="3200" spans="19:27" x14ac:dyDescent="0.2">
      <c r="S3200" s="1"/>
      <c r="T3200" s="109"/>
      <c r="W3200" s="130" t="str">
        <f t="shared" si="59"/>
        <v>1w</v>
      </c>
      <c r="X3200" s="128">
        <f>_xll.qlCalendarAdvance(Calendar,X3199,W3200,"f",FALSE)</f>
        <v>61702</v>
      </c>
      <c r="Y3200" s="131">
        <f>_xll.qlCalendarAdvance(Calendar,X3200,NDays&amp;"D")</f>
        <v>61704</v>
      </c>
      <c r="Z3200" s="132">
        <v>1.3904850682414427E-2</v>
      </c>
      <c r="AA3200" s="129">
        <v>1.3859595102756472E-2</v>
      </c>
    </row>
    <row r="3201" spans="19:27" x14ac:dyDescent="0.2">
      <c r="S3201" s="1"/>
      <c r="T3201" s="109"/>
      <c r="W3201" s="130" t="str">
        <f t="shared" si="59"/>
        <v>1w</v>
      </c>
      <c r="X3201" s="128">
        <f>_xll.qlCalendarAdvance(Calendar,X3200,W3201,"f",FALSE)</f>
        <v>61709</v>
      </c>
      <c r="Y3201" s="131">
        <f>_xll.qlCalendarAdvance(Calendar,X3201,NDays&amp;"D")</f>
        <v>61711</v>
      </c>
      <c r="Z3201" s="132">
        <v>1.3908368684742101E-2</v>
      </c>
      <c r="AA3201" s="129">
        <v>1.3863164333507427E-2</v>
      </c>
    </row>
    <row r="3202" spans="19:27" x14ac:dyDescent="0.2">
      <c r="S3202" s="1"/>
      <c r="T3202" s="109"/>
      <c r="W3202" s="130" t="str">
        <f t="shared" si="59"/>
        <v>1w</v>
      </c>
      <c r="X3202" s="128">
        <f>_xll.qlCalendarAdvance(Calendar,X3201,W3202,"f",FALSE)</f>
        <v>61716</v>
      </c>
      <c r="Y3202" s="131">
        <f>_xll.qlCalendarAdvance(Calendar,X3202,NDays&amp;"D")</f>
        <v>61718</v>
      </c>
      <c r="Z3202" s="132">
        <v>1.3911876516203847E-2</v>
      </c>
      <c r="AA3202" s="129">
        <v>1.3866723424555971E-2</v>
      </c>
    </row>
    <row r="3203" spans="19:27" x14ac:dyDescent="0.2">
      <c r="S3203" s="1"/>
      <c r="T3203" s="109"/>
      <c r="W3203" s="130" t="str">
        <f t="shared" si="59"/>
        <v>1w</v>
      </c>
      <c r="X3203" s="128">
        <f>_xll.qlCalendarAdvance(Calendar,X3202,W3203,"f",FALSE)</f>
        <v>61724</v>
      </c>
      <c r="Y3203" s="131">
        <f>_xll.qlCalendarAdvance(Calendar,X3203,NDays&amp;"D")</f>
        <v>61728</v>
      </c>
      <c r="Z3203" s="132">
        <v>1.3915837397040397E-2</v>
      </c>
      <c r="AA3203" s="129">
        <v>1.3871270208585251E-2</v>
      </c>
    </row>
    <row r="3204" spans="19:27" x14ac:dyDescent="0.2">
      <c r="S3204" s="1"/>
      <c r="T3204" s="109"/>
      <c r="W3204" s="130" t="str">
        <f t="shared" si="59"/>
        <v>1w</v>
      </c>
      <c r="X3204" s="128">
        <f>_xll.qlCalendarAdvance(Calendar,X3203,W3204,"f",FALSE)</f>
        <v>61731</v>
      </c>
      <c r="Y3204" s="131">
        <f>_xll.qlCalendarAdvance(Calendar,X3204,NDays&amp;"D")</f>
        <v>61735</v>
      </c>
      <c r="Z3204" s="132">
        <v>1.3920868866227331E-2</v>
      </c>
      <c r="AA3204" s="129">
        <v>1.3874285765469452E-2</v>
      </c>
    </row>
    <row r="3205" spans="19:27" x14ac:dyDescent="0.2">
      <c r="S3205" s="1"/>
      <c r="T3205" s="109"/>
      <c r="W3205" s="130" t="str">
        <f t="shared" si="59"/>
        <v>1w</v>
      </c>
      <c r="X3205" s="128">
        <f>_xll.qlCalendarAdvance(Calendar,X3204,W3205,"f",FALSE)</f>
        <v>61738</v>
      </c>
      <c r="Y3205" s="131">
        <f>_xll.qlCalendarAdvance(Calendar,X3205,NDays&amp;"D")</f>
        <v>61742</v>
      </c>
      <c r="Z3205" s="132">
        <v>1.3924856272721655E-2</v>
      </c>
      <c r="AA3205" s="129">
        <v>1.3877811268478979E-2</v>
      </c>
    </row>
    <row r="3206" spans="19:27" x14ac:dyDescent="0.2">
      <c r="S3206" s="1"/>
      <c r="T3206" s="109"/>
      <c r="W3206" s="130" t="str">
        <f t="shared" si="59"/>
        <v>1w</v>
      </c>
      <c r="X3206" s="128">
        <f>_xll.qlCalendarAdvance(Calendar,X3205,W3206,"f",FALSE)</f>
        <v>61745</v>
      </c>
      <c r="Y3206" s="131">
        <f>_xll.qlCalendarAdvance(Calendar,X3206,NDays&amp;"D")</f>
        <v>61749</v>
      </c>
      <c r="Z3206" s="132">
        <v>1.3927803429411231E-2</v>
      </c>
      <c r="AA3206" s="129">
        <v>1.3881326632239066E-2</v>
      </c>
    </row>
    <row r="3207" spans="19:27" x14ac:dyDescent="0.2">
      <c r="S3207" s="1"/>
      <c r="T3207" s="109"/>
      <c r="W3207" s="130" t="str">
        <f t="shared" si="59"/>
        <v>1w</v>
      </c>
      <c r="X3207" s="128">
        <f>_xll.qlCalendarAdvance(Calendar,X3206,W3207,"f",FALSE)</f>
        <v>61752</v>
      </c>
      <c r="Y3207" s="131">
        <f>_xll.qlCalendarAdvance(Calendar,X3207,NDays&amp;"D")</f>
        <v>61756</v>
      </c>
      <c r="Z3207" s="132">
        <v>1.3931255453956126E-2</v>
      </c>
      <c r="AA3207" s="129">
        <v>1.3884831857069457E-2</v>
      </c>
    </row>
    <row r="3208" spans="19:27" x14ac:dyDescent="0.2">
      <c r="S3208" s="1"/>
      <c r="T3208" s="109"/>
      <c r="W3208" s="130" t="str">
        <f t="shared" si="59"/>
        <v>1w</v>
      </c>
      <c r="X3208" s="128">
        <f>_xll.qlCalendarAdvance(Calendar,X3207,W3208,"f",FALSE)</f>
        <v>61759</v>
      </c>
      <c r="Y3208" s="131">
        <f>_xll.qlCalendarAdvance(Calendar,X3208,NDays&amp;"D")</f>
        <v>61763</v>
      </c>
      <c r="Z3208" s="132">
        <v>1.3934697307100598E-2</v>
      </c>
      <c r="AA3208" s="129">
        <v>1.3888326942730345E-2</v>
      </c>
    </row>
    <row r="3209" spans="19:27" x14ac:dyDescent="0.2">
      <c r="S3209" s="1"/>
      <c r="T3209" s="109"/>
      <c r="W3209" s="130" t="str">
        <f t="shared" si="59"/>
        <v>1w</v>
      </c>
      <c r="X3209" s="128">
        <f>_xll.qlCalendarAdvance(Calendar,X3208,W3209,"f",FALSE)</f>
        <v>61766</v>
      </c>
      <c r="Y3209" s="131">
        <f>_xll.qlCalendarAdvance(Calendar,X3209,NDays&amp;"D")</f>
        <v>61770</v>
      </c>
      <c r="Z3209" s="132">
        <v>1.3938128988820925E-2</v>
      </c>
      <c r="AA3209" s="129">
        <v>1.3891811889541472E-2</v>
      </c>
    </row>
    <row r="3210" spans="19:27" x14ac:dyDescent="0.2">
      <c r="S3210" s="1"/>
      <c r="T3210" s="109"/>
      <c r="W3210" s="130" t="str">
        <f t="shared" si="59"/>
        <v>1w</v>
      </c>
      <c r="X3210" s="128">
        <f>_xll.qlCalendarAdvance(Calendar,X3209,W3210,"f",FALSE)</f>
        <v>61773</v>
      </c>
      <c r="Y3210" s="131">
        <f>_xll.qlCalendarAdvance(Calendar,X3210,NDays&amp;"D")</f>
        <v>61777</v>
      </c>
      <c r="Z3210" s="132">
        <v>1.3941550499086366E-2</v>
      </c>
      <c r="AA3210" s="129">
        <v>1.3895286697183096E-2</v>
      </c>
    </row>
    <row r="3211" spans="19:27" x14ac:dyDescent="0.2">
      <c r="S3211" s="1"/>
      <c r="T3211" s="109"/>
      <c r="W3211" s="130" t="str">
        <f t="shared" si="59"/>
        <v>1w</v>
      </c>
      <c r="X3211" s="128">
        <f>_xll.qlCalendarAdvance(Calendar,X3210,W3211,"f",FALSE)</f>
        <v>61780</v>
      </c>
      <c r="Y3211" s="131">
        <f>_xll.qlCalendarAdvance(Calendar,X3211,NDays&amp;"D")</f>
        <v>61784</v>
      </c>
      <c r="Z3211" s="132">
        <v>1.3944961837874959E-2</v>
      </c>
      <c r="AA3211" s="129">
        <v>1.3898751365815087E-2</v>
      </c>
    </row>
    <row r="3212" spans="19:27" x14ac:dyDescent="0.2">
      <c r="S3212" s="1"/>
      <c r="T3212" s="109"/>
      <c r="W3212" s="130" t="str">
        <f t="shared" si="59"/>
        <v>1w</v>
      </c>
      <c r="X3212" s="128">
        <f>_xll.qlCalendarAdvance(Calendar,X3211,W3212,"f",FALSE)</f>
        <v>61787</v>
      </c>
      <c r="Y3212" s="131">
        <f>_xll.qlCalendarAdvance(Calendar,X3212,NDays&amp;"D")</f>
        <v>61791</v>
      </c>
      <c r="Z3212" s="132">
        <v>1.3948873886792258E-2</v>
      </c>
      <c r="AA3212" s="129">
        <v>1.3902205895437447E-2</v>
      </c>
    </row>
    <row r="3213" spans="19:27" x14ac:dyDescent="0.2">
      <c r="S3213" s="1"/>
      <c r="T3213" s="109"/>
      <c r="W3213" s="130" t="str">
        <f t="shared" si="59"/>
        <v>1w</v>
      </c>
      <c r="X3213" s="128">
        <f>_xll.qlCalendarAdvance(Calendar,X3212,W3213,"f",FALSE)</f>
        <v>61794</v>
      </c>
      <c r="Y3213" s="131">
        <f>_xll.qlCalendarAdvance(Calendar,X3213,NDays&amp;"D")</f>
        <v>61798</v>
      </c>
      <c r="Z3213" s="132">
        <v>1.3952264287149243E-2</v>
      </c>
      <c r="AA3213" s="129">
        <v>1.3905650285970239E-2</v>
      </c>
    </row>
    <row r="3214" spans="19:27" x14ac:dyDescent="0.2">
      <c r="S3214" s="1"/>
      <c r="T3214" s="109"/>
      <c r="W3214" s="130" t="str">
        <f t="shared" si="59"/>
        <v>1w</v>
      </c>
      <c r="X3214" s="128">
        <f>_xll.qlCalendarAdvance(Calendar,X3213,W3214,"f",FALSE)</f>
        <v>61801</v>
      </c>
      <c r="Y3214" s="131">
        <f>_xll.qlCalendarAdvance(Calendar,X3214,NDays&amp;"D")</f>
        <v>61805</v>
      </c>
      <c r="Z3214" s="132">
        <v>1.3955644515587265E-2</v>
      </c>
      <c r="AA3214" s="129">
        <v>1.3909084537413463E-2</v>
      </c>
    </row>
    <row r="3215" spans="19:27" x14ac:dyDescent="0.2">
      <c r="S3215" s="1"/>
      <c r="T3215" s="109"/>
      <c r="W3215" s="130" t="str">
        <f t="shared" si="59"/>
        <v>1w</v>
      </c>
      <c r="X3215" s="128">
        <f>_xll.qlCalendarAdvance(Calendar,X3214,W3215,"f",FALSE)</f>
        <v>61808</v>
      </c>
      <c r="Y3215" s="131">
        <f>_xll.qlCalendarAdvance(Calendar,X3215,NDays&amp;"D")</f>
        <v>61812</v>
      </c>
      <c r="Z3215" s="132">
        <v>1.3959014572077658E-2</v>
      </c>
      <c r="AA3215" s="129">
        <v>1.3912508649847055E-2</v>
      </c>
    </row>
    <row r="3216" spans="19:27" x14ac:dyDescent="0.2">
      <c r="S3216" s="1"/>
      <c r="T3216" s="109"/>
      <c r="W3216" s="130" t="str">
        <f t="shared" si="59"/>
        <v>1w</v>
      </c>
      <c r="X3216" s="128">
        <f>_xll.qlCalendarAdvance(Calendar,X3215,W3216,"f",FALSE)</f>
        <v>61815</v>
      </c>
      <c r="Y3216" s="131">
        <f>_xll.qlCalendarAdvance(Calendar,X3216,NDays&amp;"D")</f>
        <v>61819</v>
      </c>
      <c r="Z3216" s="132">
        <v>1.3961865958713885E-2</v>
      </c>
      <c r="AA3216" s="129">
        <v>1.3915922623191079E-2</v>
      </c>
    </row>
    <row r="3217" spans="19:27" x14ac:dyDescent="0.2">
      <c r="S3217" s="1"/>
      <c r="T3217" s="109"/>
      <c r="W3217" s="130" t="str">
        <f t="shared" si="59"/>
        <v>1w</v>
      </c>
      <c r="X3217" s="128">
        <f>_xll.qlCalendarAdvance(Calendar,X3216,W3217,"f",FALSE)</f>
        <v>61822</v>
      </c>
      <c r="Y3217" s="131">
        <f>_xll.qlCalendarAdvance(Calendar,X3217,NDays&amp;"D")</f>
        <v>61826</v>
      </c>
      <c r="Z3217" s="132">
        <v>1.3965216268080961E-2</v>
      </c>
      <c r="AA3217" s="129">
        <v>1.3919326457605408E-2</v>
      </c>
    </row>
    <row r="3218" spans="19:27" x14ac:dyDescent="0.2">
      <c r="S3218" s="1"/>
      <c r="T3218" s="109"/>
      <c r="W3218" s="130" t="str">
        <f t="shared" si="59"/>
        <v>1w</v>
      </c>
      <c r="X3218" s="128">
        <f>_xll.qlCalendarAdvance(Calendar,X3217,W3218,"f",FALSE)</f>
        <v>61829</v>
      </c>
      <c r="Y3218" s="131">
        <f>_xll.qlCalendarAdvance(Calendar,X3218,NDays&amp;"D")</f>
        <v>61835</v>
      </c>
      <c r="Z3218" s="132">
        <v>1.3969508862576205E-2</v>
      </c>
      <c r="AA3218" s="129">
        <v>1.3923687917838379E-2</v>
      </c>
    </row>
    <row r="3219" spans="19:27" x14ac:dyDescent="0.2">
      <c r="S3219" s="1"/>
      <c r="T3219" s="109"/>
      <c r="W3219" s="130" t="str">
        <f t="shared" si="59"/>
        <v>1w</v>
      </c>
      <c r="X3219" s="128">
        <f>_xll.qlCalendarAdvance(Calendar,X3218,W3219,"f",FALSE)</f>
        <v>61836</v>
      </c>
      <c r="Y3219" s="131">
        <f>_xll.qlCalendarAdvance(Calendar,X3219,NDays&amp;"D")</f>
        <v>61840</v>
      </c>
      <c r="Z3219" s="132">
        <v>1.3971886371803938E-2</v>
      </c>
      <c r="AA3219" s="129">
        <v>1.3926103709085424E-2</v>
      </c>
    </row>
    <row r="3220" spans="19:27" x14ac:dyDescent="0.2">
      <c r="S3220" s="1"/>
      <c r="T3220" s="109"/>
      <c r="W3220" s="130" t="str">
        <f t="shared" si="59"/>
        <v>1w</v>
      </c>
      <c r="X3220" s="128">
        <f>_xll.qlCalendarAdvance(Calendar,X3219,W3220,"f",FALSE)</f>
        <v>61843</v>
      </c>
      <c r="Y3220" s="131">
        <f>_xll.qlCalendarAdvance(Calendar,X3220,NDays&amp;"D")</f>
        <v>61847</v>
      </c>
      <c r="Z3220" s="132">
        <v>1.3975206166111524E-2</v>
      </c>
      <c r="AA3220" s="129">
        <v>1.3929477126310985E-2</v>
      </c>
    </row>
    <row r="3221" spans="19:27" x14ac:dyDescent="0.2">
      <c r="S3221" s="1"/>
      <c r="T3221" s="109"/>
      <c r="W3221" s="130" t="str">
        <f t="shared" ref="W3221:W3284" si="60">W3220</f>
        <v>1w</v>
      </c>
      <c r="X3221" s="128">
        <f>_xll.qlCalendarAdvance(Calendar,X3220,W3221,"f",FALSE)</f>
        <v>61850</v>
      </c>
      <c r="Y3221" s="131">
        <f>_xll.qlCalendarAdvance(Calendar,X3221,NDays&amp;"D")</f>
        <v>61854</v>
      </c>
      <c r="Z3221" s="132">
        <v>1.3979021298664381E-2</v>
      </c>
      <c r="AA3221" s="129">
        <v>1.3932840404526914E-2</v>
      </c>
    </row>
    <row r="3222" spans="19:27" x14ac:dyDescent="0.2">
      <c r="S3222" s="1"/>
      <c r="T3222" s="109"/>
      <c r="W3222" s="130" t="str">
        <f t="shared" si="60"/>
        <v>1w</v>
      </c>
      <c r="X3222" s="128">
        <f>_xll.qlCalendarAdvance(Calendar,X3221,W3222,"f",FALSE)</f>
        <v>61857</v>
      </c>
      <c r="Y3222" s="131">
        <f>_xll.qlCalendarAdvance(Calendar,X3222,NDays&amp;"D")</f>
        <v>61861</v>
      </c>
      <c r="Z3222" s="132">
        <v>1.3982320150793237E-2</v>
      </c>
      <c r="AA3222" s="129">
        <v>1.3936193543493403E-2</v>
      </c>
    </row>
    <row r="3223" spans="19:27" x14ac:dyDescent="0.2">
      <c r="S3223" s="1"/>
      <c r="T3223" s="109"/>
      <c r="W3223" s="130" t="str">
        <f t="shared" si="60"/>
        <v>1w</v>
      </c>
      <c r="X3223" s="128">
        <f>_xll.qlCalendarAdvance(Calendar,X3222,W3223,"f",FALSE)</f>
        <v>61864</v>
      </c>
      <c r="Y3223" s="131">
        <f>_xll.qlCalendarAdvance(Calendar,X3223,NDays&amp;"D")</f>
        <v>61868</v>
      </c>
      <c r="Z3223" s="132">
        <v>1.3985608830769406E-2</v>
      </c>
      <c r="AA3223" s="129">
        <v>1.3939536543610132E-2</v>
      </c>
    </row>
    <row r="3224" spans="19:27" x14ac:dyDescent="0.2">
      <c r="S3224" s="1"/>
      <c r="T3224" s="109"/>
      <c r="W3224" s="130" t="str">
        <f t="shared" si="60"/>
        <v>1w</v>
      </c>
      <c r="X3224" s="128">
        <f>_xll.qlCalendarAdvance(Calendar,X3223,W3224,"f",FALSE)</f>
        <v>61871</v>
      </c>
      <c r="Y3224" s="131">
        <f>_xll.qlCalendarAdvance(Calendar,X3224,NDays&amp;"D")</f>
        <v>61875</v>
      </c>
      <c r="Z3224" s="132">
        <v>1.3988887338564217E-2</v>
      </c>
      <c r="AA3224" s="129">
        <v>1.3942869404557356E-2</v>
      </c>
    </row>
    <row r="3225" spans="19:27" x14ac:dyDescent="0.2">
      <c r="S3225" s="1"/>
      <c r="T3225" s="109"/>
      <c r="W3225" s="130" t="str">
        <f t="shared" si="60"/>
        <v>1w</v>
      </c>
      <c r="X3225" s="128">
        <f>_xll.qlCalendarAdvance(Calendar,X3224,W3225,"f",FALSE)</f>
        <v>61878</v>
      </c>
      <c r="Y3225" s="131">
        <f>_xll.qlCalendarAdvance(Calendar,X3225,NDays&amp;"D")</f>
        <v>61882</v>
      </c>
      <c r="Z3225" s="132">
        <v>1.399215567415508E-2</v>
      </c>
      <c r="AA3225" s="129">
        <v>1.3946192126574886E-2</v>
      </c>
    </row>
    <row r="3226" spans="19:27" x14ac:dyDescent="0.2">
      <c r="S3226" s="1"/>
      <c r="T3226" s="109"/>
      <c r="W3226" s="130" t="str">
        <f t="shared" si="60"/>
        <v>1w</v>
      </c>
      <c r="X3226" s="128">
        <f>_xll.qlCalendarAdvance(Calendar,X3225,W3226,"f",FALSE)</f>
        <v>61885</v>
      </c>
      <c r="Y3226" s="131">
        <f>_xll.qlCalendarAdvance(Calendar,X3226,NDays&amp;"D")</f>
        <v>61889</v>
      </c>
      <c r="Z3226" s="132">
        <v>1.3995413837513321E-2</v>
      </c>
      <c r="AA3226" s="129">
        <v>1.3949504709342975E-2</v>
      </c>
    </row>
    <row r="3227" spans="19:27" x14ac:dyDescent="0.2">
      <c r="S3227" s="1"/>
      <c r="T3227" s="109"/>
      <c r="W3227" s="130" t="str">
        <f t="shared" si="60"/>
        <v>1w</v>
      </c>
      <c r="X3227" s="128">
        <f>_xll.qlCalendarAdvance(Calendar,X3226,W3227,"f",FALSE)</f>
        <v>61892</v>
      </c>
      <c r="Y3227" s="131">
        <f>_xll.qlCalendarAdvance(Calendar,X3227,NDays&amp;"D")</f>
        <v>61896</v>
      </c>
      <c r="Z3227" s="132">
        <v>1.3998661828615481E-2</v>
      </c>
      <c r="AA3227" s="129">
        <v>1.3952807153181368E-2</v>
      </c>
    </row>
    <row r="3228" spans="19:27" x14ac:dyDescent="0.2">
      <c r="S3228" s="1"/>
      <c r="T3228" s="109"/>
      <c r="W3228" s="130" t="str">
        <f t="shared" si="60"/>
        <v>1w</v>
      </c>
      <c r="X3228" s="128">
        <f>_xll.qlCalendarAdvance(Calendar,X3227,W3228,"f",FALSE)</f>
        <v>61899</v>
      </c>
      <c r="Y3228" s="131">
        <f>_xll.qlCalendarAdvance(Calendar,X3228,NDays&amp;"D")</f>
        <v>61903</v>
      </c>
      <c r="Z3228" s="132">
        <v>1.4001899647436363E-2</v>
      </c>
      <c r="AA3228" s="129">
        <v>1.3956099458010129E-2</v>
      </c>
    </row>
    <row r="3229" spans="19:27" x14ac:dyDescent="0.2">
      <c r="S3229" s="1"/>
      <c r="T3229" s="109"/>
      <c r="W3229" s="130" t="str">
        <f t="shared" si="60"/>
        <v>1w</v>
      </c>
      <c r="X3229" s="128">
        <f>_xll.qlCalendarAdvance(Calendar,X3228,W3229,"f",FALSE)</f>
        <v>61906</v>
      </c>
      <c r="Y3229" s="131">
        <f>_xll.qlCalendarAdvance(Calendar,X3229,NDays&amp;"D")</f>
        <v>61910</v>
      </c>
      <c r="Z3229" s="132">
        <v>1.4005127293950769E-2</v>
      </c>
      <c r="AA3229" s="129">
        <v>1.3959381623669387E-2</v>
      </c>
    </row>
    <row r="3230" spans="19:27" x14ac:dyDescent="0.2">
      <c r="S3230" s="1"/>
      <c r="T3230" s="109"/>
      <c r="W3230" s="130" t="str">
        <f t="shared" si="60"/>
        <v>1w</v>
      </c>
      <c r="X3230" s="128">
        <f>_xll.qlCalendarAdvance(Calendar,X3229,W3230,"f",FALSE)</f>
        <v>61913</v>
      </c>
      <c r="Y3230" s="131">
        <f>_xll.qlCalendarAdvance(Calendar,X3230,NDays&amp;"D")</f>
        <v>61917</v>
      </c>
      <c r="Z3230" s="132">
        <v>1.4008344768133504E-2</v>
      </c>
      <c r="AA3230" s="129">
        <v>1.3962653650398948E-2</v>
      </c>
    </row>
    <row r="3231" spans="19:27" x14ac:dyDescent="0.2">
      <c r="S3231" s="1"/>
      <c r="T3231" s="109"/>
      <c r="W3231" s="130" t="str">
        <f t="shared" si="60"/>
        <v>1w</v>
      </c>
      <c r="X3231" s="128">
        <f>_xll.qlCalendarAdvance(Calendar,X3230,W3231,"f",FALSE)</f>
        <v>61920</v>
      </c>
      <c r="Y3231" s="131">
        <f>_xll.qlCalendarAdvance(Calendar,X3231,NDays&amp;"D")</f>
        <v>61924</v>
      </c>
      <c r="Z3231" s="132">
        <v>1.4011552069958499E-2</v>
      </c>
      <c r="AA3231" s="129">
        <v>1.3965915538038942E-2</v>
      </c>
    </row>
    <row r="3232" spans="19:27" x14ac:dyDescent="0.2">
      <c r="S3232" s="1"/>
      <c r="T3232" s="109"/>
      <c r="W3232" s="130" t="str">
        <f t="shared" si="60"/>
        <v>1w</v>
      </c>
      <c r="X3232" s="128">
        <f>_xll.qlCalendarAdvance(Calendar,X3231,W3232,"f",FALSE)</f>
        <v>61927</v>
      </c>
      <c r="Y3232" s="131">
        <f>_xll.qlCalendarAdvance(Calendar,X3232,NDays&amp;"D")</f>
        <v>61931</v>
      </c>
      <c r="Z3232" s="132">
        <v>1.4014749199402295E-2</v>
      </c>
      <c r="AA3232" s="129">
        <v>1.3969167286589368E-2</v>
      </c>
    </row>
    <row r="3233" spans="19:27" x14ac:dyDescent="0.2">
      <c r="S3233" s="1"/>
      <c r="T3233" s="109"/>
      <c r="W3233" s="130" t="str">
        <f t="shared" si="60"/>
        <v>1w</v>
      </c>
      <c r="X3233" s="128">
        <f>_xll.qlCalendarAdvance(Calendar,X3232,W3233,"f",FALSE)</f>
        <v>61934</v>
      </c>
      <c r="Y3233" s="131">
        <f>_xll.qlCalendarAdvance(Calendar,X3233,NDays&amp;"D")</f>
        <v>61938</v>
      </c>
      <c r="Z3233" s="132">
        <v>1.4017936156439696E-2</v>
      </c>
      <c r="AA3233" s="129">
        <v>1.3972408896130162E-2</v>
      </c>
    </row>
    <row r="3234" spans="19:27" x14ac:dyDescent="0.2">
      <c r="S3234" s="1"/>
      <c r="T3234" s="109"/>
      <c r="W3234" s="130" t="str">
        <f t="shared" si="60"/>
        <v>1w</v>
      </c>
      <c r="X3234" s="128">
        <f>_xll.qlCalendarAdvance(Calendar,X3233,W3234,"f",FALSE)</f>
        <v>61941</v>
      </c>
      <c r="Y3234" s="131">
        <f>_xll.qlCalendarAdvance(Calendar,X3234,NDays&amp;"D")</f>
        <v>61945</v>
      </c>
      <c r="Z3234" s="132">
        <v>1.4021112941044637E-2</v>
      </c>
      <c r="AA3234" s="129">
        <v>1.3975640366661324E-2</v>
      </c>
    </row>
    <row r="3235" spans="19:27" x14ac:dyDescent="0.2">
      <c r="S3235" s="1"/>
      <c r="T3235" s="109"/>
      <c r="W3235" s="130" t="str">
        <f t="shared" si="60"/>
        <v>1w</v>
      </c>
      <c r="X3235" s="128">
        <f>_xll.qlCalendarAdvance(Calendar,X3234,W3235,"f",FALSE)</f>
        <v>61948</v>
      </c>
      <c r="Y3235" s="131">
        <f>_xll.qlCalendarAdvance(Calendar,X3235,NDays&amp;"D")</f>
        <v>61952</v>
      </c>
      <c r="Z3235" s="132">
        <v>1.4024279553193656E-2</v>
      </c>
      <c r="AA3235" s="129">
        <v>1.3978861697943046E-2</v>
      </c>
    </row>
    <row r="3236" spans="19:27" x14ac:dyDescent="0.2">
      <c r="S3236" s="1"/>
      <c r="T3236" s="109"/>
      <c r="W3236" s="130" t="str">
        <f t="shared" si="60"/>
        <v>1w</v>
      </c>
      <c r="X3236" s="128">
        <f>_xll.qlCalendarAdvance(Calendar,X3235,W3236,"f",FALSE)</f>
        <v>61955</v>
      </c>
      <c r="Y3236" s="131">
        <f>_xll.qlCalendarAdvance(Calendar,X3236,NDays&amp;"D")</f>
        <v>61959</v>
      </c>
      <c r="Z3236" s="132">
        <v>1.4027435992863295E-2</v>
      </c>
      <c r="AA3236" s="129">
        <v>1.3982072890375008E-2</v>
      </c>
    </row>
    <row r="3237" spans="19:27" x14ac:dyDescent="0.2">
      <c r="S3237" s="1"/>
      <c r="T3237" s="109"/>
      <c r="W3237" s="130" t="str">
        <f t="shared" si="60"/>
        <v>1w</v>
      </c>
      <c r="X3237" s="128">
        <f>_xll.qlCalendarAdvance(Calendar,X3236,W3237,"f",FALSE)</f>
        <v>61962</v>
      </c>
      <c r="Y3237" s="131">
        <f>_xll.qlCalendarAdvance(Calendar,X3237,NDays&amp;"D")</f>
        <v>61966</v>
      </c>
      <c r="Z3237" s="132">
        <v>1.4030582260027485E-2</v>
      </c>
      <c r="AA3237" s="129">
        <v>1.3985273943637466E-2</v>
      </c>
    </row>
    <row r="3238" spans="19:27" x14ac:dyDescent="0.2">
      <c r="S3238" s="1"/>
      <c r="T3238" s="109"/>
      <c r="W3238" s="130" t="str">
        <f t="shared" si="60"/>
        <v>1w</v>
      </c>
      <c r="X3238" s="128">
        <f>_xll.qlCalendarAdvance(Calendar,X3237,W3238,"f",FALSE)</f>
        <v>61969</v>
      </c>
      <c r="Y3238" s="131">
        <f>_xll.qlCalendarAdvance(Calendar,X3238,NDays&amp;"D")</f>
        <v>61973</v>
      </c>
      <c r="Z3238" s="132">
        <v>1.4033223072151312E-2</v>
      </c>
      <c r="AA3238" s="129">
        <v>1.3988464857970229E-2</v>
      </c>
    </row>
    <row r="3239" spans="19:27" x14ac:dyDescent="0.2">
      <c r="S3239" s="1"/>
      <c r="T3239" s="109"/>
      <c r="W3239" s="130" t="str">
        <f t="shared" si="60"/>
        <v>1w</v>
      </c>
      <c r="X3239" s="128">
        <f>_xll.qlCalendarAdvance(Calendar,X3238,W3239,"f",FALSE)</f>
        <v>61976</v>
      </c>
      <c r="Y3239" s="131">
        <f>_xll.qlCalendarAdvance(Calendar,X3239,NDays&amp;"D")</f>
        <v>61980</v>
      </c>
      <c r="Z3239" s="132">
        <v>1.4036349599167497E-2</v>
      </c>
      <c r="AA3239" s="129">
        <v>1.3991645633133487E-2</v>
      </c>
    </row>
    <row r="3240" spans="19:27" x14ac:dyDescent="0.2">
      <c r="S3240" s="1"/>
      <c r="T3240" s="109"/>
      <c r="W3240" s="130" t="str">
        <f t="shared" si="60"/>
        <v>1w</v>
      </c>
      <c r="X3240" s="128">
        <f>_xll.qlCalendarAdvance(Calendar,X3239,W3240,"f",FALSE)</f>
        <v>61983</v>
      </c>
      <c r="Y3240" s="131">
        <f>_xll.qlCalendarAdvance(Calendar,X3240,NDays&amp;"D")</f>
        <v>61987</v>
      </c>
      <c r="Z3240" s="132">
        <v>1.4039465953976869E-2</v>
      </c>
      <c r="AA3240" s="129">
        <v>1.3994816269207178E-2</v>
      </c>
    </row>
    <row r="3241" spans="19:27" x14ac:dyDescent="0.2">
      <c r="S3241" s="1"/>
      <c r="T3241" s="109"/>
      <c r="W3241" s="130" t="str">
        <f t="shared" si="60"/>
        <v>1w</v>
      </c>
      <c r="X3241" s="128">
        <f>_xll.qlCalendarAdvance(Calendar,X3240,W3241,"f",FALSE)</f>
        <v>61990</v>
      </c>
      <c r="Y3241" s="131">
        <f>_xll.qlCalendarAdvance(Calendar,X3241,NDays&amp;"D")</f>
        <v>61994</v>
      </c>
      <c r="Z3241" s="132">
        <v>1.4042572136553954E-2</v>
      </c>
      <c r="AA3241" s="129">
        <v>1.3997976766351172E-2</v>
      </c>
    </row>
    <row r="3242" spans="19:27" x14ac:dyDescent="0.2">
      <c r="S3242" s="1"/>
      <c r="T3242" s="109"/>
      <c r="W3242" s="130" t="str">
        <f t="shared" si="60"/>
        <v>1w</v>
      </c>
      <c r="X3242" s="128">
        <f>_xll.qlCalendarAdvance(Calendar,X3241,W3242,"f",FALSE)</f>
        <v>61997</v>
      </c>
      <c r="Y3242" s="131">
        <f>_xll.qlCalendarAdvance(Calendar,X3242,NDays&amp;"D")</f>
        <v>62001</v>
      </c>
      <c r="Z3242" s="132">
        <v>1.4046161007412643E-2</v>
      </c>
      <c r="AA3242" s="129">
        <v>1.4001127124405599E-2</v>
      </c>
    </row>
    <row r="3243" spans="19:27" x14ac:dyDescent="0.2">
      <c r="S3243" s="1"/>
      <c r="T3243" s="109"/>
      <c r="W3243" s="130" t="str">
        <f t="shared" si="60"/>
        <v>1w</v>
      </c>
      <c r="X3243" s="128">
        <f>_xll.qlCalendarAdvance(Calendar,X3242,W3243,"f",FALSE)</f>
        <v>62004</v>
      </c>
      <c r="Y3243" s="131">
        <f>_xll.qlCalendarAdvance(Calendar,X3243,NDays&amp;"D")</f>
        <v>62008</v>
      </c>
      <c r="Z3243" s="132">
        <v>1.4049246239034996E-2</v>
      </c>
      <c r="AA3243" s="129">
        <v>1.4004267343370458E-2</v>
      </c>
    </row>
    <row r="3244" spans="19:27" x14ac:dyDescent="0.2">
      <c r="S3244" s="1"/>
      <c r="T3244" s="109"/>
      <c r="W3244" s="130" t="str">
        <f t="shared" si="60"/>
        <v>1w</v>
      </c>
      <c r="X3244" s="128">
        <f>_xll.qlCalendarAdvance(Calendar,X3243,W3244,"f",FALSE)</f>
        <v>62011</v>
      </c>
      <c r="Y3244" s="131">
        <f>_xll.qlCalendarAdvance(Calendar,X3244,NDays&amp;"D")</f>
        <v>62015</v>
      </c>
      <c r="Z3244" s="132">
        <v>1.4052321297980735E-2</v>
      </c>
      <c r="AA3244" s="129">
        <v>1.4007397423245749E-2</v>
      </c>
    </row>
    <row r="3245" spans="19:27" x14ac:dyDescent="0.2">
      <c r="S3245" s="1"/>
      <c r="T3245" s="109"/>
      <c r="W3245" s="130" t="str">
        <f t="shared" si="60"/>
        <v>1w</v>
      </c>
      <c r="X3245" s="128">
        <f>_xll.qlCalendarAdvance(Calendar,X3244,W3245,"f",FALSE)</f>
        <v>62018</v>
      </c>
      <c r="Y3245" s="131">
        <f>_xll.qlCalendarAdvance(Calendar,X3245,NDays&amp;"D")</f>
        <v>62022</v>
      </c>
      <c r="Z3245" s="132">
        <v>1.4055386184229008E-2</v>
      </c>
      <c r="AA3245" s="129">
        <v>1.4010517364111408E-2</v>
      </c>
    </row>
    <row r="3246" spans="19:27" x14ac:dyDescent="0.2">
      <c r="S3246" s="1"/>
      <c r="T3246" s="109"/>
      <c r="W3246" s="130" t="str">
        <f t="shared" si="60"/>
        <v>1w</v>
      </c>
      <c r="X3246" s="128">
        <f>_xll.qlCalendarAdvance(Calendar,X3245,W3246,"f",FALSE)</f>
        <v>62025</v>
      </c>
      <c r="Y3246" s="131">
        <f>_xll.qlCalendarAdvance(Calendar,X3246,NDays&amp;"D")</f>
        <v>62029</v>
      </c>
      <c r="Z3246" s="132">
        <v>1.4058440897754616E-2</v>
      </c>
      <c r="AA3246" s="129">
        <v>1.4013627165967435E-2</v>
      </c>
    </row>
    <row r="3247" spans="19:27" x14ac:dyDescent="0.2">
      <c r="S3247" s="1"/>
      <c r="T3247" s="109"/>
      <c r="W3247" s="130" t="str">
        <f t="shared" si="60"/>
        <v>1w</v>
      </c>
      <c r="X3247" s="128">
        <f>_xll.qlCalendarAdvance(Calendar,X3246,W3247,"f",FALSE)</f>
        <v>62032</v>
      </c>
      <c r="Y3247" s="131">
        <f>_xll.qlCalendarAdvance(Calendar,X3247,NDays&amp;"D")</f>
        <v>62036</v>
      </c>
      <c r="Z3247" s="132">
        <v>1.4061485438533231E-2</v>
      </c>
      <c r="AA3247" s="129">
        <v>1.4016726828653958E-2</v>
      </c>
    </row>
    <row r="3248" spans="19:27" x14ac:dyDescent="0.2">
      <c r="S3248" s="1"/>
      <c r="T3248" s="109"/>
      <c r="W3248" s="130" t="str">
        <f t="shared" si="60"/>
        <v>1w</v>
      </c>
      <c r="X3248" s="128">
        <f>_xll.qlCalendarAdvance(Calendar,X3247,W3248,"f",FALSE)</f>
        <v>62039</v>
      </c>
      <c r="Y3248" s="131">
        <f>_xll.qlCalendarAdvance(Calendar,X3248,NDays&amp;"D")</f>
        <v>62043</v>
      </c>
      <c r="Z3248" s="132">
        <v>1.4064519806543134E-2</v>
      </c>
      <c r="AA3248" s="129">
        <v>1.4019816352410785E-2</v>
      </c>
    </row>
    <row r="3249" spans="19:27" x14ac:dyDescent="0.2">
      <c r="S3249" s="1"/>
      <c r="T3249" s="109"/>
      <c r="W3249" s="130" t="str">
        <f t="shared" si="60"/>
        <v>1w</v>
      </c>
      <c r="X3249" s="128">
        <f>_xll.qlCalendarAdvance(Calendar,X3248,W3249,"f",FALSE)</f>
        <v>62046</v>
      </c>
      <c r="Y3249" s="131">
        <f>_xll.qlCalendarAdvance(Calendar,X3249,NDays&amp;"D")</f>
        <v>62050</v>
      </c>
      <c r="Z3249" s="132">
        <v>1.4067544001759122E-2</v>
      </c>
      <c r="AA3249" s="129">
        <v>1.4022895736998109E-2</v>
      </c>
    </row>
    <row r="3250" spans="19:27" x14ac:dyDescent="0.2">
      <c r="S3250" s="1"/>
      <c r="T3250" s="109"/>
      <c r="W3250" s="130" t="str">
        <f t="shared" si="60"/>
        <v>1w</v>
      </c>
      <c r="X3250" s="128">
        <f>_xll.qlCalendarAdvance(Calendar,X3249,W3250,"f",FALSE)</f>
        <v>62053</v>
      </c>
      <c r="Y3250" s="131">
        <f>_xll.qlCalendarAdvance(Calendar,X3250,NDays&amp;"D")</f>
        <v>62057</v>
      </c>
      <c r="Z3250" s="132">
        <v>1.407055802415861E-2</v>
      </c>
      <c r="AA3250" s="129">
        <v>1.40259649825758E-2</v>
      </c>
    </row>
    <row r="3251" spans="19:27" x14ac:dyDescent="0.2">
      <c r="S3251" s="1"/>
      <c r="T3251" s="109"/>
      <c r="W3251" s="130" t="str">
        <f t="shared" si="60"/>
        <v>1w</v>
      </c>
      <c r="X3251" s="128">
        <f>_xll.qlCalendarAdvance(Calendar,X3250,W3251,"f",FALSE)</f>
        <v>62060</v>
      </c>
      <c r="Y3251" s="131">
        <f>_xll.qlCalendarAdvance(Calendar,X3251,NDays&amp;"D")</f>
        <v>62064</v>
      </c>
      <c r="Z3251" s="132">
        <v>1.4073074484375118E-2</v>
      </c>
      <c r="AA3251" s="129">
        <v>1.4029024089063924E-2</v>
      </c>
    </row>
    <row r="3252" spans="19:27" x14ac:dyDescent="0.2">
      <c r="S3252" s="1"/>
      <c r="T3252" s="109"/>
      <c r="W3252" s="130" t="str">
        <f t="shared" si="60"/>
        <v>1w</v>
      </c>
      <c r="X3252" s="128">
        <f>_xll.qlCalendarAdvance(Calendar,X3251,W3252,"f",FALSE)</f>
        <v>62067</v>
      </c>
      <c r="Y3252" s="131">
        <f>_xll.qlCalendarAdvance(Calendar,X3252,NDays&amp;"D")</f>
        <v>62071</v>
      </c>
      <c r="Z3252" s="132">
        <v>1.4076068770846634E-2</v>
      </c>
      <c r="AA3252" s="129">
        <v>1.4032073056542416E-2</v>
      </c>
    </row>
    <row r="3253" spans="19:27" x14ac:dyDescent="0.2">
      <c r="S3253" s="1"/>
      <c r="T3253" s="109"/>
      <c r="W3253" s="130" t="str">
        <f t="shared" si="60"/>
        <v>1w</v>
      </c>
      <c r="X3253" s="128">
        <f>_xll.qlCalendarAdvance(Calendar,X3252,W3253,"f",FALSE)</f>
        <v>62074</v>
      </c>
      <c r="Y3253" s="131">
        <f>_xll.qlCalendarAdvance(Calendar,X3253,NDays&amp;"D")</f>
        <v>62078</v>
      </c>
      <c r="Z3253" s="132">
        <v>1.4079052884804769E-2</v>
      </c>
      <c r="AA3253" s="129">
        <v>1.4035111885011275E-2</v>
      </c>
    </row>
    <row r="3254" spans="19:27" x14ac:dyDescent="0.2">
      <c r="S3254" s="1"/>
      <c r="T3254" s="109"/>
      <c r="W3254" s="130" t="str">
        <f t="shared" si="60"/>
        <v>1w</v>
      </c>
      <c r="X3254" s="128">
        <f>_xll.qlCalendarAdvance(Calendar,X3253,W3254,"f",FALSE)</f>
        <v>62081</v>
      </c>
      <c r="Y3254" s="131">
        <f>_xll.qlCalendarAdvance(Calendar,X3254,NDays&amp;"D")</f>
        <v>62085</v>
      </c>
      <c r="Z3254" s="132">
        <v>1.4082026826226685E-2</v>
      </c>
      <c r="AA3254" s="129">
        <v>1.4038140574310631E-2</v>
      </c>
    </row>
    <row r="3255" spans="19:27" x14ac:dyDescent="0.2">
      <c r="S3255" s="1"/>
      <c r="T3255" s="109"/>
      <c r="W3255" s="130" t="str">
        <f t="shared" si="60"/>
        <v>1w</v>
      </c>
      <c r="X3255" s="128">
        <f>_xll.qlCalendarAdvance(Calendar,X3254,W3255,"f",FALSE)</f>
        <v>62089</v>
      </c>
      <c r="Y3255" s="131">
        <f>_xll.qlCalendarAdvance(Calendar,X3255,NDays&amp;"D")</f>
        <v>62093</v>
      </c>
      <c r="Z3255" s="132">
        <v>1.4082988172004755E-2</v>
      </c>
      <c r="AA3255" s="129">
        <v>1.4042078462206398E-2</v>
      </c>
    </row>
    <row r="3256" spans="19:27" x14ac:dyDescent="0.2">
      <c r="S3256" s="1"/>
      <c r="T3256" s="109"/>
      <c r="W3256" s="130" t="str">
        <f t="shared" si="60"/>
        <v>1w</v>
      </c>
      <c r="X3256" s="128">
        <f>_xll.qlCalendarAdvance(Calendar,X3255,W3256,"f",FALSE)</f>
        <v>62096</v>
      </c>
      <c r="Y3256" s="131">
        <f>_xll.qlCalendarAdvance(Calendar,X3256,NDays&amp;"D")</f>
        <v>62100</v>
      </c>
      <c r="Z3256" s="132">
        <v>1.4087881008206793E-2</v>
      </c>
      <c r="AA3256" s="129">
        <v>1.4044596481159743E-2</v>
      </c>
    </row>
    <row r="3257" spans="19:27" x14ac:dyDescent="0.2">
      <c r="S3257" s="1"/>
      <c r="T3257" s="109"/>
      <c r="W3257" s="130" t="str">
        <f t="shared" si="60"/>
        <v>1w</v>
      </c>
      <c r="X3257" s="128">
        <f>_xll.qlCalendarAdvance(Calendar,X3256,W3257,"f",FALSE)</f>
        <v>62103</v>
      </c>
      <c r="Y3257" s="131">
        <f>_xll.qlCalendarAdvance(Calendar,X3257,NDays&amp;"D")</f>
        <v>62107</v>
      </c>
      <c r="Z3257" s="132">
        <v>1.4090823590305668E-2</v>
      </c>
      <c r="AA3257" s="129">
        <v>1.4047593304908901E-2</v>
      </c>
    </row>
    <row r="3258" spans="19:27" x14ac:dyDescent="0.2">
      <c r="S3258" s="1"/>
      <c r="T3258" s="109"/>
      <c r="W3258" s="130" t="str">
        <f t="shared" si="60"/>
        <v>1w</v>
      </c>
      <c r="X3258" s="128">
        <f>_xll.qlCalendarAdvance(Calendar,X3257,W3258,"f",FALSE)</f>
        <v>62110</v>
      </c>
      <c r="Y3258" s="131">
        <f>_xll.qlCalendarAdvance(Calendar,X3258,NDays&amp;"D")</f>
        <v>62114</v>
      </c>
      <c r="Z3258" s="132">
        <v>1.4093756000148616E-2</v>
      </c>
      <c r="AA3258" s="129">
        <v>1.4050579989488554E-2</v>
      </c>
    </row>
    <row r="3259" spans="19:27" x14ac:dyDescent="0.2">
      <c r="S3259" s="1"/>
      <c r="T3259" s="109"/>
      <c r="W3259" s="130" t="str">
        <f t="shared" si="60"/>
        <v>1w</v>
      </c>
      <c r="X3259" s="128">
        <f>_xll.qlCalendarAdvance(Calendar,X3258,W3259,"f",FALSE)</f>
        <v>62117</v>
      </c>
      <c r="Y3259" s="131">
        <f>_xll.qlCalendarAdvance(Calendar,X3259,NDays&amp;"D")</f>
        <v>62121</v>
      </c>
      <c r="Z3259" s="132">
        <v>1.409667823771521E-2</v>
      </c>
      <c r="AA3259" s="129">
        <v>1.4053556535138512E-2</v>
      </c>
    </row>
    <row r="3260" spans="19:27" x14ac:dyDescent="0.2">
      <c r="S3260" s="1"/>
      <c r="T3260" s="109"/>
      <c r="W3260" s="130" t="str">
        <f t="shared" si="60"/>
        <v>1w</v>
      </c>
      <c r="X3260" s="128">
        <f>_xll.qlCalendarAdvance(Calendar,X3259,W3260,"f",FALSE)</f>
        <v>62124</v>
      </c>
      <c r="Y3260" s="131">
        <f>_xll.qlCalendarAdvance(Calendar,X3260,NDays&amp;"D")</f>
        <v>62128</v>
      </c>
      <c r="Z3260" s="132">
        <v>1.4099590302981468E-2</v>
      </c>
      <c r="AA3260" s="129">
        <v>1.4056522941698901E-2</v>
      </c>
    </row>
    <row r="3261" spans="19:27" x14ac:dyDescent="0.2">
      <c r="S3261" s="1"/>
      <c r="T3261" s="109"/>
      <c r="W3261" s="130" t="str">
        <f t="shared" si="60"/>
        <v>1w</v>
      </c>
      <c r="X3261" s="128">
        <f>_xll.qlCalendarAdvance(Calendar,X3260,W3261,"f",FALSE)</f>
        <v>62131</v>
      </c>
      <c r="Y3261" s="131">
        <f>_xll.qlCalendarAdvance(Calendar,X3261,NDays&amp;"D")</f>
        <v>62135</v>
      </c>
      <c r="Z3261" s="132">
        <v>1.4102492195926963E-2</v>
      </c>
      <c r="AA3261" s="129">
        <v>1.4059479209169723E-2</v>
      </c>
    </row>
    <row r="3262" spans="19:27" x14ac:dyDescent="0.2">
      <c r="S3262" s="1"/>
      <c r="T3262" s="109"/>
      <c r="W3262" s="130" t="str">
        <f t="shared" si="60"/>
        <v>1w</v>
      </c>
      <c r="X3262" s="128">
        <f>_xll.qlCalendarAdvance(Calendar,X3261,W3262,"f",FALSE)</f>
        <v>62138</v>
      </c>
      <c r="Y3262" s="131">
        <f>_xll.qlCalendarAdvance(Calendar,X3262,NDays&amp;"D")</f>
        <v>62142</v>
      </c>
      <c r="Z3262" s="132">
        <v>1.4105383916528602E-2</v>
      </c>
      <c r="AA3262" s="129">
        <v>1.4062425337630913E-2</v>
      </c>
    </row>
    <row r="3263" spans="19:27" x14ac:dyDescent="0.2">
      <c r="S3263" s="1"/>
      <c r="T3263" s="109"/>
      <c r="W3263" s="130" t="str">
        <f t="shared" si="60"/>
        <v>1w</v>
      </c>
      <c r="X3263" s="128">
        <f>_xll.qlCalendarAdvance(Calendar,X3262,W3263,"f",FALSE)</f>
        <v>62145</v>
      </c>
      <c r="Y3263" s="131">
        <f>_xll.qlCalendarAdvance(Calendar,X3263,NDays&amp;"D")</f>
        <v>62149</v>
      </c>
      <c r="Z3263" s="132">
        <v>1.4108265464763292E-2</v>
      </c>
      <c r="AA3263" s="129">
        <v>1.4065361326922599E-2</v>
      </c>
    </row>
    <row r="3264" spans="19:27" x14ac:dyDescent="0.2">
      <c r="S3264" s="1"/>
      <c r="T3264" s="109"/>
      <c r="W3264" s="130" t="str">
        <f t="shared" si="60"/>
        <v>1w</v>
      </c>
      <c r="X3264" s="128">
        <f>_xll.qlCalendarAdvance(Calendar,X3263,W3264,"f",FALSE)</f>
        <v>62152</v>
      </c>
      <c r="Y3264" s="131">
        <f>_xll.qlCalendarAdvance(Calendar,X3264,NDays&amp;"D")</f>
        <v>62156</v>
      </c>
      <c r="Z3264" s="132">
        <v>1.4112095577174908E-2</v>
      </c>
      <c r="AA3264" s="129">
        <v>1.4068287177284589E-2</v>
      </c>
    </row>
    <row r="3265" spans="19:27" x14ac:dyDescent="0.2">
      <c r="S3265" s="1"/>
      <c r="T3265" s="109"/>
      <c r="W3265" s="130" t="str">
        <f t="shared" si="60"/>
        <v>1w</v>
      </c>
      <c r="X3265" s="128">
        <f>_xll.qlCalendarAdvance(Calendar,X3264,W3265,"f",FALSE)</f>
        <v>62159</v>
      </c>
      <c r="Y3265" s="131">
        <f>_xll.qlCalendarAdvance(Calendar,X3265,NDays&amp;"D")</f>
        <v>62163</v>
      </c>
      <c r="Z3265" s="132">
        <v>1.4114955551242045E-2</v>
      </c>
      <c r="AA3265" s="129">
        <v>1.4071202888477075E-2</v>
      </c>
    </row>
    <row r="3266" spans="19:27" x14ac:dyDescent="0.2">
      <c r="S3266" s="1"/>
      <c r="T3266" s="109"/>
      <c r="W3266" s="130" t="str">
        <f t="shared" si="60"/>
        <v>1w</v>
      </c>
      <c r="X3266" s="128">
        <f>_xll.qlCalendarAdvance(Calendar,X3265,W3266,"f",FALSE)</f>
        <v>62166</v>
      </c>
      <c r="Y3266" s="131">
        <f>_xll.qlCalendarAdvance(Calendar,X3266,NDays&amp;"D")</f>
        <v>62170</v>
      </c>
      <c r="Z3266" s="132">
        <v>1.4117805352123409E-2</v>
      </c>
      <c r="AA3266" s="129">
        <v>1.4074108460739865E-2</v>
      </c>
    </row>
    <row r="3267" spans="19:27" x14ac:dyDescent="0.2">
      <c r="S3267" s="1"/>
      <c r="T3267" s="109"/>
      <c r="W3267" s="130" t="str">
        <f t="shared" si="60"/>
        <v>1w</v>
      </c>
      <c r="X3267" s="128">
        <f>_xll.qlCalendarAdvance(Calendar,X3266,W3267,"f",FALSE)</f>
        <v>62173</v>
      </c>
      <c r="Y3267" s="131">
        <f>_xll.qlCalendarAdvance(Calendar,X3267,NDays&amp;"D")</f>
        <v>62177</v>
      </c>
      <c r="Z3267" s="132">
        <v>1.412064497979728E-2</v>
      </c>
      <c r="AA3267" s="129">
        <v>1.4077003893833151E-2</v>
      </c>
    </row>
    <row r="3268" spans="19:27" x14ac:dyDescent="0.2">
      <c r="S3268" s="1"/>
      <c r="T3268" s="109"/>
      <c r="W3268" s="130" t="str">
        <f t="shared" si="60"/>
        <v>1w</v>
      </c>
      <c r="X3268" s="128">
        <f>_xll.qlCalendarAdvance(Calendar,X3267,W3268,"f",FALSE)</f>
        <v>62184</v>
      </c>
      <c r="Y3268" s="131">
        <f>_xll.qlCalendarAdvance(Calendar,X3268,NDays&amp;"D")</f>
        <v>62186</v>
      </c>
      <c r="Z3268" s="132">
        <v>1.4123804273141347E-2</v>
      </c>
      <c r="AA3268" s="129">
        <v>1.4080711695338977E-2</v>
      </c>
    </row>
    <row r="3269" spans="19:27" x14ac:dyDescent="0.2">
      <c r="S3269" s="1"/>
      <c r="T3269" s="109"/>
      <c r="W3269" s="130" t="str">
        <f t="shared" si="60"/>
        <v>1w</v>
      </c>
      <c r="X3269" s="128">
        <f>_xll.qlCalendarAdvance(Calendar,X3268,W3269,"f",FALSE)</f>
        <v>62191</v>
      </c>
      <c r="Y3269" s="131">
        <f>_xll.qlCalendarAdvance(Calendar,X3269,NDays&amp;"D")</f>
        <v>62193</v>
      </c>
      <c r="Z3269" s="132">
        <v>1.412662126401576E-2</v>
      </c>
      <c r="AA3269" s="129">
        <v>1.4083583953450329E-2</v>
      </c>
    </row>
    <row r="3270" spans="19:27" x14ac:dyDescent="0.2">
      <c r="S3270" s="1"/>
      <c r="T3270" s="109"/>
      <c r="W3270" s="130" t="str">
        <f t="shared" si="60"/>
        <v>1w</v>
      </c>
      <c r="X3270" s="128">
        <f>_xll.qlCalendarAdvance(Calendar,X3269,W3270,"f",FALSE)</f>
        <v>62198</v>
      </c>
      <c r="Y3270" s="131">
        <f>_xll.qlCalendarAdvance(Calendar,X3270,NDays&amp;"D")</f>
        <v>62200</v>
      </c>
      <c r="Z3270" s="132">
        <v>1.4129428081986773E-2</v>
      </c>
      <c r="AA3270" s="129">
        <v>1.4086446072392178E-2</v>
      </c>
    </row>
    <row r="3271" spans="19:27" x14ac:dyDescent="0.2">
      <c r="S3271" s="1"/>
      <c r="T3271" s="109"/>
      <c r="W3271" s="130" t="str">
        <f t="shared" si="60"/>
        <v>1w</v>
      </c>
      <c r="X3271" s="128">
        <f>_xll.qlCalendarAdvance(Calendar,X3270,W3271,"f",FALSE)</f>
        <v>62205</v>
      </c>
      <c r="Y3271" s="131">
        <f>_xll.qlCalendarAdvance(Calendar,X3271,NDays&amp;"D")</f>
        <v>62207</v>
      </c>
      <c r="Z3271" s="132">
        <v>1.4132224727035939E-2</v>
      </c>
      <c r="AA3271" s="129">
        <v>1.4089298052484267E-2</v>
      </c>
    </row>
    <row r="3272" spans="19:27" x14ac:dyDescent="0.2">
      <c r="S3272" s="1"/>
      <c r="T3272" s="109"/>
      <c r="W3272" s="130" t="str">
        <f t="shared" si="60"/>
        <v>1w</v>
      </c>
      <c r="X3272" s="128">
        <f>_xll.qlCalendarAdvance(Calendar,X3271,W3272,"f",FALSE)</f>
        <v>62212</v>
      </c>
      <c r="Y3272" s="131">
        <f>_xll.qlCalendarAdvance(Calendar,X3272,NDays&amp;"D")</f>
        <v>62215</v>
      </c>
      <c r="Z3272" s="132">
        <v>1.413683075338042E-2</v>
      </c>
      <c r="AA3272" s="129">
        <v>1.4093501621790239E-2</v>
      </c>
    </row>
    <row r="3273" spans="19:27" x14ac:dyDescent="0.2">
      <c r="S3273" s="1"/>
      <c r="T3273" s="109"/>
      <c r="W3273" s="130" t="str">
        <f t="shared" si="60"/>
        <v>1w</v>
      </c>
      <c r="X3273" s="128">
        <f>_xll.qlCalendarAdvance(Calendar,X3272,W3273,"f",FALSE)</f>
        <v>62219</v>
      </c>
      <c r="Y3273" s="131">
        <f>_xll.qlCalendarAdvance(Calendar,X3273,NDays&amp;"D")</f>
        <v>62221</v>
      </c>
      <c r="Z3273" s="132">
        <v>1.4138261120951783E-2</v>
      </c>
      <c r="AA3273" s="129">
        <v>1.4094971595239869E-2</v>
      </c>
    </row>
    <row r="3274" spans="19:27" x14ac:dyDescent="0.2">
      <c r="S3274" s="1"/>
      <c r="T3274" s="109"/>
      <c r="W3274" s="130" t="str">
        <f t="shared" si="60"/>
        <v>1w</v>
      </c>
      <c r="X3274" s="128">
        <f>_xll.qlCalendarAdvance(Calendar,X3273,W3274,"f",FALSE)</f>
        <v>62226</v>
      </c>
      <c r="Y3274" s="131">
        <f>_xll.qlCalendarAdvance(Calendar,X3274,NDays&amp;"D")</f>
        <v>62228</v>
      </c>
      <c r="Z3274" s="132">
        <v>1.4141026628881398E-2</v>
      </c>
      <c r="AA3274" s="129">
        <v>1.409779315814319E-2</v>
      </c>
    </row>
    <row r="3275" spans="19:27" x14ac:dyDescent="0.2">
      <c r="S3275" s="1"/>
      <c r="T3275" s="109"/>
      <c r="W3275" s="130" t="str">
        <f t="shared" si="60"/>
        <v>1w</v>
      </c>
      <c r="X3275" s="128">
        <f>_xll.qlCalendarAdvance(Calendar,X3274,W3275,"f",FALSE)</f>
        <v>62233</v>
      </c>
      <c r="Y3275" s="131">
        <f>_xll.qlCalendarAdvance(Calendar,X3275,NDays&amp;"D")</f>
        <v>62235</v>
      </c>
      <c r="Z3275" s="132">
        <v>1.4143781963421925E-2</v>
      </c>
      <c r="AA3275" s="129">
        <v>1.4100604581797072E-2</v>
      </c>
    </row>
    <row r="3276" spans="19:27" x14ac:dyDescent="0.2">
      <c r="S3276" s="1"/>
      <c r="T3276" s="109"/>
      <c r="W3276" s="130" t="str">
        <f t="shared" si="60"/>
        <v>1w</v>
      </c>
      <c r="X3276" s="128">
        <f>_xll.qlCalendarAdvance(Calendar,X3275,W3276,"f",FALSE)</f>
        <v>62240</v>
      </c>
      <c r="Y3276" s="131">
        <f>_xll.qlCalendarAdvance(Calendar,X3276,NDays&amp;"D")</f>
        <v>62242</v>
      </c>
      <c r="Z3276" s="132">
        <v>1.4146527124553381E-2</v>
      </c>
      <c r="AA3276" s="129">
        <v>1.4103405866521257E-2</v>
      </c>
    </row>
    <row r="3277" spans="19:27" x14ac:dyDescent="0.2">
      <c r="S3277" s="1"/>
      <c r="T3277" s="109"/>
      <c r="W3277" s="130" t="str">
        <f t="shared" si="60"/>
        <v>1w</v>
      </c>
      <c r="X3277" s="128">
        <f>_xll.qlCalendarAdvance(Calendar,X3276,W3277,"f",FALSE)</f>
        <v>62247</v>
      </c>
      <c r="Y3277" s="131">
        <f>_xll.qlCalendarAdvance(Calendar,X3277,NDays&amp;"D")</f>
        <v>62249</v>
      </c>
      <c r="Z3277" s="132">
        <v>1.4149262112253175E-2</v>
      </c>
      <c r="AA3277" s="129">
        <v>1.4106197012075938E-2</v>
      </c>
    </row>
    <row r="3278" spans="19:27" x14ac:dyDescent="0.2">
      <c r="S3278" s="1"/>
      <c r="T3278" s="109"/>
      <c r="W3278" s="130" t="str">
        <f t="shared" si="60"/>
        <v>1w</v>
      </c>
      <c r="X3278" s="128">
        <f>_xll.qlCalendarAdvance(Calendar,X3277,W3278,"f",FALSE)</f>
        <v>62254</v>
      </c>
      <c r="Y3278" s="131">
        <f>_xll.qlCalendarAdvance(Calendar,X3278,NDays&amp;"D")</f>
        <v>62256</v>
      </c>
      <c r="Z3278" s="132">
        <v>1.4151986926501322E-2</v>
      </c>
      <c r="AA3278" s="129">
        <v>1.4108978018700924E-2</v>
      </c>
    </row>
    <row r="3279" spans="19:27" x14ac:dyDescent="0.2">
      <c r="S3279" s="1"/>
      <c r="T3279" s="109"/>
      <c r="W3279" s="130" t="str">
        <f t="shared" si="60"/>
        <v>1w</v>
      </c>
      <c r="X3279" s="128">
        <f>_xll.qlCalendarAdvance(Calendar,X3278,W3279,"f",FALSE)</f>
        <v>62261</v>
      </c>
      <c r="Y3279" s="131">
        <f>_xll.qlCalendarAdvance(Calendar,X3279,NDays&amp;"D")</f>
        <v>62263</v>
      </c>
      <c r="Z3279" s="132">
        <v>1.41547015672761E-2</v>
      </c>
      <c r="AA3279" s="129">
        <v>1.4111748886156406E-2</v>
      </c>
    </row>
    <row r="3280" spans="19:27" x14ac:dyDescent="0.2">
      <c r="S3280" s="1"/>
      <c r="T3280" s="109"/>
      <c r="W3280" s="130" t="str">
        <f t="shared" si="60"/>
        <v>1w</v>
      </c>
      <c r="X3280" s="128">
        <f>_xll.qlCalendarAdvance(Calendar,X3279,W3280,"f",FALSE)</f>
        <v>62268</v>
      </c>
      <c r="Y3280" s="131">
        <f>_xll.qlCalendarAdvance(Calendar,X3280,NDays&amp;"D")</f>
        <v>62270</v>
      </c>
      <c r="Z3280" s="132">
        <v>1.4157406034556659E-2</v>
      </c>
      <c r="AA3280" s="129">
        <v>1.4114509614522319E-2</v>
      </c>
    </row>
    <row r="3281" spans="19:27" x14ac:dyDescent="0.2">
      <c r="S3281" s="1"/>
      <c r="T3281" s="109"/>
      <c r="W3281" s="130" t="str">
        <f t="shared" si="60"/>
        <v>1w</v>
      </c>
      <c r="X3281" s="128">
        <f>_xll.qlCalendarAdvance(Calendar,X3280,W3281,"f",FALSE)</f>
        <v>62275</v>
      </c>
      <c r="Y3281" s="131">
        <f>_xll.qlCalendarAdvance(Calendar,X3281,NDays&amp;"D")</f>
        <v>62277</v>
      </c>
      <c r="Z3281" s="132">
        <v>1.4160100328322142E-2</v>
      </c>
      <c r="AA3281" s="129">
        <v>1.4117260203878601E-2</v>
      </c>
    </row>
    <row r="3282" spans="19:27" x14ac:dyDescent="0.2">
      <c r="S3282" s="1"/>
      <c r="T3282" s="109"/>
      <c r="W3282" s="130" t="str">
        <f t="shared" si="60"/>
        <v>1w</v>
      </c>
      <c r="X3282" s="128">
        <f>_xll.qlCalendarAdvance(Calendar,X3281,W3282,"f",FALSE)</f>
        <v>62282</v>
      </c>
      <c r="Y3282" s="131">
        <f>_xll.qlCalendarAdvance(Calendar,X3282,NDays&amp;"D")</f>
        <v>62284</v>
      </c>
      <c r="Z3282" s="132">
        <v>1.4162784448549962E-2</v>
      </c>
      <c r="AA3282" s="129">
        <v>1.4120000654145315E-2</v>
      </c>
    </row>
    <row r="3283" spans="19:27" x14ac:dyDescent="0.2">
      <c r="S3283" s="1"/>
      <c r="T3283" s="109"/>
      <c r="W3283" s="130" t="str">
        <f t="shared" si="60"/>
        <v>1w</v>
      </c>
      <c r="X3283" s="128">
        <f>_xll.qlCalendarAdvance(Calendar,X3282,W3283,"f",FALSE)</f>
        <v>62289</v>
      </c>
      <c r="Y3283" s="131">
        <f>_xll.qlCalendarAdvance(Calendar,X3283,NDays&amp;"D")</f>
        <v>62291</v>
      </c>
      <c r="Z3283" s="132">
        <v>1.4165458395221871E-2</v>
      </c>
      <c r="AA3283" s="129">
        <v>1.4122730965402397E-2</v>
      </c>
    </row>
    <row r="3284" spans="19:27" x14ac:dyDescent="0.2">
      <c r="S3284" s="1"/>
      <c r="T3284" s="109"/>
      <c r="W3284" s="130" t="str">
        <f t="shared" si="60"/>
        <v>1w</v>
      </c>
      <c r="X3284" s="128">
        <f>_xll.qlCalendarAdvance(Calendar,X3283,W3284,"f",FALSE)</f>
        <v>62296</v>
      </c>
      <c r="Y3284" s="131">
        <f>_xll.qlCalendarAdvance(Calendar,X3284,NDays&amp;"D")</f>
        <v>62298</v>
      </c>
      <c r="Z3284" s="132">
        <v>1.4168122168314409E-2</v>
      </c>
      <c r="AA3284" s="129">
        <v>1.4125451137489975E-2</v>
      </c>
    </row>
    <row r="3285" spans="19:27" x14ac:dyDescent="0.2">
      <c r="S3285" s="1"/>
      <c r="T3285" s="109"/>
      <c r="W3285" s="130" t="str">
        <f t="shared" ref="W3285:W3348" si="61">W3284</f>
        <v>1w</v>
      </c>
      <c r="X3285" s="128">
        <f>_xll.qlCalendarAdvance(Calendar,X3284,W3285,"f",FALSE)</f>
        <v>62303</v>
      </c>
      <c r="Y3285" s="131">
        <f>_xll.qlCalendarAdvance(Calendar,X3285,NDays&amp;"D")</f>
        <v>62305</v>
      </c>
      <c r="Z3285" s="132">
        <v>1.4170775767810201E-2</v>
      </c>
      <c r="AA3285" s="129">
        <v>1.4128161170647857E-2</v>
      </c>
    </row>
    <row r="3286" spans="19:27" x14ac:dyDescent="0.2">
      <c r="S3286" s="1"/>
      <c r="T3286" s="109"/>
      <c r="W3286" s="130" t="str">
        <f t="shared" si="61"/>
        <v>1w</v>
      </c>
      <c r="X3286" s="128">
        <f>_xll.qlCalendarAdvance(Calendar,X3285,W3286,"f",FALSE)</f>
        <v>62310</v>
      </c>
      <c r="Y3286" s="131">
        <f>_xll.qlCalendarAdvance(Calendar,X3286,NDays&amp;"D")</f>
        <v>62312</v>
      </c>
      <c r="Z3286" s="132">
        <v>1.4173419193685784E-2</v>
      </c>
      <c r="AA3286" s="129">
        <v>1.4130861064716171E-2</v>
      </c>
    </row>
    <row r="3287" spans="19:27" x14ac:dyDescent="0.2">
      <c r="S3287" s="1"/>
      <c r="T3287" s="109"/>
      <c r="W3287" s="130" t="str">
        <f t="shared" si="61"/>
        <v>1w</v>
      </c>
      <c r="X3287" s="128">
        <f>_xll.qlCalendarAdvance(Calendar,X3286,W3287,"f",FALSE)</f>
        <v>62317</v>
      </c>
      <c r="Y3287" s="131">
        <f>_xll.qlCalendarAdvance(Calendar,X3287,NDays&amp;"D")</f>
        <v>62319</v>
      </c>
      <c r="Z3287" s="132">
        <v>1.4176052445921176E-2</v>
      </c>
      <c r="AA3287" s="129">
        <v>1.4133550819614982E-2</v>
      </c>
    </row>
    <row r="3288" spans="19:27" x14ac:dyDescent="0.2">
      <c r="S3288" s="1"/>
      <c r="T3288" s="109"/>
      <c r="W3288" s="130" t="str">
        <f t="shared" si="61"/>
        <v>1w</v>
      </c>
      <c r="X3288" s="128">
        <f>_xll.qlCalendarAdvance(Calendar,X3287,W3288,"f",FALSE)</f>
        <v>62324</v>
      </c>
      <c r="Y3288" s="131">
        <f>_xll.qlCalendarAdvance(Calendar,X3288,NDays&amp;"D")</f>
        <v>62326</v>
      </c>
      <c r="Z3288" s="132">
        <v>1.4178675524495525E-2</v>
      </c>
      <c r="AA3288" s="129">
        <v>1.4136230435424224E-2</v>
      </c>
    </row>
    <row r="3289" spans="19:27" x14ac:dyDescent="0.2">
      <c r="S3289" s="1"/>
      <c r="T3289" s="109"/>
      <c r="W3289" s="130" t="str">
        <f t="shared" si="61"/>
        <v>1w</v>
      </c>
      <c r="X3289" s="128">
        <f>_xll.qlCalendarAdvance(Calendar,X3288,W3289,"f",FALSE)</f>
        <v>62331</v>
      </c>
      <c r="Y3289" s="131">
        <f>_xll.qlCalendarAdvance(Calendar,X3289,NDays&amp;"D")</f>
        <v>62333</v>
      </c>
      <c r="Z3289" s="132">
        <v>1.4181288429390584E-2</v>
      </c>
      <c r="AA3289" s="129">
        <v>1.4138899912303771E-2</v>
      </c>
    </row>
    <row r="3290" spans="19:27" x14ac:dyDescent="0.2">
      <c r="S3290" s="1"/>
      <c r="T3290" s="109"/>
      <c r="W3290" s="130" t="str">
        <f t="shared" si="61"/>
        <v>1w</v>
      </c>
      <c r="X3290" s="128">
        <f>_xll.qlCalendarAdvance(Calendar,X3289,W3290,"f",FALSE)</f>
        <v>62338</v>
      </c>
      <c r="Y3290" s="131">
        <f>_xll.qlCalendarAdvance(Calendar,X3290,NDays&amp;"D")</f>
        <v>62340</v>
      </c>
      <c r="Z3290" s="132">
        <v>1.4183428099414934E-2</v>
      </c>
      <c r="AA3290" s="129">
        <v>1.4141559250013813E-2</v>
      </c>
    </row>
    <row r="3291" spans="19:27" x14ac:dyDescent="0.2">
      <c r="S3291" s="1"/>
      <c r="T3291" s="109"/>
      <c r="W3291" s="130" t="str">
        <f t="shared" si="61"/>
        <v>1w</v>
      </c>
      <c r="X3291" s="128">
        <f>_xll.qlCalendarAdvance(Calendar,X3290,W3291,"f",FALSE)</f>
        <v>62345</v>
      </c>
      <c r="Y3291" s="131">
        <f>_xll.qlCalendarAdvance(Calendar,X3291,NDays&amp;"D")</f>
        <v>62347</v>
      </c>
      <c r="Z3291" s="132">
        <v>1.4186021281586787E-2</v>
      </c>
      <c r="AA3291" s="129">
        <v>1.4144208448634288E-2</v>
      </c>
    </row>
    <row r="3292" spans="19:27" x14ac:dyDescent="0.2">
      <c r="S3292" s="1"/>
      <c r="T3292" s="109"/>
      <c r="W3292" s="130" t="str">
        <f t="shared" si="61"/>
        <v>1w</v>
      </c>
      <c r="X3292" s="128">
        <f>_xll.qlCalendarAdvance(Calendar,X3291,W3292,"f",FALSE)</f>
        <v>62352</v>
      </c>
      <c r="Y3292" s="131">
        <f>_xll.qlCalendarAdvance(Calendar,X3292,NDays&amp;"D")</f>
        <v>62354</v>
      </c>
      <c r="Z3292" s="132">
        <v>1.4188604290401098E-2</v>
      </c>
      <c r="AA3292" s="129">
        <v>1.4146847508325067E-2</v>
      </c>
    </row>
    <row r="3293" spans="19:27" x14ac:dyDescent="0.2">
      <c r="S3293" s="1"/>
      <c r="T3293" s="109"/>
      <c r="W3293" s="130" t="str">
        <f t="shared" si="61"/>
        <v>1w</v>
      </c>
      <c r="X3293" s="128">
        <f>_xll.qlCalendarAdvance(Calendar,X3292,W3293,"f",FALSE)</f>
        <v>62359</v>
      </c>
      <c r="Y3293" s="131">
        <f>_xll.qlCalendarAdvance(Calendar,X3293,NDays&amp;"D")</f>
        <v>62361</v>
      </c>
      <c r="Z3293" s="132">
        <v>1.4193021584034961E-2</v>
      </c>
      <c r="AA3293" s="129">
        <v>1.4149476428846341E-2</v>
      </c>
    </row>
    <row r="3294" spans="19:27" x14ac:dyDescent="0.2">
      <c r="S3294" s="1"/>
      <c r="T3294" s="109"/>
      <c r="W3294" s="130" t="str">
        <f t="shared" si="61"/>
        <v>1w</v>
      </c>
      <c r="X3294" s="128">
        <f>_xll.qlCalendarAdvance(Calendar,X3293,W3294,"f",FALSE)</f>
        <v>62366</v>
      </c>
      <c r="Y3294" s="131">
        <f>_xll.qlCalendarAdvance(Calendar,X3294,NDays&amp;"D")</f>
        <v>62368</v>
      </c>
      <c r="Z3294" s="132">
        <v>1.4194200347944932E-2</v>
      </c>
      <c r="AA3294" s="129">
        <v>1.4152095210437921E-2</v>
      </c>
    </row>
    <row r="3295" spans="19:27" x14ac:dyDescent="0.2">
      <c r="S3295" s="1"/>
      <c r="T3295" s="109"/>
      <c r="W3295" s="130" t="str">
        <f t="shared" si="61"/>
        <v>1w</v>
      </c>
      <c r="X3295" s="128">
        <f>_xll.qlCalendarAdvance(Calendar,X3294,W3295,"f",FALSE)</f>
        <v>62373</v>
      </c>
      <c r="Y3295" s="131">
        <f>_xll.qlCalendarAdvance(Calendar,X3295,NDays&amp;"D")</f>
        <v>62375</v>
      </c>
      <c r="Z3295" s="132">
        <v>1.4196752210328945E-2</v>
      </c>
      <c r="AA3295" s="129">
        <v>1.4154703852700123E-2</v>
      </c>
    </row>
    <row r="3296" spans="19:27" x14ac:dyDescent="0.2">
      <c r="S3296" s="1"/>
      <c r="T3296" s="109"/>
      <c r="W3296" s="130" t="str">
        <f t="shared" si="61"/>
        <v>1w</v>
      </c>
      <c r="X3296" s="128">
        <f>_xll.qlCalendarAdvance(Calendar,X3295,W3296,"f",FALSE)</f>
        <v>62380</v>
      </c>
      <c r="Y3296" s="131">
        <f>_xll.qlCalendarAdvance(Calendar,X3296,NDays&amp;"D")</f>
        <v>62382</v>
      </c>
      <c r="Z3296" s="132">
        <v>1.4199293898894648E-2</v>
      </c>
      <c r="AA3296" s="129">
        <v>1.4157302356032631E-2</v>
      </c>
    </row>
    <row r="3297" spans="19:27" x14ac:dyDescent="0.2">
      <c r="S3297" s="1"/>
      <c r="T3297" s="109"/>
      <c r="W3297" s="130" t="str">
        <f t="shared" si="61"/>
        <v>1w</v>
      </c>
      <c r="X3297" s="128">
        <f>_xll.qlCalendarAdvance(Calendar,X3296,W3297,"f",FALSE)</f>
        <v>62387</v>
      </c>
      <c r="Y3297" s="131">
        <f>_xll.qlCalendarAdvance(Calendar,X3297,NDays&amp;"D")</f>
        <v>62389</v>
      </c>
      <c r="Z3297" s="132">
        <v>1.4201825413619451E-2</v>
      </c>
      <c r="AA3297" s="129">
        <v>1.4159890720355506E-2</v>
      </c>
    </row>
    <row r="3298" spans="19:27" x14ac:dyDescent="0.2">
      <c r="S3298" s="1"/>
      <c r="T3298" s="109"/>
      <c r="W3298" s="130" t="str">
        <f t="shared" si="61"/>
        <v>1w</v>
      </c>
      <c r="X3298" s="128">
        <f>_xll.qlCalendarAdvance(Calendar,X3297,W3298,"f",FALSE)</f>
        <v>62394</v>
      </c>
      <c r="Y3298" s="131">
        <f>_xll.qlCalendarAdvance(Calendar,X3298,NDays&amp;"D")</f>
        <v>62396</v>
      </c>
      <c r="Z3298" s="132">
        <v>1.420434675448337E-2</v>
      </c>
      <c r="AA3298" s="129">
        <v>1.4162468945588813E-2</v>
      </c>
    </row>
    <row r="3299" spans="19:27" x14ac:dyDescent="0.2">
      <c r="S3299" s="1"/>
      <c r="T3299" s="109"/>
      <c r="W3299" s="130" t="str">
        <f t="shared" si="61"/>
        <v>1w</v>
      </c>
      <c r="X3299" s="128">
        <f>_xll.qlCalendarAdvance(Calendar,X3298,W3299,"f",FALSE)</f>
        <v>62401</v>
      </c>
      <c r="Y3299" s="131">
        <f>_xll.qlCalendarAdvance(Calendar,X3299,NDays&amp;"D")</f>
        <v>62403</v>
      </c>
      <c r="Z3299" s="132">
        <v>1.4206857921466419E-2</v>
      </c>
      <c r="AA3299" s="129">
        <v>1.4165037031652616E-2</v>
      </c>
    </row>
    <row r="3300" spans="19:27" x14ac:dyDescent="0.2">
      <c r="S3300" s="1"/>
      <c r="T3300" s="109"/>
      <c r="W3300" s="130" t="str">
        <f t="shared" si="61"/>
        <v>1w</v>
      </c>
      <c r="X3300" s="128">
        <f>_xll.qlCalendarAdvance(Calendar,X3299,W3300,"f",FALSE)</f>
        <v>62408</v>
      </c>
      <c r="Y3300" s="131">
        <f>_xll.qlCalendarAdvance(Calendar,X3300,NDays&amp;"D")</f>
        <v>62410</v>
      </c>
      <c r="Z3300" s="132">
        <v>1.4209358914548617E-2</v>
      </c>
      <c r="AA3300" s="129">
        <v>1.4167594978706788E-2</v>
      </c>
    </row>
    <row r="3301" spans="19:27" x14ac:dyDescent="0.2">
      <c r="S3301" s="1"/>
      <c r="T3301" s="109"/>
      <c r="W3301" s="130" t="str">
        <f t="shared" si="61"/>
        <v>1w</v>
      </c>
      <c r="X3301" s="128">
        <f>_xll.qlCalendarAdvance(Calendar,X3300,W3301,"f",FALSE)</f>
        <v>62415</v>
      </c>
      <c r="Y3301" s="131">
        <f>_xll.qlCalendarAdvance(Calendar,X3301,NDays&amp;"D")</f>
        <v>62417</v>
      </c>
      <c r="Z3301" s="132">
        <v>1.4211849733713455E-2</v>
      </c>
      <c r="AA3301" s="129">
        <v>1.4170142786751327E-2</v>
      </c>
    </row>
    <row r="3302" spans="19:27" x14ac:dyDescent="0.2">
      <c r="S3302" s="1"/>
      <c r="T3302" s="109"/>
      <c r="W3302" s="130" t="str">
        <f t="shared" si="61"/>
        <v>1w</v>
      </c>
      <c r="X3302" s="128">
        <f>_xll.qlCalendarAdvance(Calendar,X3301,W3302,"f",FALSE)</f>
        <v>62422</v>
      </c>
      <c r="Y3302" s="131">
        <f>_xll.qlCalendarAdvance(Calendar,X3302,NDays&amp;"D")</f>
        <v>62424</v>
      </c>
      <c r="Z3302" s="132">
        <v>1.421433037893834E-2</v>
      </c>
      <c r="AA3302" s="129">
        <v>1.4172680455626363E-2</v>
      </c>
    </row>
    <row r="3303" spans="19:27" x14ac:dyDescent="0.2">
      <c r="S3303" s="1"/>
      <c r="T3303" s="109"/>
      <c r="W3303" s="130" t="str">
        <f t="shared" si="61"/>
        <v>1w</v>
      </c>
      <c r="X3303" s="128">
        <f>_xll.qlCalendarAdvance(Calendar,X3302,W3303,"f",FALSE)</f>
        <v>62429</v>
      </c>
      <c r="Y3303" s="131">
        <f>_xll.qlCalendarAdvance(Calendar,X3303,NDays&amp;"D")</f>
        <v>62431</v>
      </c>
      <c r="Z3303" s="132">
        <v>1.4215890981875035E-2</v>
      </c>
      <c r="AA3303" s="129">
        <v>1.4175207985411831E-2</v>
      </c>
    </row>
    <row r="3304" spans="19:27" x14ac:dyDescent="0.2">
      <c r="S3304" s="1"/>
      <c r="T3304" s="109"/>
      <c r="W3304" s="130" t="str">
        <f t="shared" si="61"/>
        <v>1w</v>
      </c>
      <c r="X3304" s="128">
        <f>_xll.qlCalendarAdvance(Calendar,X3303,W3304,"f",FALSE)</f>
        <v>62436</v>
      </c>
      <c r="Y3304" s="131">
        <f>_xll.qlCalendarAdvance(Calendar,X3304,NDays&amp;"D")</f>
        <v>62438</v>
      </c>
      <c r="Z3304" s="132">
        <v>1.4218352538508228E-2</v>
      </c>
      <c r="AA3304" s="129">
        <v>1.4177725376347539E-2</v>
      </c>
    </row>
    <row r="3305" spans="19:27" x14ac:dyDescent="0.2">
      <c r="S3305" s="1"/>
      <c r="T3305" s="109"/>
      <c r="W3305" s="130" t="str">
        <f t="shared" si="61"/>
        <v>1w</v>
      </c>
      <c r="X3305" s="128">
        <f>_xll.qlCalendarAdvance(Calendar,X3304,W3305,"f",FALSE)</f>
        <v>62443</v>
      </c>
      <c r="Y3305" s="131">
        <f>_xll.qlCalendarAdvance(Calendar,X3305,NDays&amp;"D")</f>
        <v>62445</v>
      </c>
      <c r="Z3305" s="132">
        <v>1.4220803921915603E-2</v>
      </c>
      <c r="AA3305" s="129">
        <v>1.418023262795387E-2</v>
      </c>
    </row>
    <row r="3306" spans="19:27" x14ac:dyDescent="0.2">
      <c r="S3306" s="1"/>
      <c r="T3306" s="109"/>
      <c r="W3306" s="130" t="str">
        <f t="shared" si="61"/>
        <v>1w</v>
      </c>
      <c r="X3306" s="128">
        <f>_xll.qlCalendarAdvance(Calendar,X3305,W3306,"f",FALSE)</f>
        <v>62450</v>
      </c>
      <c r="Y3306" s="131">
        <f>_xll.qlCalendarAdvance(Calendar,X3306,NDays&amp;"D")</f>
        <v>62456</v>
      </c>
      <c r="Z3306" s="132">
        <v>1.4225088249430371E-2</v>
      </c>
      <c r="AA3306" s="129">
        <v>1.4184152109812942E-2</v>
      </c>
    </row>
    <row r="3307" spans="19:27" x14ac:dyDescent="0.2">
      <c r="S3307" s="1"/>
      <c r="T3307" s="109"/>
      <c r="W3307" s="130" t="str">
        <f t="shared" si="61"/>
        <v>1w</v>
      </c>
      <c r="X3307" s="128">
        <f>_xll.qlCalendarAdvance(Calendar,X3306,W3307,"f",FALSE)</f>
        <v>62457</v>
      </c>
      <c r="Y3307" s="131">
        <f>_xll.qlCalendarAdvance(Calendar,X3307,NDays&amp;"D")</f>
        <v>62460</v>
      </c>
      <c r="Z3307" s="132">
        <v>1.4226022629497237E-2</v>
      </c>
      <c r="AA3307" s="129">
        <v>1.4186484355489526E-2</v>
      </c>
    </row>
    <row r="3308" spans="19:27" x14ac:dyDescent="0.2">
      <c r="S3308" s="1"/>
      <c r="T3308" s="109"/>
      <c r="W3308" s="130" t="str">
        <f t="shared" si="61"/>
        <v>1w</v>
      </c>
      <c r="X3308" s="128">
        <f>_xll.qlCalendarAdvance(Calendar,X3307,W3308,"f",FALSE)</f>
        <v>62464</v>
      </c>
      <c r="Y3308" s="131">
        <f>_xll.qlCalendarAdvance(Calendar,X3308,NDays&amp;"D")</f>
        <v>62466</v>
      </c>
      <c r="Z3308" s="132">
        <v>1.4228097032605191E-2</v>
      </c>
      <c r="AA3308" s="129">
        <v>1.4187693548715075E-2</v>
      </c>
    </row>
    <row r="3309" spans="19:27" x14ac:dyDescent="0.2">
      <c r="S3309" s="1"/>
      <c r="T3309" s="109"/>
      <c r="W3309" s="130" t="str">
        <f t="shared" si="61"/>
        <v>1w</v>
      </c>
      <c r="X3309" s="128">
        <f>_xll.qlCalendarAdvance(Calendar,X3308,W3309,"f",FALSE)</f>
        <v>62471</v>
      </c>
      <c r="Y3309" s="131">
        <f>_xll.qlCalendarAdvance(Calendar,X3309,NDays&amp;"D")</f>
        <v>62473</v>
      </c>
      <c r="Z3309" s="132">
        <v>1.423050772292811E-2</v>
      </c>
      <c r="AA3309" s="129">
        <v>1.4190160244123007E-2</v>
      </c>
    </row>
    <row r="3310" spans="19:27" x14ac:dyDescent="0.2">
      <c r="S3310" s="1"/>
      <c r="T3310" s="109"/>
      <c r="W3310" s="130" t="str">
        <f t="shared" si="61"/>
        <v>1w</v>
      </c>
      <c r="X3310" s="128">
        <f>_xll.qlCalendarAdvance(Calendar,X3309,W3310,"f",FALSE)</f>
        <v>62478</v>
      </c>
      <c r="Y3310" s="131">
        <f>_xll.qlCalendarAdvance(Calendar,X3310,NDays&amp;"D")</f>
        <v>62480</v>
      </c>
      <c r="Z3310" s="132">
        <v>1.4232908239934616E-2</v>
      </c>
      <c r="AA3310" s="129">
        <v>1.4192616800441371E-2</v>
      </c>
    </row>
    <row r="3311" spans="19:27" x14ac:dyDescent="0.2">
      <c r="S3311" s="1"/>
      <c r="T3311" s="109"/>
      <c r="W3311" s="130" t="str">
        <f t="shared" si="61"/>
        <v>1w</v>
      </c>
      <c r="X3311" s="128">
        <f>_xll.qlCalendarAdvance(Calendar,X3310,W3311,"f",FALSE)</f>
        <v>62485</v>
      </c>
      <c r="Y3311" s="131">
        <f>_xll.qlCalendarAdvance(Calendar,X3311,NDays&amp;"D")</f>
        <v>62487</v>
      </c>
      <c r="Z3311" s="132">
        <v>1.4235298583605172E-2</v>
      </c>
      <c r="AA3311" s="129">
        <v>1.419506321783004E-2</v>
      </c>
    </row>
    <row r="3312" spans="19:27" x14ac:dyDescent="0.2">
      <c r="S3312" s="1"/>
      <c r="T3312" s="109"/>
      <c r="W3312" s="130" t="str">
        <f t="shared" si="61"/>
        <v>1w</v>
      </c>
      <c r="X3312" s="128">
        <f>_xll.qlCalendarAdvance(Calendar,X3311,W3312,"f",FALSE)</f>
        <v>62492</v>
      </c>
      <c r="Y3312" s="131">
        <f>_xll.qlCalendarAdvance(Calendar,X3312,NDays&amp;"D")</f>
        <v>62494</v>
      </c>
      <c r="Z3312" s="132">
        <v>1.4237229427896994E-2</v>
      </c>
      <c r="AA3312" s="129">
        <v>1.4197499495969268E-2</v>
      </c>
    </row>
    <row r="3313" spans="19:27" x14ac:dyDescent="0.2">
      <c r="S3313" s="1"/>
      <c r="T3313" s="109"/>
      <c r="W3313" s="130" t="str">
        <f t="shared" si="61"/>
        <v>1w</v>
      </c>
      <c r="X3313" s="128">
        <f>_xll.qlCalendarAdvance(Calendar,X3312,W3313,"f",FALSE)</f>
        <v>62499</v>
      </c>
      <c r="Y3313" s="131">
        <f>_xll.qlCalendarAdvance(Calendar,X3313,NDays&amp;"D")</f>
        <v>62501</v>
      </c>
      <c r="Z3313" s="132">
        <v>1.4239600057914678E-2</v>
      </c>
      <c r="AA3313" s="129">
        <v>1.4199925635098865E-2</v>
      </c>
    </row>
    <row r="3314" spans="19:27" x14ac:dyDescent="0.2">
      <c r="S3314" s="1"/>
      <c r="T3314" s="109"/>
      <c r="W3314" s="130" t="str">
        <f t="shared" si="61"/>
        <v>1w</v>
      </c>
      <c r="X3314" s="128">
        <f>_xll.qlCalendarAdvance(Calendar,X3313,W3314,"f",FALSE)</f>
        <v>62506</v>
      </c>
      <c r="Y3314" s="131">
        <f>_xll.qlCalendarAdvance(Calendar,X3314,NDays&amp;"D")</f>
        <v>62508</v>
      </c>
      <c r="Z3314" s="132">
        <v>1.4241960514931042E-2</v>
      </c>
      <c r="AA3314" s="129">
        <v>1.4202341635138893E-2</v>
      </c>
    </row>
    <row r="3315" spans="19:27" x14ac:dyDescent="0.2">
      <c r="S3315" s="1"/>
      <c r="T3315" s="109"/>
      <c r="W3315" s="130" t="str">
        <f t="shared" si="61"/>
        <v>1w</v>
      </c>
      <c r="X3315" s="128">
        <f>_xll.qlCalendarAdvance(Calendar,X3314,W3315,"f",FALSE)</f>
        <v>62513</v>
      </c>
      <c r="Y3315" s="131">
        <f>_xll.qlCalendarAdvance(Calendar,X3315,NDays&amp;"D")</f>
        <v>62515</v>
      </c>
      <c r="Z3315" s="132">
        <v>1.424431079892723E-2</v>
      </c>
      <c r="AA3315" s="129">
        <v>1.4204747496089354E-2</v>
      </c>
    </row>
    <row r="3316" spans="19:27" x14ac:dyDescent="0.2">
      <c r="S3316" s="1"/>
      <c r="T3316" s="109"/>
      <c r="W3316" s="130" t="str">
        <f t="shared" si="61"/>
        <v>1w</v>
      </c>
      <c r="X3316" s="128">
        <f>_xll.qlCalendarAdvance(Calendar,X3315,W3316,"f",FALSE)</f>
        <v>62520</v>
      </c>
      <c r="Y3316" s="131">
        <f>_xll.qlCalendarAdvance(Calendar,X3316,NDays&amp;"D")</f>
        <v>62522</v>
      </c>
      <c r="Z3316" s="132">
        <v>1.4247991137892421E-2</v>
      </c>
      <c r="AA3316" s="129">
        <v>1.4207143218110119E-2</v>
      </c>
    </row>
    <row r="3317" spans="19:27" x14ac:dyDescent="0.2">
      <c r="S3317" s="1"/>
      <c r="T3317" s="109"/>
      <c r="W3317" s="130" t="str">
        <f t="shared" si="61"/>
        <v>1w</v>
      </c>
      <c r="X3317" s="128">
        <f>_xll.qlCalendarAdvance(Calendar,X3316,W3317,"f",FALSE)</f>
        <v>62527</v>
      </c>
      <c r="Y3317" s="131">
        <f>_xll.qlCalendarAdvance(Calendar,X3317,NDays&amp;"D")</f>
        <v>62529</v>
      </c>
      <c r="Z3317" s="132">
        <v>1.4250319171768533E-2</v>
      </c>
      <c r="AA3317" s="129">
        <v>1.4209528800881444E-2</v>
      </c>
    </row>
    <row r="3318" spans="19:27" x14ac:dyDescent="0.2">
      <c r="S3318" s="1"/>
      <c r="T3318" s="109"/>
      <c r="W3318" s="130" t="str">
        <f t="shared" si="61"/>
        <v>1w</v>
      </c>
      <c r="X3318" s="128">
        <f>_xll.qlCalendarAdvance(Calendar,X3317,W3318,"f",FALSE)</f>
        <v>62534</v>
      </c>
      <c r="Y3318" s="131">
        <f>_xll.qlCalendarAdvance(Calendar,X3318,NDays&amp;"D")</f>
        <v>62536</v>
      </c>
      <c r="Z3318" s="132">
        <v>1.4252637031408406E-2</v>
      </c>
      <c r="AA3318" s="129">
        <v>1.4211904244723073E-2</v>
      </c>
    </row>
    <row r="3319" spans="19:27" x14ac:dyDescent="0.2">
      <c r="S3319" s="1"/>
      <c r="T3319" s="109"/>
      <c r="W3319" s="130" t="str">
        <f t="shared" si="61"/>
        <v>1w</v>
      </c>
      <c r="X3319" s="128">
        <f>_xll.qlCalendarAdvance(Calendar,X3318,W3319,"f",FALSE)</f>
        <v>62541</v>
      </c>
      <c r="Y3319" s="131">
        <f>_xll.qlCalendarAdvance(Calendar,X3319,NDays&amp;"D")</f>
        <v>62543</v>
      </c>
      <c r="Z3319" s="132">
        <v>1.425494471679206E-2</v>
      </c>
      <c r="AA3319" s="129">
        <v>1.4214269549395198E-2</v>
      </c>
    </row>
    <row r="3320" spans="19:27" x14ac:dyDescent="0.2">
      <c r="S3320" s="1"/>
      <c r="T3320" s="109"/>
      <c r="W3320" s="130" t="str">
        <f t="shared" si="61"/>
        <v>1w</v>
      </c>
      <c r="X3320" s="128">
        <f>_xll.qlCalendarAdvance(Calendar,X3319,W3320,"f",FALSE)</f>
        <v>62548</v>
      </c>
      <c r="Y3320" s="131">
        <f>_xll.qlCalendarAdvance(Calendar,X3320,NDays&amp;"D")</f>
        <v>62550</v>
      </c>
      <c r="Z3320" s="132">
        <v>1.4256798075218817E-2</v>
      </c>
      <c r="AA3320" s="129">
        <v>1.4216624714977755E-2</v>
      </c>
    </row>
    <row r="3321" spans="19:27" x14ac:dyDescent="0.2">
      <c r="S3321" s="1"/>
      <c r="T3321" s="109"/>
      <c r="W3321" s="130" t="str">
        <f t="shared" si="61"/>
        <v>1w</v>
      </c>
      <c r="X3321" s="128">
        <f>_xll.qlCalendarAdvance(Calendar,X3320,W3321,"f",FALSE)</f>
        <v>62555</v>
      </c>
      <c r="Y3321" s="131">
        <f>_xll.qlCalendarAdvance(Calendar,X3321,NDays&amp;"D")</f>
        <v>62557</v>
      </c>
      <c r="Z3321" s="132">
        <v>1.4259086048318588E-2</v>
      </c>
      <c r="AA3321" s="129">
        <v>1.421896974155068E-2</v>
      </c>
    </row>
    <row r="3322" spans="19:27" x14ac:dyDescent="0.2">
      <c r="S3322" s="1"/>
      <c r="T3322" s="109"/>
      <c r="W3322" s="130" t="str">
        <f t="shared" si="61"/>
        <v>1w</v>
      </c>
      <c r="X3322" s="128">
        <f>_xll.qlCalendarAdvance(Calendar,X3321,W3322,"f",FALSE)</f>
        <v>62562</v>
      </c>
      <c r="Y3322" s="131">
        <f>_xll.qlCalendarAdvance(Calendar,X3322,NDays&amp;"D")</f>
        <v>62564</v>
      </c>
      <c r="Z3322" s="132">
        <v>1.4261363847499509E-2</v>
      </c>
      <c r="AA3322" s="129">
        <v>1.4223093406128484E-2</v>
      </c>
    </row>
    <row r="3323" spans="19:27" x14ac:dyDescent="0.2">
      <c r="S3323" s="1"/>
      <c r="T3323" s="109"/>
      <c r="W3323" s="130" t="str">
        <f t="shared" si="61"/>
        <v>1w</v>
      </c>
      <c r="X3323" s="128">
        <f>_xll.qlCalendarAdvance(Calendar,X3322,W3323,"f",FALSE)</f>
        <v>62569</v>
      </c>
      <c r="Y3323" s="131">
        <f>_xll.qlCalendarAdvance(Calendar,X3323,NDays&amp;"D")</f>
        <v>62571</v>
      </c>
      <c r="Z3323" s="132">
        <v>1.4263631472743132E-2</v>
      </c>
      <c r="AA3323" s="129">
        <v>1.4223629377347891E-2</v>
      </c>
    </row>
    <row r="3324" spans="19:27" x14ac:dyDescent="0.2">
      <c r="S3324" s="1"/>
      <c r="T3324" s="109"/>
      <c r="W3324" s="130" t="str">
        <f t="shared" si="61"/>
        <v>1w</v>
      </c>
      <c r="X3324" s="128">
        <f>_xll.qlCalendarAdvance(Calendar,X3323,W3324,"f",FALSE)</f>
        <v>62576</v>
      </c>
      <c r="Y3324" s="131">
        <f>_xll.qlCalendarAdvance(Calendar,X3324,NDays&amp;"D")</f>
        <v>62578</v>
      </c>
      <c r="Z3324" s="132">
        <v>1.4266330529253607E-2</v>
      </c>
      <c r="AA3324" s="129">
        <v>1.4227281846355133E-2</v>
      </c>
    </row>
    <row r="3325" spans="19:27" x14ac:dyDescent="0.2">
      <c r="S3325" s="1"/>
      <c r="T3325" s="109"/>
      <c r="W3325" s="130" t="str">
        <f t="shared" si="61"/>
        <v>1w</v>
      </c>
      <c r="X3325" s="128">
        <f>_xll.qlCalendarAdvance(Calendar,X3324,W3325,"f",FALSE)</f>
        <v>62583</v>
      </c>
      <c r="Y3325" s="131">
        <f>_xll.qlCalendarAdvance(Calendar,X3325,NDays&amp;"D")</f>
        <v>62585</v>
      </c>
      <c r="Z3325" s="132">
        <v>1.4268577168729802E-2</v>
      </c>
      <c r="AA3325" s="129">
        <v>1.4228248457026638E-2</v>
      </c>
    </row>
    <row r="3326" spans="19:27" x14ac:dyDescent="0.2">
      <c r="S3326" s="1"/>
      <c r="T3326" s="109"/>
      <c r="W3326" s="130" t="str">
        <f t="shared" si="61"/>
        <v>1w</v>
      </c>
      <c r="X3326" s="128">
        <f>_xll.qlCalendarAdvance(Calendar,X3325,W3326,"f",FALSE)</f>
        <v>62590</v>
      </c>
      <c r="Y3326" s="131">
        <f>_xll.qlCalendarAdvance(Calendar,X3326,NDays&amp;"D")</f>
        <v>62592</v>
      </c>
      <c r="Z3326" s="132">
        <v>1.4270813633827265E-2</v>
      </c>
      <c r="AA3326" s="129">
        <v>1.4230542788151723E-2</v>
      </c>
    </row>
    <row r="3327" spans="19:27" x14ac:dyDescent="0.2">
      <c r="S3327" s="1"/>
      <c r="T3327" s="109"/>
      <c r="W3327" s="130" t="str">
        <f t="shared" si="61"/>
        <v>1w</v>
      </c>
      <c r="X3327" s="128">
        <f>_xll.qlCalendarAdvance(Calendar,X3326,W3327,"f",FALSE)</f>
        <v>62597</v>
      </c>
      <c r="Y3327" s="131">
        <f>_xll.qlCalendarAdvance(Calendar,X3327,NDays&amp;"D")</f>
        <v>62599</v>
      </c>
      <c r="Z3327" s="132">
        <v>1.4273039924526883E-2</v>
      </c>
      <c r="AA3327" s="129">
        <v>1.4232826980187241E-2</v>
      </c>
    </row>
    <row r="3328" spans="19:27" x14ac:dyDescent="0.2">
      <c r="S3328" s="1"/>
      <c r="T3328" s="109"/>
      <c r="W3328" s="130" t="str">
        <f t="shared" si="61"/>
        <v>1w</v>
      </c>
      <c r="X3328" s="128">
        <f>_xll.qlCalendarAdvance(Calendar,X3327,W3328,"f",FALSE)</f>
        <v>62604</v>
      </c>
      <c r="Y3328" s="131">
        <f>_xll.qlCalendarAdvance(Calendar,X3328,NDays&amp;"D")</f>
        <v>62606</v>
      </c>
      <c r="Z3328" s="132">
        <v>1.4275256040812147E-2</v>
      </c>
      <c r="AA3328" s="129">
        <v>1.4235101033213127E-2</v>
      </c>
    </row>
    <row r="3329" spans="19:27" x14ac:dyDescent="0.2">
      <c r="S3329" s="1"/>
      <c r="T3329" s="109"/>
      <c r="W3329" s="130" t="str">
        <f t="shared" si="61"/>
        <v>1w</v>
      </c>
      <c r="X3329" s="128">
        <f>_xll.qlCalendarAdvance(Calendar,X3328,W3329,"f",FALSE)</f>
        <v>62611</v>
      </c>
      <c r="Y3329" s="131">
        <f>_xll.qlCalendarAdvance(Calendar,X3329,NDays&amp;"D")</f>
        <v>62613</v>
      </c>
      <c r="Z3329" s="132">
        <v>1.4277461982667416E-2</v>
      </c>
      <c r="AA3329" s="129">
        <v>1.4237364947229381E-2</v>
      </c>
    </row>
    <row r="3330" spans="19:27" x14ac:dyDescent="0.2">
      <c r="S3330" s="1"/>
      <c r="T3330" s="109"/>
      <c r="W3330" s="130" t="str">
        <f t="shared" si="61"/>
        <v>1w</v>
      </c>
      <c r="X3330" s="128">
        <f>_xll.qlCalendarAdvance(Calendar,X3329,W3330,"f",FALSE)</f>
        <v>62618</v>
      </c>
      <c r="Y3330" s="131">
        <f>_xll.qlCalendarAdvance(Calendar,X3330,NDays&amp;"D")</f>
        <v>62620</v>
      </c>
      <c r="Z3330" s="132">
        <v>1.4279657750073576E-2</v>
      </c>
      <c r="AA3330" s="129">
        <v>1.4239618722156067E-2</v>
      </c>
    </row>
    <row r="3331" spans="19:27" x14ac:dyDescent="0.2">
      <c r="S3331" s="1"/>
      <c r="T3331" s="109"/>
      <c r="W3331" s="130" t="str">
        <f t="shared" si="61"/>
        <v>1w</v>
      </c>
      <c r="X3331" s="128">
        <f>_xll.qlCalendarAdvance(Calendar,X3330,W3331,"f",FALSE)</f>
        <v>62625</v>
      </c>
      <c r="Y3331" s="131">
        <f>_xll.qlCalendarAdvance(Calendar,X3331,NDays&amp;"D")</f>
        <v>62627</v>
      </c>
      <c r="Z3331" s="132">
        <v>1.4281843343014118E-2</v>
      </c>
      <c r="AA3331" s="129">
        <v>1.4241862357913249E-2</v>
      </c>
    </row>
    <row r="3332" spans="19:27" x14ac:dyDescent="0.2">
      <c r="S3332" s="1"/>
      <c r="T3332" s="109"/>
      <c r="W3332" s="130" t="str">
        <f t="shared" si="61"/>
        <v>1w</v>
      </c>
      <c r="X3332" s="128">
        <f>_xll.qlCalendarAdvance(Calendar,X3331,W3332,"f",FALSE)</f>
        <v>62632</v>
      </c>
      <c r="Y3332" s="131">
        <f>_xll.qlCalendarAdvance(Calendar,X3332,NDays&amp;"D")</f>
        <v>62634</v>
      </c>
      <c r="Z3332" s="132">
        <v>1.4284018761470795E-2</v>
      </c>
      <c r="AA3332" s="129">
        <v>1.4244095854660799E-2</v>
      </c>
    </row>
    <row r="3333" spans="19:27" x14ac:dyDescent="0.2">
      <c r="S3333" s="1"/>
      <c r="T3333" s="109"/>
      <c r="W3333" s="130" t="str">
        <f t="shared" si="61"/>
        <v>1w</v>
      </c>
      <c r="X3333" s="128">
        <f>_xll.qlCalendarAdvance(Calendar,X3332,W3333,"f",FALSE)</f>
        <v>62639</v>
      </c>
      <c r="Y3333" s="131">
        <f>_xll.qlCalendarAdvance(Calendar,X3333,NDays&amp;"D")</f>
        <v>62641</v>
      </c>
      <c r="Z3333" s="132">
        <v>1.4286184005428838E-2</v>
      </c>
      <c r="AA3333" s="129">
        <v>1.4246319212238845E-2</v>
      </c>
    </row>
    <row r="3334" spans="19:27" x14ac:dyDescent="0.2">
      <c r="S3334" s="1"/>
      <c r="T3334" s="109"/>
      <c r="W3334" s="130" t="str">
        <f t="shared" si="61"/>
        <v>1w</v>
      </c>
      <c r="X3334" s="128">
        <f>_xll.qlCalendarAdvance(Calendar,X3333,W3334,"f",FALSE)</f>
        <v>62646</v>
      </c>
      <c r="Y3334" s="131">
        <f>_xll.qlCalendarAdvance(Calendar,X3334,NDays&amp;"D")</f>
        <v>62648</v>
      </c>
      <c r="Z3334" s="132">
        <v>1.4288339074871738E-2</v>
      </c>
      <c r="AA3334" s="129">
        <v>1.4248532430887195E-2</v>
      </c>
    </row>
    <row r="3335" spans="19:27" x14ac:dyDescent="0.2">
      <c r="S3335" s="1"/>
      <c r="T3335" s="109"/>
      <c r="W3335" s="130" t="str">
        <f t="shared" si="61"/>
        <v>1w</v>
      </c>
      <c r="X3335" s="128">
        <f>_xll.qlCalendarAdvance(Calendar,X3334,W3335,"f",FALSE)</f>
        <v>62653</v>
      </c>
      <c r="Y3335" s="131">
        <f>_xll.qlCalendarAdvance(Calendar,X3335,NDays&amp;"D")</f>
        <v>62655</v>
      </c>
      <c r="Z3335" s="132">
        <v>1.429048396977951E-2</v>
      </c>
      <c r="AA3335" s="129">
        <v>1.4250735510286106E-2</v>
      </c>
    </row>
    <row r="3336" spans="19:27" x14ac:dyDescent="0.2">
      <c r="S3336" s="1"/>
      <c r="T3336" s="109"/>
      <c r="W3336" s="130" t="str">
        <f t="shared" si="61"/>
        <v>1w</v>
      </c>
      <c r="X3336" s="128">
        <f>_xll.qlCalendarAdvance(Calendar,X3335,W3336,"f",FALSE)</f>
        <v>62660</v>
      </c>
      <c r="Y3336" s="131">
        <f>_xll.qlCalendarAdvance(Calendar,X3336,NDays&amp;"D")</f>
        <v>62662</v>
      </c>
      <c r="Z3336" s="132">
        <v>1.4292618690138252E-2</v>
      </c>
      <c r="AA3336" s="129">
        <v>1.425292845075532E-2</v>
      </c>
    </row>
    <row r="3337" spans="19:27" x14ac:dyDescent="0.2">
      <c r="S3337" s="1"/>
      <c r="T3337" s="109"/>
      <c r="W3337" s="130" t="str">
        <f t="shared" si="61"/>
        <v>1w</v>
      </c>
      <c r="X3337" s="128">
        <f>_xll.qlCalendarAdvance(Calendar,X3336,W3337,"f",FALSE)</f>
        <v>62667</v>
      </c>
      <c r="Y3337" s="131">
        <f>_xll.qlCalendarAdvance(Calendar,X3337,NDays&amp;"D")</f>
        <v>62669</v>
      </c>
      <c r="Z3337" s="132">
        <v>1.4294743235931457E-2</v>
      </c>
      <c r="AA3337" s="129">
        <v>1.4255111252134967E-2</v>
      </c>
    </row>
    <row r="3338" spans="19:27" x14ac:dyDescent="0.2">
      <c r="S3338" s="1"/>
      <c r="T3338" s="109"/>
      <c r="W3338" s="130" t="str">
        <f t="shared" si="61"/>
        <v>1w</v>
      </c>
      <c r="X3338" s="128">
        <f>_xll.qlCalendarAdvance(Calendar,X3337,W3338,"f",FALSE)</f>
        <v>62674</v>
      </c>
      <c r="Y3338" s="131">
        <f>_xll.qlCalendarAdvance(Calendar,X3338,NDays&amp;"D")</f>
        <v>62676</v>
      </c>
      <c r="Z3338" s="132">
        <v>1.4296857607140879E-2</v>
      </c>
      <c r="AA3338" s="129">
        <v>1.4257283914265173E-2</v>
      </c>
    </row>
    <row r="3339" spans="19:27" x14ac:dyDescent="0.2">
      <c r="S3339" s="1"/>
      <c r="T3339" s="109"/>
      <c r="W3339" s="130" t="str">
        <f t="shared" si="61"/>
        <v>1w</v>
      </c>
      <c r="X3339" s="128">
        <f>_xll.qlCalendarAdvance(Calendar,X3338,W3339,"f",FALSE)</f>
        <v>62681</v>
      </c>
      <c r="Y3339" s="131">
        <f>_xll.qlCalendarAdvance(Calendar,X3339,NDays&amp;"D")</f>
        <v>62683</v>
      </c>
      <c r="Z3339" s="132">
        <v>1.4298961803750876E-2</v>
      </c>
      <c r="AA3339" s="129">
        <v>1.4259446437465684E-2</v>
      </c>
    </row>
    <row r="3340" spans="19:27" x14ac:dyDescent="0.2">
      <c r="S3340" s="1"/>
      <c r="T3340" s="109"/>
      <c r="W3340" s="130" t="str">
        <f t="shared" si="61"/>
        <v>1w</v>
      </c>
      <c r="X3340" s="128">
        <f>_xll.qlCalendarAdvance(Calendar,X3339,W3340,"f",FALSE)</f>
        <v>62688</v>
      </c>
      <c r="Y3340" s="131">
        <f>_xll.qlCalendarAdvance(Calendar,X3340,NDays&amp;"D")</f>
        <v>62690</v>
      </c>
      <c r="Z3340" s="132">
        <v>1.4301055825746678E-2</v>
      </c>
      <c r="AA3340" s="129">
        <v>1.4261598821656563E-2</v>
      </c>
    </row>
    <row r="3341" spans="19:27" x14ac:dyDescent="0.2">
      <c r="S3341" s="1"/>
      <c r="T3341" s="109"/>
      <c r="W3341" s="130" t="str">
        <f t="shared" si="61"/>
        <v>1w</v>
      </c>
      <c r="X3341" s="128">
        <f>_xll.qlCalendarAdvance(Calendar,X3340,W3341,"f",FALSE)</f>
        <v>62695</v>
      </c>
      <c r="Y3341" s="131">
        <f>_xll.qlCalendarAdvance(Calendar,X3341,NDays&amp;"D")</f>
        <v>62697</v>
      </c>
      <c r="Z3341" s="132">
        <v>1.4303139673108301E-2</v>
      </c>
      <c r="AA3341" s="129">
        <v>1.4263741066598001E-2</v>
      </c>
    </row>
    <row r="3342" spans="19:27" x14ac:dyDescent="0.2">
      <c r="S3342" s="1"/>
      <c r="T3342" s="109"/>
      <c r="W3342" s="130" t="str">
        <f t="shared" si="61"/>
        <v>1w</v>
      </c>
      <c r="X3342" s="128">
        <f>_xll.qlCalendarAdvance(Calendar,X3341,W3342,"f",FALSE)</f>
        <v>62702</v>
      </c>
      <c r="Y3342" s="131">
        <f>_xll.qlCalendarAdvance(Calendar,X3342,NDays&amp;"D")</f>
        <v>62704</v>
      </c>
      <c r="Z3342" s="132">
        <v>1.4304783281498493E-2</v>
      </c>
      <c r="AA3342" s="129">
        <v>1.4265873172609744E-2</v>
      </c>
    </row>
    <row r="3343" spans="19:27" x14ac:dyDescent="0.2">
      <c r="S3343" s="1"/>
      <c r="T3343" s="109"/>
      <c r="W3343" s="130" t="str">
        <f t="shared" si="61"/>
        <v>1w</v>
      </c>
      <c r="X3343" s="128">
        <f>_xll.qlCalendarAdvance(Calendar,X3342,W3343,"f",FALSE)</f>
        <v>62709</v>
      </c>
      <c r="Y3343" s="131">
        <f>_xll.qlCalendarAdvance(Calendar,X3343,NDays&amp;"D")</f>
        <v>62711</v>
      </c>
      <c r="Z3343" s="132">
        <v>1.4306847424432433E-2</v>
      </c>
      <c r="AA3343" s="129">
        <v>1.4267995139531919E-2</v>
      </c>
    </row>
    <row r="3344" spans="19:27" x14ac:dyDescent="0.2">
      <c r="S3344" s="1"/>
      <c r="T3344" s="109"/>
      <c r="W3344" s="130" t="str">
        <f t="shared" si="61"/>
        <v>1w</v>
      </c>
      <c r="X3344" s="128">
        <f>_xll.qlCalendarAdvance(Calendar,X3343,W3344,"f",FALSE)</f>
        <v>62716</v>
      </c>
      <c r="Y3344" s="131">
        <f>_xll.qlCalendarAdvance(Calendar,X3344,NDays&amp;"D")</f>
        <v>62718</v>
      </c>
      <c r="Z3344" s="132">
        <v>1.4308901393079465E-2</v>
      </c>
      <c r="AA3344" s="129">
        <v>1.427010696728459E-2</v>
      </c>
    </row>
    <row r="3345" spans="19:27" x14ac:dyDescent="0.2">
      <c r="S3345" s="1"/>
      <c r="T3345" s="109"/>
      <c r="W3345" s="130" t="str">
        <f t="shared" si="61"/>
        <v>1w</v>
      </c>
      <c r="X3345" s="128">
        <f>_xll.qlCalendarAdvance(Calendar,X3344,W3345,"f",FALSE)</f>
        <v>62723</v>
      </c>
      <c r="Y3345" s="131">
        <f>_xll.qlCalendarAdvance(Calendar,X3345,NDays&amp;"D")</f>
        <v>62725</v>
      </c>
      <c r="Z3345" s="132">
        <v>1.4310945187423778E-2</v>
      </c>
      <c r="AA3345" s="129">
        <v>1.4272208655947694E-2</v>
      </c>
    </row>
    <row r="3346" spans="19:27" x14ac:dyDescent="0.2">
      <c r="S3346" s="1"/>
      <c r="T3346" s="109"/>
      <c r="W3346" s="130" t="str">
        <f t="shared" si="61"/>
        <v>1w</v>
      </c>
      <c r="X3346" s="128">
        <f>_xll.qlCalendarAdvance(Calendar,X3345,W3346,"f",FALSE)</f>
        <v>62730</v>
      </c>
      <c r="Y3346" s="131">
        <f>_xll.qlCalendarAdvance(Calendar,X3346,NDays&amp;"D")</f>
        <v>62732</v>
      </c>
      <c r="Z3346" s="132">
        <v>1.4314688435189694E-2</v>
      </c>
      <c r="AA3346" s="129">
        <v>1.4274300205601165E-2</v>
      </c>
    </row>
    <row r="3347" spans="19:27" x14ac:dyDescent="0.2">
      <c r="S3347" s="1"/>
      <c r="T3347" s="109"/>
      <c r="W3347" s="130" t="str">
        <f t="shared" si="61"/>
        <v>1w</v>
      </c>
      <c r="X3347" s="128">
        <f>_xll.qlCalendarAdvance(Calendar,X3346,W3347,"f",FALSE)</f>
        <v>62737</v>
      </c>
      <c r="Y3347" s="131">
        <f>_xll.qlCalendarAdvance(Calendar,X3347,NDays&amp;"D")</f>
        <v>62739</v>
      </c>
      <c r="Z3347" s="132">
        <v>1.4315429089111403E-2</v>
      </c>
      <c r="AA3347" s="129">
        <v>1.4276381616165068E-2</v>
      </c>
    </row>
    <row r="3348" spans="19:27" x14ac:dyDescent="0.2">
      <c r="S3348" s="1"/>
      <c r="T3348" s="109"/>
      <c r="W3348" s="130" t="str">
        <f t="shared" si="61"/>
        <v>1w</v>
      </c>
      <c r="X3348" s="128">
        <f>_xll.qlCalendarAdvance(Calendar,X3347,W3348,"f",FALSE)</f>
        <v>62744</v>
      </c>
      <c r="Y3348" s="131">
        <f>_xll.qlCalendarAdvance(Calendar,X3348,NDays&amp;"D")</f>
        <v>62746</v>
      </c>
      <c r="Z3348" s="132">
        <v>1.4317441713601947E-2</v>
      </c>
      <c r="AA3348" s="129">
        <v>1.4278452887639403E-2</v>
      </c>
    </row>
    <row r="3349" spans="19:27" x14ac:dyDescent="0.2">
      <c r="S3349" s="1"/>
      <c r="T3349" s="109"/>
      <c r="W3349" s="130" t="str">
        <f t="shared" ref="W3349:W3412" si="62">W3348</f>
        <v>1w</v>
      </c>
      <c r="X3349" s="128">
        <f>_xll.qlCalendarAdvance(Calendar,X3348,W3349,"f",FALSE)</f>
        <v>62751</v>
      </c>
      <c r="Y3349" s="131">
        <f>_xll.qlCalendarAdvance(Calendar,X3349,NDays&amp;"D")</f>
        <v>62753</v>
      </c>
      <c r="Z3349" s="132">
        <v>1.4319444163332327E-2</v>
      </c>
      <c r="AA3349" s="129">
        <v>1.4280514020024171E-2</v>
      </c>
    </row>
    <row r="3350" spans="19:27" x14ac:dyDescent="0.2">
      <c r="S3350" s="1"/>
      <c r="T3350" s="109"/>
      <c r="W3350" s="130" t="str">
        <f t="shared" si="62"/>
        <v>1w</v>
      </c>
      <c r="X3350" s="128">
        <f>_xll.qlCalendarAdvance(Calendar,X3349,W3350,"f",FALSE)</f>
        <v>62758</v>
      </c>
      <c r="Y3350" s="131">
        <f>_xll.qlCalendarAdvance(Calendar,X3350,NDays&amp;"D")</f>
        <v>62760</v>
      </c>
      <c r="Z3350" s="132">
        <v>1.4321436438287771E-2</v>
      </c>
      <c r="AA3350" s="129">
        <v>1.428256501331937E-2</v>
      </c>
    </row>
    <row r="3351" spans="19:27" x14ac:dyDescent="0.2">
      <c r="S3351" s="1"/>
      <c r="T3351" s="109"/>
      <c r="W3351" s="130" t="str">
        <f t="shared" si="62"/>
        <v>1w</v>
      </c>
      <c r="X3351" s="128">
        <f>_xll.qlCalendarAdvance(Calendar,X3350,W3351,"f",FALSE)</f>
        <v>62765</v>
      </c>
      <c r="Y3351" s="131">
        <f>_xll.qlCalendarAdvance(Calendar,X3351,NDays&amp;"D")</f>
        <v>62767</v>
      </c>
      <c r="Z3351" s="132">
        <v>1.4323418538453508E-2</v>
      </c>
      <c r="AA3351" s="129">
        <v>1.4284605867604938E-2</v>
      </c>
    </row>
    <row r="3352" spans="19:27" x14ac:dyDescent="0.2">
      <c r="S3352" s="1"/>
      <c r="T3352" s="109"/>
      <c r="W3352" s="130" t="str">
        <f t="shared" si="62"/>
        <v>1w</v>
      </c>
      <c r="X3352" s="128">
        <f>_xll.qlCalendarAdvance(Calendar,X3351,W3352,"f",FALSE)</f>
        <v>62772</v>
      </c>
      <c r="Y3352" s="131">
        <f>_xll.qlCalendarAdvance(Calendar,X3352,NDays&amp;"D")</f>
        <v>62774</v>
      </c>
      <c r="Z3352" s="132">
        <v>1.4325390463813899E-2</v>
      </c>
      <c r="AA3352" s="129">
        <v>1.4286636582800938E-2</v>
      </c>
    </row>
    <row r="3353" spans="19:27" x14ac:dyDescent="0.2">
      <c r="S3353" s="1"/>
      <c r="T3353" s="109"/>
      <c r="W3353" s="130" t="str">
        <f t="shared" si="62"/>
        <v>1w</v>
      </c>
      <c r="X3353" s="128">
        <f>_xll.qlCalendarAdvance(Calendar,X3352,W3353,"f",FALSE)</f>
        <v>62779</v>
      </c>
      <c r="Y3353" s="131">
        <f>_xll.qlCalendarAdvance(Calendar,X3353,NDays&amp;"D")</f>
        <v>62781</v>
      </c>
      <c r="Z3353" s="132">
        <v>1.4327352214351568E-2</v>
      </c>
      <c r="AA3353" s="129">
        <v>1.4288657158827434E-2</v>
      </c>
    </row>
    <row r="3354" spans="19:27" x14ac:dyDescent="0.2">
      <c r="S3354" s="1"/>
      <c r="T3354" s="109"/>
      <c r="W3354" s="130" t="str">
        <f t="shared" si="62"/>
        <v>1w</v>
      </c>
      <c r="X3354" s="128">
        <f>_xll.qlCalendarAdvance(Calendar,X3353,W3354,"f",FALSE)</f>
        <v>62786</v>
      </c>
      <c r="Y3354" s="131">
        <f>_xll.qlCalendarAdvance(Calendar,X3354,NDays&amp;"D")</f>
        <v>62788</v>
      </c>
      <c r="Z3354" s="132">
        <v>1.4329303790053479E-2</v>
      </c>
      <c r="AA3354" s="129">
        <v>1.4290667595844297E-2</v>
      </c>
    </row>
    <row r="3355" spans="19:27" x14ac:dyDescent="0.2">
      <c r="S3355" s="1"/>
      <c r="T3355" s="109"/>
      <c r="W3355" s="130" t="str">
        <f t="shared" si="62"/>
        <v>1w</v>
      </c>
      <c r="X3355" s="128">
        <f>_xll.qlCalendarAdvance(Calendar,X3354,W3355,"f",FALSE)</f>
        <v>62793</v>
      </c>
      <c r="Y3355" s="131">
        <f>_xll.qlCalendarAdvance(Calendar,X3355,NDays&amp;"D")</f>
        <v>62795</v>
      </c>
      <c r="Z3355" s="132">
        <v>1.4330823540772213E-2</v>
      </c>
      <c r="AA3355" s="129">
        <v>1.4292667893771593E-2</v>
      </c>
    </row>
    <row r="3356" spans="19:27" x14ac:dyDescent="0.2">
      <c r="S3356" s="1"/>
      <c r="T3356" s="109"/>
      <c r="W3356" s="130" t="str">
        <f t="shared" si="62"/>
        <v>1w</v>
      </c>
      <c r="X3356" s="128">
        <f>_xll.qlCalendarAdvance(Calendar,X3355,W3356,"f",FALSE)</f>
        <v>62800</v>
      </c>
      <c r="Y3356" s="131">
        <f>_xll.qlCalendarAdvance(Calendar,X3356,NDays&amp;"D")</f>
        <v>62802</v>
      </c>
      <c r="Z3356" s="132">
        <v>1.4332755416761503E-2</v>
      </c>
      <c r="AA3356" s="129">
        <v>1.4294658052529385E-2</v>
      </c>
    </row>
    <row r="3357" spans="19:27" x14ac:dyDescent="0.2">
      <c r="S3357" s="1"/>
      <c r="T3357" s="109"/>
      <c r="W3357" s="130" t="str">
        <f t="shared" si="62"/>
        <v>1w</v>
      </c>
      <c r="X3357" s="128">
        <f>_xll.qlCalendarAdvance(Calendar,X3356,W3357,"f",FALSE)</f>
        <v>62807</v>
      </c>
      <c r="Y3357" s="131">
        <f>_xll.qlCalendarAdvance(Calendar,X3357,NDays&amp;"D")</f>
        <v>62809</v>
      </c>
      <c r="Z3357" s="132">
        <v>1.4334677118265363E-2</v>
      </c>
      <c r="AA3357" s="129">
        <v>1.4296638072277545E-2</v>
      </c>
    </row>
    <row r="3358" spans="19:27" x14ac:dyDescent="0.2">
      <c r="S3358" s="1"/>
      <c r="T3358" s="109"/>
      <c r="W3358" s="130" t="str">
        <f t="shared" si="62"/>
        <v>1w</v>
      </c>
      <c r="X3358" s="128">
        <f>_xll.qlCalendarAdvance(Calendar,X3357,W3358,"f",FALSE)</f>
        <v>62814</v>
      </c>
      <c r="Y3358" s="131">
        <f>_xll.qlCalendarAdvance(Calendar,X3358,NDays&amp;"D")</f>
        <v>62816</v>
      </c>
      <c r="Z3358" s="132">
        <v>1.4336588645267104E-2</v>
      </c>
      <c r="AA3358" s="129">
        <v>1.4299880570307621E-2</v>
      </c>
    </row>
    <row r="3359" spans="19:27" x14ac:dyDescent="0.2">
      <c r="S3359" s="1"/>
      <c r="T3359" s="109"/>
      <c r="W3359" s="130" t="str">
        <f t="shared" si="62"/>
        <v>1w</v>
      </c>
      <c r="X3359" s="128">
        <f>_xll.qlCalendarAdvance(Calendar,X3358,W3359,"f",FALSE)</f>
        <v>62821</v>
      </c>
      <c r="Y3359" s="131">
        <f>_xll.qlCalendarAdvance(Calendar,X3359,NDays&amp;"D")</f>
        <v>62823</v>
      </c>
      <c r="Z3359" s="132">
        <v>1.4338489997753548E-2</v>
      </c>
      <c r="AA3359" s="129">
        <v>1.4301838372527964E-2</v>
      </c>
    </row>
    <row r="3360" spans="19:27" x14ac:dyDescent="0.2">
      <c r="S3360" s="1"/>
      <c r="T3360" s="109"/>
      <c r="W3360" s="130" t="str">
        <f t="shared" si="62"/>
        <v>1w</v>
      </c>
      <c r="X3360" s="128">
        <f>_xll.qlCalendarAdvance(Calendar,X3359,W3360,"f",FALSE)</f>
        <v>62828</v>
      </c>
      <c r="Y3360" s="131">
        <f>_xll.qlCalendarAdvance(Calendar,X3360,NDays&amp;"D")</f>
        <v>62830</v>
      </c>
      <c r="Z3360" s="132">
        <v>1.4340381175708884E-2</v>
      </c>
      <c r="AA3360" s="129">
        <v>1.4302517297064554E-2</v>
      </c>
    </row>
    <row r="3361" spans="19:27" x14ac:dyDescent="0.2">
      <c r="S3361" s="1"/>
      <c r="T3361" s="109"/>
      <c r="W3361" s="130" t="str">
        <f t="shared" si="62"/>
        <v>1w</v>
      </c>
      <c r="X3361" s="128">
        <f>_xll.qlCalendarAdvance(Calendar,X3360,W3361,"f",FALSE)</f>
        <v>62835</v>
      </c>
      <c r="Y3361" s="131">
        <f>_xll.qlCalendarAdvance(Calendar,X3361,NDays&amp;"D")</f>
        <v>62837</v>
      </c>
      <c r="Z3361" s="132">
        <v>1.4342262179119937E-2</v>
      </c>
      <c r="AA3361" s="129">
        <v>1.4304456760454443E-2</v>
      </c>
    </row>
    <row r="3362" spans="19:27" x14ac:dyDescent="0.2">
      <c r="S3362" s="1"/>
      <c r="T3362" s="109"/>
      <c r="W3362" s="130" t="str">
        <f t="shared" si="62"/>
        <v>1w</v>
      </c>
      <c r="X3362" s="128">
        <f>_xll.qlCalendarAdvance(Calendar,X3361,W3362,"f",FALSE)</f>
        <v>62842</v>
      </c>
      <c r="Y3362" s="131">
        <f>_xll.qlCalendarAdvance(Calendar,X3362,NDays&amp;"D")</f>
        <v>62844</v>
      </c>
      <c r="Z3362" s="132">
        <v>1.4344133007970895E-2</v>
      </c>
      <c r="AA3362" s="129">
        <v>1.4306386084914635E-2</v>
      </c>
    </row>
    <row r="3363" spans="19:27" x14ac:dyDescent="0.2">
      <c r="S3363" s="1"/>
      <c r="T3363" s="109"/>
      <c r="W3363" s="130" t="str">
        <f t="shared" si="62"/>
        <v>1w</v>
      </c>
      <c r="X3363" s="128">
        <f>_xll.qlCalendarAdvance(Calendar,X3362,W3363,"f",FALSE)</f>
        <v>62849</v>
      </c>
      <c r="Y3363" s="131">
        <f>_xll.qlCalendarAdvance(Calendar,X3363,NDays&amp;"D")</f>
        <v>62851</v>
      </c>
      <c r="Z3363" s="132">
        <v>1.434599366224858E-2</v>
      </c>
      <c r="AA3363" s="129">
        <v>1.4308305270205324E-2</v>
      </c>
    </row>
    <row r="3364" spans="19:27" x14ac:dyDescent="0.2">
      <c r="S3364" s="1"/>
      <c r="T3364" s="109"/>
      <c r="W3364" s="130" t="str">
        <f t="shared" si="62"/>
        <v>1w</v>
      </c>
      <c r="X3364" s="128">
        <f>_xll.qlCalendarAdvance(Calendar,X3363,W3364,"f",FALSE)</f>
        <v>62856</v>
      </c>
      <c r="Y3364" s="131">
        <f>_xll.qlCalendarAdvance(Calendar,X3364,NDays&amp;"D")</f>
        <v>62858</v>
      </c>
      <c r="Z3364" s="132">
        <v>1.4347428304817278E-2</v>
      </c>
      <c r="AA3364" s="129">
        <v>1.4310214316326508E-2</v>
      </c>
    </row>
    <row r="3365" spans="19:27" x14ac:dyDescent="0.2">
      <c r="S3365" s="1"/>
      <c r="T3365" s="109"/>
      <c r="W3365" s="130" t="str">
        <f t="shared" si="62"/>
        <v>1w</v>
      </c>
      <c r="X3365" s="128">
        <f>_xll.qlCalendarAdvance(Calendar,X3364,W3365,"f",FALSE)</f>
        <v>62863</v>
      </c>
      <c r="Y3365" s="131">
        <f>_xll.qlCalendarAdvance(Calendar,X3365,NDays&amp;"D")</f>
        <v>62865</v>
      </c>
      <c r="Z3365" s="132">
        <v>1.4349269263417952E-2</v>
      </c>
      <c r="AA3365" s="129">
        <v>1.4312113223438061E-2</v>
      </c>
    </row>
    <row r="3366" spans="19:27" x14ac:dyDescent="0.2">
      <c r="S3366" s="1"/>
      <c r="T3366" s="109"/>
      <c r="W3366" s="130" t="str">
        <f t="shared" si="62"/>
        <v>1w</v>
      </c>
      <c r="X3366" s="128">
        <f>_xll.qlCalendarAdvance(Calendar,X3365,W3366,"f",FALSE)</f>
        <v>62870</v>
      </c>
      <c r="Y3366" s="131">
        <f>_xll.qlCalendarAdvance(Calendar,X3366,NDays&amp;"D")</f>
        <v>62872</v>
      </c>
      <c r="Z3366" s="132">
        <v>1.4351100047798937E-2</v>
      </c>
      <c r="AA3366" s="129">
        <v>1.4314001991539982E-2</v>
      </c>
    </row>
    <row r="3367" spans="19:27" x14ac:dyDescent="0.2">
      <c r="S3367" s="1"/>
      <c r="T3367" s="109"/>
      <c r="W3367" s="130" t="str">
        <f t="shared" si="62"/>
        <v>1w</v>
      </c>
      <c r="X3367" s="128">
        <f>_xll.qlCalendarAdvance(Calendar,X3366,W3367,"f",FALSE)</f>
        <v>62877</v>
      </c>
      <c r="Y3367" s="131">
        <f>_xll.qlCalendarAdvance(Calendar,X3367,NDays&amp;"D")</f>
        <v>62879</v>
      </c>
      <c r="Z3367" s="132">
        <v>1.4352920657945134E-2</v>
      </c>
      <c r="AA3367" s="129">
        <v>1.4315880620312527E-2</v>
      </c>
    </row>
    <row r="3368" spans="19:27" x14ac:dyDescent="0.2">
      <c r="S3368" s="1"/>
      <c r="T3368" s="109"/>
      <c r="W3368" s="130" t="str">
        <f t="shared" si="62"/>
        <v>1w</v>
      </c>
      <c r="X3368" s="128">
        <f>_xll.qlCalendarAdvance(Calendar,X3367,W3368,"f",FALSE)</f>
        <v>62884</v>
      </c>
      <c r="Y3368" s="131">
        <f>_xll.qlCalendarAdvance(Calendar,X3368,NDays&amp;"D")</f>
        <v>62886</v>
      </c>
      <c r="Z3368" s="132">
        <v>1.4355557483715135E-2</v>
      </c>
      <c r="AA3368" s="129">
        <v>1.4317749110235312E-2</v>
      </c>
    </row>
    <row r="3369" spans="19:27" x14ac:dyDescent="0.2">
      <c r="S3369" s="1"/>
      <c r="T3369" s="109"/>
      <c r="W3369" s="130" t="str">
        <f t="shared" si="62"/>
        <v>1w</v>
      </c>
      <c r="X3369" s="128">
        <f>_xll.qlCalendarAdvance(Calendar,X3368,W3369,"f",FALSE)</f>
        <v>62891</v>
      </c>
      <c r="Y3369" s="131">
        <f>_xll.qlCalendarAdvance(Calendar,X3369,NDays&amp;"D")</f>
        <v>62893</v>
      </c>
      <c r="Z3369" s="132">
        <v>1.4357356435096041E-2</v>
      </c>
      <c r="AA3369" s="129">
        <v>1.4319607460988593E-2</v>
      </c>
    </row>
    <row r="3370" spans="19:27" x14ac:dyDescent="0.2">
      <c r="S3370" s="1"/>
      <c r="T3370" s="109"/>
      <c r="W3370" s="130" t="str">
        <f t="shared" si="62"/>
        <v>1w</v>
      </c>
      <c r="X3370" s="128">
        <f>_xll.qlCalendarAdvance(Calendar,X3369,W3370,"f",FALSE)</f>
        <v>62898</v>
      </c>
      <c r="Y3370" s="131">
        <f>_xll.qlCalendarAdvance(Calendar,X3370,NDays&amp;"D")</f>
        <v>62900</v>
      </c>
      <c r="Z3370" s="132">
        <v>1.435914521140833E-2</v>
      </c>
      <c r="AA3370" s="129">
        <v>1.4321455672732242E-2</v>
      </c>
    </row>
    <row r="3371" spans="19:27" x14ac:dyDescent="0.2">
      <c r="S3371" s="1"/>
      <c r="T3371" s="109"/>
      <c r="W3371" s="130" t="str">
        <f t="shared" si="62"/>
        <v>1w</v>
      </c>
      <c r="X3371" s="128">
        <f>_xll.qlCalendarAdvance(Calendar,X3370,W3371,"f",FALSE)</f>
        <v>62905</v>
      </c>
      <c r="Y3371" s="131">
        <f>_xll.qlCalendarAdvance(Calendar,X3371,NDays&amp;"D")</f>
        <v>62907</v>
      </c>
      <c r="Z3371" s="132">
        <v>1.4360923812636366E-2</v>
      </c>
      <c r="AA3371" s="129">
        <v>1.4323293745306387E-2</v>
      </c>
    </row>
    <row r="3372" spans="19:27" x14ac:dyDescent="0.2">
      <c r="S3372" s="1"/>
      <c r="T3372" s="109"/>
      <c r="W3372" s="130" t="str">
        <f t="shared" si="62"/>
        <v>1w</v>
      </c>
      <c r="X3372" s="128">
        <f>_xll.qlCalendarAdvance(Calendar,X3371,W3372,"f",FALSE)</f>
        <v>62912</v>
      </c>
      <c r="Y3372" s="131">
        <f>_xll.qlCalendarAdvance(Calendar,X3372,NDays&amp;"D")</f>
        <v>62914</v>
      </c>
      <c r="Z3372" s="132">
        <v>1.4362281692578785E-2</v>
      </c>
      <c r="AA3372" s="129">
        <v>1.43251216788709E-2</v>
      </c>
    </row>
    <row r="3373" spans="19:27" x14ac:dyDescent="0.2">
      <c r="S3373" s="1"/>
      <c r="T3373" s="109"/>
      <c r="W3373" s="130" t="str">
        <f t="shared" si="62"/>
        <v>1w</v>
      </c>
      <c r="X3373" s="128">
        <f>_xll.qlCalendarAdvance(Calendar,X3372,W3373,"f",FALSE)</f>
        <v>62919</v>
      </c>
      <c r="Y3373" s="131">
        <f>_xll.qlCalendarAdvance(Calendar,X3373,NDays&amp;"D")</f>
        <v>62921</v>
      </c>
      <c r="Z3373" s="132">
        <v>1.4364040600342839E-2</v>
      </c>
      <c r="AA3373" s="129">
        <v>1.4328597241636487E-2</v>
      </c>
    </row>
    <row r="3374" spans="19:27" x14ac:dyDescent="0.2">
      <c r="S3374" s="1"/>
      <c r="T3374" s="109"/>
      <c r="W3374" s="130" t="str">
        <f t="shared" si="62"/>
        <v>1w</v>
      </c>
      <c r="X3374" s="128">
        <f>_xll.qlCalendarAdvance(Calendar,X3373,W3374,"f",FALSE)</f>
        <v>62926</v>
      </c>
      <c r="Y3374" s="131">
        <f>_xll.qlCalendarAdvance(Calendar,X3374,NDays&amp;"D")</f>
        <v>62928</v>
      </c>
      <c r="Z3374" s="132">
        <v>1.4365789333379019E-2</v>
      </c>
      <c r="AA3374" s="129">
        <v>1.4328747128651287E-2</v>
      </c>
    </row>
    <row r="3375" spans="19:27" x14ac:dyDescent="0.2">
      <c r="S3375" s="1"/>
      <c r="T3375" s="109"/>
      <c r="W3375" s="130" t="str">
        <f t="shared" si="62"/>
        <v>1w</v>
      </c>
      <c r="X3375" s="128">
        <f>_xll.qlCalendarAdvance(Calendar,X3374,W3375,"f",FALSE)</f>
        <v>62933</v>
      </c>
      <c r="Y3375" s="131">
        <f>_xll.qlCalendarAdvance(Calendar,X3375,NDays&amp;"D")</f>
        <v>62935</v>
      </c>
      <c r="Z3375" s="132">
        <v>1.4367527891675905E-2</v>
      </c>
      <c r="AA3375" s="129">
        <v>1.4330544644947096E-2</v>
      </c>
    </row>
    <row r="3376" spans="19:27" x14ac:dyDescent="0.2">
      <c r="S3376" s="1"/>
      <c r="T3376" s="109"/>
      <c r="W3376" s="130" t="str">
        <f t="shared" si="62"/>
        <v>1w</v>
      </c>
      <c r="X3376" s="128">
        <f>_xll.qlCalendarAdvance(Calendar,X3375,W3376,"f",FALSE)</f>
        <v>62940</v>
      </c>
      <c r="Y3376" s="131">
        <f>_xll.qlCalendarAdvance(Calendar,X3376,NDays&amp;"D")</f>
        <v>62942</v>
      </c>
      <c r="Z3376" s="132">
        <v>1.4369256275217688E-2</v>
      </c>
      <c r="AA3376" s="129">
        <v>1.4332332022073402E-2</v>
      </c>
    </row>
    <row r="3377" spans="19:27" x14ac:dyDescent="0.2">
      <c r="S3377" s="1"/>
      <c r="T3377" s="109"/>
      <c r="W3377" s="130" t="str">
        <f t="shared" si="62"/>
        <v>1w</v>
      </c>
      <c r="X3377" s="128">
        <f>_xll.qlCalendarAdvance(Calendar,X3376,W3377,"f",FALSE)</f>
        <v>62947</v>
      </c>
      <c r="Y3377" s="131">
        <f>_xll.qlCalendarAdvance(Calendar,X3377,NDays&amp;"D")</f>
        <v>62949</v>
      </c>
      <c r="Z3377" s="132">
        <v>1.4371381742481953E-2</v>
      </c>
      <c r="AA3377" s="129">
        <v>1.4334109260270012E-2</v>
      </c>
    </row>
    <row r="3378" spans="19:27" x14ac:dyDescent="0.2">
      <c r="S3378" s="1"/>
      <c r="T3378" s="109"/>
      <c r="W3378" s="130" t="str">
        <f t="shared" si="62"/>
        <v>1w</v>
      </c>
      <c r="X3378" s="128">
        <f>_xll.qlCalendarAdvance(Calendar,X3377,W3378,"f",FALSE)</f>
        <v>62954</v>
      </c>
      <c r="Y3378" s="131">
        <f>_xll.qlCalendarAdvance(Calendar,X3378,NDays&amp;"D")</f>
        <v>62956</v>
      </c>
      <c r="Z3378" s="132">
        <v>1.4373089117742257E-2</v>
      </c>
      <c r="AA3378" s="129">
        <v>1.4335876359217181E-2</v>
      </c>
    </row>
    <row r="3379" spans="19:27" x14ac:dyDescent="0.2">
      <c r="S3379" s="1"/>
      <c r="T3379" s="109"/>
      <c r="W3379" s="130" t="str">
        <f t="shared" si="62"/>
        <v>1w</v>
      </c>
      <c r="X3379" s="128">
        <f>_xll.qlCalendarAdvance(Calendar,X3378,W3379,"f",FALSE)</f>
        <v>62961</v>
      </c>
      <c r="Y3379" s="131">
        <f>_xll.qlCalendarAdvance(Calendar,X3379,NDays&amp;"D")</f>
        <v>62963</v>
      </c>
      <c r="Z3379" s="132">
        <v>1.4374786317811437E-2</v>
      </c>
      <c r="AA3379" s="129">
        <v>1.4337633319234655E-2</v>
      </c>
    </row>
    <row r="3380" spans="19:27" x14ac:dyDescent="0.2">
      <c r="S3380" s="1"/>
      <c r="T3380" s="109"/>
      <c r="W3380" s="130" t="str">
        <f t="shared" si="62"/>
        <v>1w</v>
      </c>
      <c r="X3380" s="128">
        <f>_xll.qlCalendarAdvance(Calendar,X3379,W3380,"f",FALSE)</f>
        <v>62968</v>
      </c>
      <c r="Y3380" s="131">
        <f>_xll.qlCalendarAdvance(Calendar,X3380,NDays&amp;"D")</f>
        <v>62970</v>
      </c>
      <c r="Z3380" s="132">
        <v>1.4376473342674721E-2</v>
      </c>
      <c r="AA3380" s="129">
        <v>1.4339380140082625E-2</v>
      </c>
    </row>
    <row r="3381" spans="19:27" x14ac:dyDescent="0.2">
      <c r="S3381" s="1"/>
      <c r="T3381" s="109"/>
      <c r="W3381" s="130" t="str">
        <f t="shared" si="62"/>
        <v>1w</v>
      </c>
      <c r="X3381" s="128">
        <f>_xll.qlCalendarAdvance(Calendar,X3380,W3381,"f",FALSE)</f>
        <v>62975</v>
      </c>
      <c r="Y3381" s="131">
        <f>_xll.qlCalendarAdvance(Calendar,X3381,NDays&amp;"D")</f>
        <v>62977</v>
      </c>
      <c r="Z3381" s="132">
        <v>1.4378150192321684E-2</v>
      </c>
      <c r="AA3381" s="129">
        <v>1.4341116821841027E-2</v>
      </c>
    </row>
    <row r="3382" spans="19:27" x14ac:dyDescent="0.2">
      <c r="S3382" s="1"/>
      <c r="T3382" s="109"/>
      <c r="W3382" s="130" t="str">
        <f t="shared" si="62"/>
        <v>1w</v>
      </c>
      <c r="X3382" s="128">
        <f>_xll.qlCalendarAdvance(Calendar,X3381,W3382,"f",FALSE)</f>
        <v>62982</v>
      </c>
      <c r="Y3382" s="131">
        <f>_xll.qlCalendarAdvance(Calendar,X3382,NDays&amp;"D")</f>
        <v>62984</v>
      </c>
      <c r="Z3382" s="132">
        <v>1.4379816866734948E-2</v>
      </c>
      <c r="AA3382" s="129">
        <v>1.4342843364429925E-2</v>
      </c>
    </row>
    <row r="3383" spans="19:27" x14ac:dyDescent="0.2">
      <c r="S3383" s="1"/>
      <c r="T3383" s="109"/>
      <c r="W3383" s="130" t="str">
        <f t="shared" si="62"/>
        <v>1w</v>
      </c>
      <c r="X3383" s="128">
        <f>_xll.qlCalendarAdvance(Calendar,X3382,W3383,"f",FALSE)</f>
        <v>62989</v>
      </c>
      <c r="Y3383" s="131">
        <f>_xll.qlCalendarAdvance(Calendar,X3383,NDays&amp;"D")</f>
        <v>62991</v>
      </c>
      <c r="Z3383" s="132">
        <v>1.4381473365905824E-2</v>
      </c>
      <c r="AA3383" s="129">
        <v>1.4344559768089127E-2</v>
      </c>
    </row>
    <row r="3384" spans="19:27" x14ac:dyDescent="0.2">
      <c r="S3384" s="1"/>
      <c r="T3384" s="109"/>
      <c r="W3384" s="130" t="str">
        <f t="shared" si="62"/>
        <v>1w</v>
      </c>
      <c r="X3384" s="128">
        <f>_xll.qlCalendarAdvance(Calendar,X3383,W3384,"f",FALSE)</f>
        <v>62996</v>
      </c>
      <c r="Y3384" s="131">
        <f>_xll.qlCalendarAdvance(Calendar,X3384,NDays&amp;"D")</f>
        <v>62998</v>
      </c>
      <c r="Z3384" s="132">
        <v>1.4383119689820409E-2</v>
      </c>
      <c r="AA3384" s="129">
        <v>1.4346266032658761E-2</v>
      </c>
    </row>
    <row r="3385" spans="19:27" x14ac:dyDescent="0.2">
      <c r="S3385" s="1"/>
      <c r="T3385" s="109"/>
      <c r="W3385" s="130" t="str">
        <f t="shared" si="62"/>
        <v>1w</v>
      </c>
      <c r="X3385" s="128">
        <f>_xll.qlCalendarAdvance(Calendar,X3384,W3385,"f",FALSE)</f>
        <v>63003</v>
      </c>
      <c r="Y3385" s="131">
        <f>_xll.qlCalendarAdvance(Calendar,X3385,NDays&amp;"D")</f>
        <v>63005</v>
      </c>
      <c r="Z3385" s="132">
        <v>1.4384755838463065E-2</v>
      </c>
      <c r="AA3385" s="129">
        <v>1.4347962158058891E-2</v>
      </c>
    </row>
    <row r="3386" spans="19:27" x14ac:dyDescent="0.2">
      <c r="S3386" s="1"/>
      <c r="T3386" s="109"/>
      <c r="W3386" s="130" t="str">
        <f t="shared" si="62"/>
        <v>1w</v>
      </c>
      <c r="X3386" s="128">
        <f>_xll.qlCalendarAdvance(Calendar,X3385,W3386,"f",FALSE)</f>
        <v>63010</v>
      </c>
      <c r="Y3386" s="131">
        <f>_xll.qlCalendarAdvance(Calendar,X3386,NDays&amp;"D")</f>
        <v>63012</v>
      </c>
      <c r="Z3386" s="132">
        <v>1.4386381811824236E-2</v>
      </c>
      <c r="AA3386" s="129">
        <v>1.4349648144369453E-2</v>
      </c>
    </row>
    <row r="3387" spans="19:27" x14ac:dyDescent="0.2">
      <c r="S3387" s="1"/>
      <c r="T3387" s="109"/>
      <c r="W3387" s="130" t="str">
        <f t="shared" si="62"/>
        <v>1w</v>
      </c>
      <c r="X3387" s="128">
        <f>_xll.qlCalendarAdvance(Calendar,X3386,W3387,"f",FALSE)</f>
        <v>63017</v>
      </c>
      <c r="Y3387" s="131">
        <f>_xll.qlCalendarAdvance(Calendar,X3387,NDays&amp;"D")</f>
        <v>63019</v>
      </c>
      <c r="Z3387" s="132">
        <v>1.4387997609890017E-2</v>
      </c>
      <c r="AA3387" s="129">
        <v>1.4351323991670384E-2</v>
      </c>
    </row>
    <row r="3388" spans="19:27" x14ac:dyDescent="0.2">
      <c r="S3388" s="1"/>
      <c r="T3388" s="109"/>
      <c r="W3388" s="130" t="str">
        <f t="shared" si="62"/>
        <v>1w</v>
      </c>
      <c r="X3388" s="128">
        <f>_xll.qlCalendarAdvance(Calendar,X3387,W3388,"f",FALSE)</f>
        <v>63024</v>
      </c>
      <c r="Y3388" s="131">
        <f>_xll.qlCalendarAdvance(Calendar,X3388,NDays&amp;"D")</f>
        <v>63026</v>
      </c>
      <c r="Z3388" s="132">
        <v>1.4389603232649113E-2</v>
      </c>
      <c r="AA3388" s="129">
        <v>1.435298969980181E-2</v>
      </c>
    </row>
    <row r="3389" spans="19:27" x14ac:dyDescent="0.2">
      <c r="S3389" s="1"/>
      <c r="T3389" s="109"/>
      <c r="W3389" s="130" t="str">
        <f t="shared" si="62"/>
        <v>1w</v>
      </c>
      <c r="X3389" s="128">
        <f>_xll.qlCalendarAdvance(Calendar,X3388,W3389,"f",FALSE)</f>
        <v>63031</v>
      </c>
      <c r="Y3389" s="131">
        <f>_xll.qlCalendarAdvance(Calendar,X3389,NDays&amp;"D")</f>
        <v>63033</v>
      </c>
      <c r="Z3389" s="132">
        <v>1.4391198680086755E-2</v>
      </c>
      <c r="AA3389" s="129">
        <v>1.4354645268843669E-2</v>
      </c>
    </row>
    <row r="3390" spans="19:27" x14ac:dyDescent="0.2">
      <c r="S3390" s="1"/>
      <c r="T3390" s="109"/>
      <c r="W3390" s="130" t="str">
        <f t="shared" si="62"/>
        <v>1w</v>
      </c>
      <c r="X3390" s="128">
        <f>_xll.qlCalendarAdvance(Calendar,X3389,W3390,"f",FALSE)</f>
        <v>63038</v>
      </c>
      <c r="Y3390" s="131">
        <f>_xll.qlCalendarAdvance(Calendar,X3390,NDays&amp;"D")</f>
        <v>63040</v>
      </c>
      <c r="Z3390" s="132">
        <v>1.4392783952192515E-2</v>
      </c>
      <c r="AA3390" s="129">
        <v>1.4356290698955831E-2</v>
      </c>
    </row>
    <row r="3391" spans="19:27" x14ac:dyDescent="0.2">
      <c r="S3391" s="1"/>
      <c r="T3391" s="109"/>
      <c r="W3391" s="130" t="str">
        <f t="shared" si="62"/>
        <v>1w</v>
      </c>
      <c r="X3391" s="128">
        <f>_xll.qlCalendarAdvance(Calendar,X3390,W3391,"f",FALSE)</f>
        <v>63045</v>
      </c>
      <c r="Y3391" s="131">
        <f>_xll.qlCalendarAdvance(Calendar,X3391,NDays&amp;"D")</f>
        <v>63047</v>
      </c>
      <c r="Z3391" s="132">
        <v>1.4394359048951623E-2</v>
      </c>
      <c r="AA3391" s="129">
        <v>1.435792598989849E-2</v>
      </c>
    </row>
    <row r="3392" spans="19:27" x14ac:dyDescent="0.2">
      <c r="S3392" s="1"/>
      <c r="T3392" s="109"/>
      <c r="W3392" s="130" t="str">
        <f t="shared" si="62"/>
        <v>1w</v>
      </c>
      <c r="X3392" s="128">
        <f>_xll.qlCalendarAdvance(Calendar,X3391,W3392,"f",FALSE)</f>
        <v>63052</v>
      </c>
      <c r="Y3392" s="131">
        <f>_xll.qlCalendarAdvance(Calendar,X3392,NDays&amp;"D")</f>
        <v>63054</v>
      </c>
      <c r="Z3392" s="132">
        <v>1.4395923970356259E-2</v>
      </c>
      <c r="AA3392" s="129">
        <v>1.4359551141671645E-2</v>
      </c>
    </row>
    <row r="3393" spans="19:27" x14ac:dyDescent="0.2">
      <c r="S3393" s="1"/>
      <c r="T3393" s="109"/>
      <c r="W3393" s="130" t="str">
        <f t="shared" si="62"/>
        <v>1w</v>
      </c>
      <c r="X3393" s="128">
        <f>_xll.qlCalendarAdvance(Calendar,X3392,W3393,"f",FALSE)</f>
        <v>63059</v>
      </c>
      <c r="Y3393" s="131">
        <f>_xll.qlCalendarAdvance(Calendar,X3393,NDays&amp;"D")</f>
        <v>63061</v>
      </c>
      <c r="Z3393" s="132">
        <v>1.4397478716389914E-2</v>
      </c>
      <c r="AA3393" s="129">
        <v>1.4361166154355232E-2</v>
      </c>
    </row>
    <row r="3394" spans="19:27" x14ac:dyDescent="0.2">
      <c r="S3394" s="1"/>
      <c r="T3394" s="109"/>
      <c r="W3394" s="130" t="str">
        <f t="shared" si="62"/>
        <v>1w</v>
      </c>
      <c r="X3394" s="128">
        <f>_xll.qlCalendarAdvance(Calendar,X3393,W3394,"f",FALSE)</f>
        <v>63066</v>
      </c>
      <c r="Y3394" s="131">
        <f>_xll.qlCalendarAdvance(Calendar,X3394,NDays&amp;"D")</f>
        <v>63068</v>
      </c>
      <c r="Z3394" s="132">
        <v>1.4398627281309981E-2</v>
      </c>
      <c r="AA3394" s="129">
        <v>1.4362771028109123E-2</v>
      </c>
    </row>
    <row r="3395" spans="19:27" x14ac:dyDescent="0.2">
      <c r="S3395" s="1"/>
      <c r="T3395" s="109"/>
      <c r="W3395" s="130" t="str">
        <f t="shared" si="62"/>
        <v>1w</v>
      </c>
      <c r="X3395" s="128">
        <f>_xll.qlCalendarAdvance(Calendar,X3394,W3395,"f",FALSE)</f>
        <v>63073</v>
      </c>
      <c r="Y3395" s="131">
        <f>_xll.qlCalendarAdvance(Calendar,X3395,NDays&amp;"D")</f>
        <v>63075</v>
      </c>
      <c r="Z3395" s="132">
        <v>1.4400162342093523E-2</v>
      </c>
      <c r="AA3395" s="129">
        <v>1.4364365762613573E-2</v>
      </c>
    </row>
    <row r="3396" spans="19:27" x14ac:dyDescent="0.2">
      <c r="S3396" s="1"/>
      <c r="T3396" s="109"/>
      <c r="W3396" s="130" t="str">
        <f t="shared" si="62"/>
        <v>1w</v>
      </c>
      <c r="X3396" s="128">
        <f>_xll.qlCalendarAdvance(Calendar,X3395,W3396,"f",FALSE)</f>
        <v>63080</v>
      </c>
      <c r="Y3396" s="131">
        <f>_xll.qlCalendarAdvance(Calendar,X3396,NDays&amp;"D")</f>
        <v>63082</v>
      </c>
      <c r="Z3396" s="132">
        <v>1.4401687227873366E-2</v>
      </c>
      <c r="AA3396" s="129">
        <v>1.4365950358108392E-2</v>
      </c>
    </row>
    <row r="3397" spans="19:27" x14ac:dyDescent="0.2">
      <c r="S3397" s="1"/>
      <c r="T3397" s="109"/>
      <c r="W3397" s="130" t="str">
        <f t="shared" si="62"/>
        <v>1w</v>
      </c>
      <c r="X3397" s="128">
        <f>_xll.qlCalendarAdvance(Calendar,X3396,W3397,"f",FALSE)</f>
        <v>63087</v>
      </c>
      <c r="Y3397" s="131">
        <f>_xll.qlCalendarAdvance(Calendar,X3397,NDays&amp;"D")</f>
        <v>63089</v>
      </c>
      <c r="Z3397" s="132">
        <v>1.440320193863546E-2</v>
      </c>
      <c r="AA3397" s="129">
        <v>1.436752481459358E-2</v>
      </c>
    </row>
    <row r="3398" spans="19:27" x14ac:dyDescent="0.2">
      <c r="S3398" s="1"/>
      <c r="T3398" s="109"/>
      <c r="W3398" s="130" t="str">
        <f t="shared" si="62"/>
        <v>1w</v>
      </c>
      <c r="X3398" s="128">
        <f>_xll.qlCalendarAdvance(Calendar,X3397,W3398,"f",FALSE)</f>
        <v>63094</v>
      </c>
      <c r="Y3398" s="131">
        <f>_xll.qlCalendarAdvance(Calendar,X3398,NDays&amp;"D")</f>
        <v>63096</v>
      </c>
      <c r="Z3398" s="132">
        <v>1.4404706474371018E-2</v>
      </c>
      <c r="AA3398" s="129">
        <v>1.4369089131829327E-2</v>
      </c>
    </row>
    <row r="3399" spans="19:27" x14ac:dyDescent="0.2">
      <c r="S3399" s="1"/>
      <c r="T3399" s="109"/>
      <c r="W3399" s="130" t="str">
        <f t="shared" si="62"/>
        <v>1w</v>
      </c>
      <c r="X3399" s="128">
        <f>_xll.qlCalendarAdvance(Calendar,X3398,W3399,"f",FALSE)</f>
        <v>63101</v>
      </c>
      <c r="Y3399" s="131">
        <f>_xll.qlCalendarAdvance(Calendar,X3399,NDays&amp;"D")</f>
        <v>63103</v>
      </c>
      <c r="Z3399" s="132">
        <v>1.4406593509166111E-2</v>
      </c>
      <c r="AA3399" s="129">
        <v>1.4370643310055442E-2</v>
      </c>
    </row>
    <row r="3400" spans="19:27" x14ac:dyDescent="0.2">
      <c r="S3400" s="1"/>
      <c r="T3400" s="109"/>
      <c r="W3400" s="130" t="str">
        <f t="shared" si="62"/>
        <v>1w</v>
      </c>
      <c r="X3400" s="128">
        <f>_xll.qlCalendarAdvance(Calendar,X3399,W3400,"f",FALSE)</f>
        <v>63108</v>
      </c>
      <c r="Y3400" s="131">
        <f>_xll.qlCalendarAdvance(Calendar,X3400,NDays&amp;"D")</f>
        <v>63110</v>
      </c>
      <c r="Z3400" s="132">
        <v>1.4408077027280551E-2</v>
      </c>
      <c r="AA3400" s="129">
        <v>1.4372187349271925E-2</v>
      </c>
    </row>
    <row r="3401" spans="19:27" x14ac:dyDescent="0.2">
      <c r="S3401" s="1"/>
      <c r="T3401" s="109"/>
      <c r="W3401" s="130" t="str">
        <f t="shared" si="62"/>
        <v>1w</v>
      </c>
      <c r="X3401" s="128">
        <f>_xll.qlCalendarAdvance(Calendar,X3400,W3401,"f",FALSE)</f>
        <v>63115</v>
      </c>
      <c r="Y3401" s="131">
        <f>_xll.qlCalendarAdvance(Calendar,X3401,NDays&amp;"D")</f>
        <v>63117</v>
      </c>
      <c r="Z3401" s="132">
        <v>1.4409550369931041E-2</v>
      </c>
      <c r="AA3401" s="129">
        <v>1.4373721249318905E-2</v>
      </c>
    </row>
    <row r="3402" spans="19:27" x14ac:dyDescent="0.2">
      <c r="S3402" s="1"/>
      <c r="T3402" s="109"/>
      <c r="W3402" s="130" t="str">
        <f t="shared" si="62"/>
        <v>1w</v>
      </c>
      <c r="X3402" s="128">
        <f>_xll.qlCalendarAdvance(Calendar,X3401,W3402,"f",FALSE)</f>
        <v>63122</v>
      </c>
      <c r="Y3402" s="131">
        <f>_xll.qlCalendarAdvance(Calendar,X3402,NDays&amp;"D")</f>
        <v>63124</v>
      </c>
      <c r="Z3402" s="132">
        <v>1.4411013537108025E-2</v>
      </c>
      <c r="AA3402" s="129">
        <v>1.4375245010276316E-2</v>
      </c>
    </row>
    <row r="3403" spans="19:27" x14ac:dyDescent="0.2">
      <c r="S3403" s="1"/>
      <c r="T3403" s="109"/>
      <c r="W3403" s="130" t="str">
        <f t="shared" si="62"/>
        <v>1w</v>
      </c>
      <c r="X3403" s="128">
        <f>_xll.qlCalendarAdvance(Calendar,X3402,W3403,"f",FALSE)</f>
        <v>63129</v>
      </c>
      <c r="Y3403" s="131">
        <f>_xll.qlCalendarAdvance(Calendar,X3403,NDays&amp;"D")</f>
        <v>63131</v>
      </c>
      <c r="Z3403" s="132">
        <v>1.4412466528795862E-2</v>
      </c>
      <c r="AA3403" s="129">
        <v>1.437675863214416E-2</v>
      </c>
    </row>
    <row r="3404" spans="19:27" x14ac:dyDescent="0.2">
      <c r="S3404" s="1"/>
      <c r="T3404" s="109"/>
      <c r="W3404" s="130" t="str">
        <f t="shared" si="62"/>
        <v>1w</v>
      </c>
      <c r="X3404" s="128">
        <f>_xll.qlCalendarAdvance(Calendar,X3403,W3404,"f",FALSE)</f>
        <v>63136</v>
      </c>
      <c r="Y3404" s="131">
        <f>_xll.qlCalendarAdvance(Calendar,X3404,NDays&amp;"D")</f>
        <v>63138</v>
      </c>
      <c r="Z3404" s="132">
        <v>1.4413909344986731E-2</v>
      </c>
      <c r="AA3404" s="129">
        <v>1.4378262114842499E-2</v>
      </c>
    </row>
    <row r="3405" spans="19:27" x14ac:dyDescent="0.2">
      <c r="S3405" s="1"/>
      <c r="T3405" s="109"/>
      <c r="W3405" s="130" t="str">
        <f t="shared" si="62"/>
        <v>1w</v>
      </c>
      <c r="X3405" s="128">
        <f>_xll.qlCalendarAdvance(Calendar,X3404,W3405,"f",FALSE)</f>
        <v>63143</v>
      </c>
      <c r="Y3405" s="131">
        <f>_xll.qlCalendarAdvance(Calendar,X3405,NDays&amp;"D")</f>
        <v>63145</v>
      </c>
      <c r="Z3405" s="132">
        <v>1.441534198566847E-2</v>
      </c>
      <c r="AA3405" s="129">
        <v>1.4379755458611143E-2</v>
      </c>
    </row>
    <row r="3406" spans="19:27" x14ac:dyDescent="0.2">
      <c r="S3406" s="1"/>
      <c r="T3406" s="109"/>
      <c r="W3406" s="130" t="str">
        <f t="shared" si="62"/>
        <v>1w</v>
      </c>
      <c r="X3406" s="128">
        <f>_xll.qlCalendarAdvance(Calendar,X3405,W3406,"f",FALSE)</f>
        <v>63150</v>
      </c>
      <c r="Y3406" s="131">
        <f>_xll.qlCalendarAdvance(Calendar,X3406,NDays&amp;"D")</f>
        <v>63152</v>
      </c>
      <c r="Z3406" s="132">
        <v>1.4416764450830651E-2</v>
      </c>
      <c r="AA3406" s="129">
        <v>1.4381238663210283E-2</v>
      </c>
    </row>
    <row r="3407" spans="19:27" x14ac:dyDescent="0.2">
      <c r="S3407" s="1"/>
      <c r="T3407" s="109"/>
      <c r="W3407" s="130" t="str">
        <f t="shared" si="62"/>
        <v>1w</v>
      </c>
      <c r="X3407" s="128">
        <f>_xll.qlCalendarAdvance(Calendar,X3406,W3407,"f",FALSE)</f>
        <v>63157</v>
      </c>
      <c r="Y3407" s="131">
        <f>_xll.qlCalendarAdvance(Calendar,X3407,NDays&amp;"D")</f>
        <v>63159</v>
      </c>
      <c r="Z3407" s="132">
        <v>1.441740204160169E-2</v>
      </c>
      <c r="AA3407" s="129">
        <v>1.4382711728719855E-2</v>
      </c>
    </row>
    <row r="3408" spans="19:27" x14ac:dyDescent="0.2">
      <c r="S3408" s="1"/>
      <c r="T3408" s="109"/>
      <c r="W3408" s="130" t="str">
        <f t="shared" si="62"/>
        <v>1w</v>
      </c>
      <c r="X3408" s="128">
        <f>_xll.qlCalendarAdvance(Calendar,X3407,W3408,"f",FALSE)</f>
        <v>63164</v>
      </c>
      <c r="Y3408" s="131">
        <f>_xll.qlCalendarAdvance(Calendar,X3408,NDays&amp;"D")</f>
        <v>63166</v>
      </c>
      <c r="Z3408" s="132">
        <v>1.4418805497120601E-2</v>
      </c>
      <c r="AA3408" s="129">
        <v>1.4384174655219795E-2</v>
      </c>
    </row>
    <row r="3409" spans="19:27" x14ac:dyDescent="0.2">
      <c r="S3409" s="1"/>
      <c r="T3409" s="109"/>
      <c r="W3409" s="130" t="str">
        <f t="shared" si="62"/>
        <v>1w</v>
      </c>
      <c r="X3409" s="128">
        <f>_xll.qlCalendarAdvance(Calendar,X3408,W3409,"f",FALSE)</f>
        <v>63171</v>
      </c>
      <c r="Y3409" s="131">
        <f>_xll.qlCalendarAdvance(Calendar,X3409,NDays&amp;"D")</f>
        <v>63173</v>
      </c>
      <c r="Z3409" s="132">
        <v>1.4420198777890469E-2</v>
      </c>
      <c r="AA3409" s="129">
        <v>1.4385627442550231E-2</v>
      </c>
    </row>
    <row r="3410" spans="19:27" x14ac:dyDescent="0.2">
      <c r="S3410" s="1"/>
      <c r="T3410" s="109"/>
      <c r="W3410" s="130" t="str">
        <f t="shared" si="62"/>
        <v>1w</v>
      </c>
      <c r="X3410" s="128">
        <f>_xll.qlCalendarAdvance(Calendar,X3409,W3410,"f",FALSE)</f>
        <v>63178</v>
      </c>
      <c r="Y3410" s="131">
        <f>_xll.qlCalendarAdvance(Calendar,X3410,NDays&amp;"D")</f>
        <v>63180</v>
      </c>
      <c r="Z3410" s="132">
        <v>1.4421581883900636E-2</v>
      </c>
      <c r="AA3410" s="129">
        <v>1.4387070090791099E-2</v>
      </c>
    </row>
    <row r="3411" spans="19:27" x14ac:dyDescent="0.2">
      <c r="S3411" s="1"/>
      <c r="T3411" s="109"/>
      <c r="W3411" s="130" t="str">
        <f t="shared" si="62"/>
        <v>1w</v>
      </c>
      <c r="X3411" s="128">
        <f>_xll.qlCalendarAdvance(Calendar,X3410,W3411,"f",FALSE)</f>
        <v>63185</v>
      </c>
      <c r="Y3411" s="131">
        <f>_xll.qlCalendarAdvance(Calendar,X3411,NDays&amp;"D")</f>
        <v>63187</v>
      </c>
      <c r="Z3411" s="132">
        <v>1.4422954815141331E-2</v>
      </c>
      <c r="AA3411" s="129">
        <v>1.4388502599942399E-2</v>
      </c>
    </row>
    <row r="3412" spans="19:27" x14ac:dyDescent="0.2">
      <c r="S3412" s="1"/>
      <c r="T3412" s="109"/>
      <c r="W3412" s="130" t="str">
        <f t="shared" si="62"/>
        <v>1w</v>
      </c>
      <c r="X3412" s="128">
        <f>_xll.qlCalendarAdvance(Calendar,X3411,W3412,"f",FALSE)</f>
        <v>63192</v>
      </c>
      <c r="Y3412" s="131">
        <f>_xll.qlCalendarAdvance(Calendar,X3412,NDays&amp;"D")</f>
        <v>63194</v>
      </c>
      <c r="Z3412" s="132">
        <v>1.4424317571601009E-2</v>
      </c>
      <c r="AA3412" s="129">
        <v>1.4389924970084067E-2</v>
      </c>
    </row>
    <row r="3413" spans="19:27" x14ac:dyDescent="0.2">
      <c r="S3413" s="1"/>
      <c r="T3413" s="109"/>
      <c r="W3413" s="130" t="str">
        <f t="shared" ref="W3413:W3476" si="63">W3412</f>
        <v>1w</v>
      </c>
      <c r="X3413" s="128">
        <f>_xll.qlCalendarAdvance(Calendar,X3412,W3413,"f",FALSE)</f>
        <v>63199</v>
      </c>
      <c r="Y3413" s="131">
        <f>_xll.qlCalendarAdvance(Calendar,X3413,NDays&amp;"D")</f>
        <v>63201</v>
      </c>
      <c r="Z3413" s="132">
        <v>1.4425670153269898E-2</v>
      </c>
      <c r="AA3413" s="129">
        <v>1.4391337201056231E-2</v>
      </c>
    </row>
    <row r="3414" spans="19:27" x14ac:dyDescent="0.2">
      <c r="S3414" s="1"/>
      <c r="T3414" s="109"/>
      <c r="W3414" s="130" t="str">
        <f t="shared" si="63"/>
        <v>1w</v>
      </c>
      <c r="X3414" s="128">
        <f>_xll.qlCalendarAdvance(Calendar,X3413,W3414,"f",FALSE)</f>
        <v>63206</v>
      </c>
      <c r="Y3414" s="131">
        <f>_xll.qlCalendarAdvance(Calendar,X3414,NDays&amp;"D")</f>
        <v>63208</v>
      </c>
      <c r="Z3414" s="132">
        <v>1.4427012560137342E-2</v>
      </c>
      <c r="AA3414" s="129">
        <v>1.4392739292938828E-2</v>
      </c>
    </row>
    <row r="3415" spans="19:27" x14ac:dyDescent="0.2">
      <c r="S3415" s="1"/>
      <c r="T3415" s="109"/>
      <c r="W3415" s="130" t="str">
        <f t="shared" si="63"/>
        <v>1w</v>
      </c>
      <c r="X3415" s="128">
        <f>_xll.qlCalendarAdvance(Calendar,X3414,W3415,"f",FALSE)</f>
        <v>63213</v>
      </c>
      <c r="Y3415" s="131">
        <f>_xll.qlCalendarAdvance(Calendar,X3415,NDays&amp;"D")</f>
        <v>63215</v>
      </c>
      <c r="Z3415" s="132">
        <v>1.4428344792194459E-2</v>
      </c>
      <c r="AA3415" s="129">
        <v>1.4394131245811792E-2</v>
      </c>
    </row>
    <row r="3416" spans="19:27" x14ac:dyDescent="0.2">
      <c r="S3416" s="1"/>
      <c r="T3416" s="109"/>
      <c r="W3416" s="130" t="str">
        <f t="shared" si="63"/>
        <v>1w</v>
      </c>
      <c r="X3416" s="128">
        <f>_xll.qlCalendarAdvance(Calendar,X3415,W3416,"f",FALSE)</f>
        <v>63220</v>
      </c>
      <c r="Y3416" s="131">
        <f>_xll.qlCalendarAdvance(Calendar,X3416,NDays&amp;"D")</f>
        <v>63222</v>
      </c>
      <c r="Z3416" s="132">
        <v>1.4429285469760711E-2</v>
      </c>
      <c r="AA3416" s="129">
        <v>1.4395513059515253E-2</v>
      </c>
    </row>
    <row r="3417" spans="19:27" x14ac:dyDescent="0.2">
      <c r="S3417" s="1"/>
      <c r="T3417" s="109"/>
      <c r="W3417" s="130" t="str">
        <f t="shared" si="63"/>
        <v>1w</v>
      </c>
      <c r="X3417" s="128">
        <f>_xll.qlCalendarAdvance(Calendar,X3416,W3417,"f",FALSE)</f>
        <v>63227</v>
      </c>
      <c r="Y3417" s="131">
        <f>_xll.qlCalendarAdvance(Calendar,X3417,NDays&amp;"D")</f>
        <v>63229</v>
      </c>
      <c r="Z3417" s="132">
        <v>1.4430598026421824E-2</v>
      </c>
      <c r="AA3417" s="129">
        <v>1.4396884734209081E-2</v>
      </c>
    </row>
    <row r="3418" spans="19:27" x14ac:dyDescent="0.2">
      <c r="S3418" s="1"/>
      <c r="T3418" s="109"/>
      <c r="W3418" s="130" t="str">
        <f t="shared" si="63"/>
        <v>1w</v>
      </c>
      <c r="X3418" s="128">
        <f>_xll.qlCalendarAdvance(Calendar,X3417,W3418,"f",FALSE)</f>
        <v>63234</v>
      </c>
      <c r="Y3418" s="131">
        <f>_xll.qlCalendarAdvance(Calendar,X3418,NDays&amp;"D")</f>
        <v>63236</v>
      </c>
      <c r="Z3418" s="132">
        <v>1.4431900408641871E-2</v>
      </c>
      <c r="AA3418" s="129">
        <v>1.439824626965347E-2</v>
      </c>
    </row>
    <row r="3419" spans="19:27" x14ac:dyDescent="0.2">
      <c r="S3419" s="1"/>
      <c r="T3419" s="109"/>
      <c r="W3419" s="130" t="str">
        <f t="shared" si="63"/>
        <v>1w</v>
      </c>
      <c r="X3419" s="128">
        <f>_xll.qlCalendarAdvance(Calendar,X3418,W3419,"f",FALSE)</f>
        <v>63241</v>
      </c>
      <c r="Y3419" s="131">
        <f>_xll.qlCalendarAdvance(Calendar,X3419,NDays&amp;"D")</f>
        <v>63243</v>
      </c>
      <c r="Z3419" s="132">
        <v>1.4433192616413668E-2</v>
      </c>
      <c r="AA3419" s="129">
        <v>1.4399597666168162E-2</v>
      </c>
    </row>
    <row r="3420" spans="19:27" x14ac:dyDescent="0.2">
      <c r="S3420" s="1"/>
      <c r="T3420" s="109"/>
      <c r="W3420" s="130" t="str">
        <f t="shared" si="63"/>
        <v>1w</v>
      </c>
      <c r="X3420" s="128">
        <f>_xll.qlCalendarAdvance(Calendar,X3419,W3420,"f",FALSE)</f>
        <v>63248</v>
      </c>
      <c r="Y3420" s="131">
        <f>_xll.qlCalendarAdvance(Calendar,X3420,NDays&amp;"D")</f>
        <v>63250</v>
      </c>
      <c r="Z3420" s="132">
        <v>1.4435610527415181E-2</v>
      </c>
      <c r="AA3420" s="129">
        <v>1.4400938923513351E-2</v>
      </c>
    </row>
    <row r="3421" spans="19:27" x14ac:dyDescent="0.2">
      <c r="S3421" s="1"/>
      <c r="T3421" s="109"/>
      <c r="W3421" s="130" t="str">
        <f t="shared" si="63"/>
        <v>1w</v>
      </c>
      <c r="X3421" s="128">
        <f>_xll.qlCalendarAdvance(Calendar,X3420,W3421,"f",FALSE)</f>
        <v>63255</v>
      </c>
      <c r="Y3421" s="131">
        <f>_xll.qlCalendarAdvance(Calendar,X3421,NDays&amp;"D")</f>
        <v>63257</v>
      </c>
      <c r="Z3421" s="132">
        <v>1.4436880358490252E-2</v>
      </c>
      <c r="AA3421" s="129">
        <v>1.4402270041768972E-2</v>
      </c>
    </row>
    <row r="3422" spans="19:27" x14ac:dyDescent="0.2">
      <c r="S3422" s="1"/>
      <c r="T3422" s="109"/>
      <c r="W3422" s="130" t="str">
        <f t="shared" si="63"/>
        <v>1w</v>
      </c>
      <c r="X3422" s="128">
        <f>_xll.qlCalendarAdvance(Calendar,X3421,W3422,"f",FALSE)</f>
        <v>63262</v>
      </c>
      <c r="Y3422" s="131">
        <f>_xll.qlCalendarAdvance(Calendar,X3422,NDays&amp;"D")</f>
        <v>63264</v>
      </c>
      <c r="Z3422" s="132">
        <v>1.4438140013877207E-2</v>
      </c>
      <c r="AA3422" s="129">
        <v>1.4403591021014961E-2</v>
      </c>
    </row>
    <row r="3423" spans="19:27" x14ac:dyDescent="0.2">
      <c r="S3423" s="1"/>
      <c r="T3423" s="109"/>
      <c r="W3423" s="130" t="str">
        <f t="shared" si="63"/>
        <v>1w</v>
      </c>
      <c r="X3423" s="128">
        <f>_xll.qlCalendarAdvance(Calendar,X3422,W3423,"f",FALSE)</f>
        <v>63269</v>
      </c>
      <c r="Y3423" s="131">
        <f>_xll.qlCalendarAdvance(Calendar,X3423,NDays&amp;"D")</f>
        <v>63271</v>
      </c>
      <c r="Z3423" s="132">
        <v>1.4439389493567356E-2</v>
      </c>
      <c r="AA3423" s="129">
        <v>1.4406427207836359E-2</v>
      </c>
    </row>
    <row r="3424" spans="19:27" x14ac:dyDescent="0.2">
      <c r="S3424" s="1"/>
      <c r="T3424" s="109"/>
      <c r="W3424" s="130" t="str">
        <f t="shared" si="63"/>
        <v>1w</v>
      </c>
      <c r="X3424" s="128">
        <f>_xll.qlCalendarAdvance(Calendar,X3423,W3424,"f",FALSE)</f>
        <v>63276</v>
      </c>
      <c r="Y3424" s="131">
        <f>_xll.qlCalendarAdvance(Calendar,X3424,NDays&amp;"D")</f>
        <v>63278</v>
      </c>
      <c r="Z3424" s="132">
        <v>1.4440628797550269E-2</v>
      </c>
      <c r="AA3424" s="129">
        <v>1.4406202562158299E-2</v>
      </c>
    </row>
    <row r="3425" spans="19:27" x14ac:dyDescent="0.2">
      <c r="S3425" s="1"/>
      <c r="T3425" s="109"/>
      <c r="W3425" s="130" t="str">
        <f t="shared" si="63"/>
        <v>1w</v>
      </c>
      <c r="X3425" s="128">
        <f>_xll.qlCalendarAdvance(Calendar,X3424,W3425,"f",FALSE)</f>
        <v>63283</v>
      </c>
      <c r="Y3425" s="131">
        <f>_xll.qlCalendarAdvance(Calendar,X3425,NDays&amp;"D")</f>
        <v>63285</v>
      </c>
      <c r="Z3425" s="132">
        <v>1.4441482738189893E-2</v>
      </c>
      <c r="AA3425" s="129">
        <v>1.4407493123975712E-2</v>
      </c>
    </row>
    <row r="3426" spans="19:27" x14ac:dyDescent="0.2">
      <c r="S3426" s="1"/>
      <c r="T3426" s="109"/>
      <c r="W3426" s="130" t="str">
        <f t="shared" si="63"/>
        <v>1w</v>
      </c>
      <c r="X3426" s="128">
        <f>_xll.qlCalendarAdvance(Calendar,X3425,W3426,"f",FALSE)</f>
        <v>63290</v>
      </c>
      <c r="Y3426" s="131">
        <f>_xll.qlCalendarAdvance(Calendar,X3426,NDays&amp;"D")</f>
        <v>63292</v>
      </c>
      <c r="Z3426" s="132">
        <v>1.4442702368728874E-2</v>
      </c>
      <c r="AA3426" s="129">
        <v>1.4408773546943365E-2</v>
      </c>
    </row>
    <row r="3427" spans="19:27" x14ac:dyDescent="0.2">
      <c r="S3427" s="1"/>
      <c r="T3427" s="109"/>
      <c r="W3427" s="130" t="str">
        <f t="shared" si="63"/>
        <v>1w</v>
      </c>
      <c r="X3427" s="128">
        <f>_xll.qlCalendarAdvance(Calendar,X3426,W3427,"f",FALSE)</f>
        <v>63297</v>
      </c>
      <c r="Y3427" s="131">
        <f>_xll.qlCalendarAdvance(Calendar,X3427,NDays&amp;"D")</f>
        <v>63299</v>
      </c>
      <c r="Z3427" s="132">
        <v>1.4443911823935628E-2</v>
      </c>
      <c r="AA3427" s="129">
        <v>1.4410043830661579E-2</v>
      </c>
    </row>
    <row r="3428" spans="19:27" x14ac:dyDescent="0.2">
      <c r="S3428" s="1"/>
      <c r="T3428" s="109"/>
      <c r="W3428" s="130" t="str">
        <f t="shared" si="63"/>
        <v>1w</v>
      </c>
      <c r="X3428" s="128">
        <f>_xll.qlCalendarAdvance(Calendar,X3427,W3428,"f",FALSE)</f>
        <v>63304</v>
      </c>
      <c r="Y3428" s="131">
        <f>_xll.qlCalendarAdvance(Calendar,X3428,NDays&amp;"D")</f>
        <v>63306</v>
      </c>
      <c r="Z3428" s="132">
        <v>1.4445111103801372E-2</v>
      </c>
      <c r="AA3428" s="129">
        <v>1.4411303975290224E-2</v>
      </c>
    </row>
    <row r="3429" spans="19:27" x14ac:dyDescent="0.2">
      <c r="S3429" s="1"/>
      <c r="T3429" s="109"/>
      <c r="W3429" s="130" t="str">
        <f t="shared" si="63"/>
        <v>1w</v>
      </c>
      <c r="X3429" s="128">
        <f>_xll.qlCalendarAdvance(Calendar,X3428,W3429,"f",FALSE)</f>
        <v>63311</v>
      </c>
      <c r="Y3429" s="131">
        <f>_xll.qlCalendarAdvance(Calendar,X3429,NDays&amp;"D")</f>
        <v>63313</v>
      </c>
      <c r="Z3429" s="132">
        <v>1.4446672681520089E-2</v>
      </c>
      <c r="AA3429" s="129">
        <v>1.4412553980829301E-2</v>
      </c>
    </row>
    <row r="3430" spans="19:27" x14ac:dyDescent="0.2">
      <c r="S3430" s="1"/>
      <c r="T3430" s="109"/>
      <c r="W3430" s="130" t="str">
        <f t="shared" si="63"/>
        <v>1w</v>
      </c>
      <c r="X3430" s="128">
        <f>_xll.qlCalendarAdvance(Calendar,X3429,W3430,"f",FALSE)</f>
        <v>63318</v>
      </c>
      <c r="Y3430" s="131">
        <f>_xll.qlCalendarAdvance(Calendar,X3430,NDays&amp;"D")</f>
        <v>63320</v>
      </c>
      <c r="Z3430" s="132">
        <v>1.4447850931059762E-2</v>
      </c>
      <c r="AA3430" s="129">
        <v>1.4413793847278811E-2</v>
      </c>
    </row>
    <row r="3431" spans="19:27" x14ac:dyDescent="0.2">
      <c r="S3431" s="1"/>
      <c r="T3431" s="109"/>
      <c r="W3431" s="130" t="str">
        <f t="shared" si="63"/>
        <v>1w</v>
      </c>
      <c r="X3431" s="128">
        <f>_xll.qlCalendarAdvance(Calendar,X3430,W3431,"f",FALSE)</f>
        <v>63325</v>
      </c>
      <c r="Y3431" s="131">
        <f>_xll.qlCalendarAdvance(Calendar,X3431,NDays&amp;"D")</f>
        <v>63327</v>
      </c>
      <c r="Z3431" s="132">
        <v>1.4449019004827039E-2</v>
      </c>
      <c r="AA3431" s="129">
        <v>1.4415023574718688E-2</v>
      </c>
    </row>
    <row r="3432" spans="19:27" x14ac:dyDescent="0.2">
      <c r="S3432" s="1"/>
      <c r="T3432" s="109"/>
      <c r="W3432" s="130" t="str">
        <f t="shared" si="63"/>
        <v>1w</v>
      </c>
      <c r="X3432" s="128">
        <f>_xll.qlCalendarAdvance(Calendar,X3431,W3432,"f",FALSE)</f>
        <v>63332</v>
      </c>
      <c r="Y3432" s="131">
        <f>_xll.qlCalendarAdvance(Calendar,X3432,NDays&amp;"D")</f>
        <v>63334</v>
      </c>
      <c r="Z3432" s="132">
        <v>1.4450176902811489E-2</v>
      </c>
      <c r="AA3432" s="129">
        <v>1.4416243162909126E-2</v>
      </c>
    </row>
    <row r="3433" spans="19:27" x14ac:dyDescent="0.2">
      <c r="S3433" s="1"/>
      <c r="T3433" s="109"/>
      <c r="W3433" s="130" t="str">
        <f t="shared" si="63"/>
        <v>1w</v>
      </c>
      <c r="X3433" s="128">
        <f>_xll.qlCalendarAdvance(Calendar,X3432,W3433,"f",FALSE)</f>
        <v>63339</v>
      </c>
      <c r="Y3433" s="131">
        <f>_xll.qlCalendarAdvance(Calendar,X3433,NDays&amp;"D")</f>
        <v>63341</v>
      </c>
      <c r="Z3433" s="132">
        <v>1.4451324625005296E-2</v>
      </c>
      <c r="AA3433" s="129">
        <v>1.4417452612169868E-2</v>
      </c>
    </row>
    <row r="3434" spans="19:27" x14ac:dyDescent="0.2">
      <c r="S3434" s="1"/>
      <c r="T3434" s="109"/>
      <c r="W3434" s="130" t="str">
        <f t="shared" si="63"/>
        <v>1w</v>
      </c>
      <c r="X3434" s="128">
        <f>_xll.qlCalendarAdvance(Calendar,X3433,W3434,"f",FALSE)</f>
        <v>63346</v>
      </c>
      <c r="Y3434" s="131">
        <f>_xll.qlCalendarAdvance(Calendar,X3434,NDays&amp;"D")</f>
        <v>63348</v>
      </c>
      <c r="Z3434" s="132">
        <v>1.4452462171398898E-2</v>
      </c>
      <c r="AA3434" s="129">
        <v>1.4418651922261105E-2</v>
      </c>
    </row>
    <row r="3435" spans="19:27" x14ac:dyDescent="0.2">
      <c r="S3435" s="1"/>
      <c r="T3435" s="109"/>
      <c r="W3435" s="130" t="str">
        <f t="shared" si="63"/>
        <v>1w</v>
      </c>
      <c r="X3435" s="128">
        <f>_xll.qlCalendarAdvance(Calendar,X3434,W3435,"f",FALSE)</f>
        <v>63353</v>
      </c>
      <c r="Y3435" s="131">
        <f>_xll.qlCalendarAdvance(Calendar,X3435,NDays&amp;"D")</f>
        <v>63355</v>
      </c>
      <c r="Z3435" s="132">
        <v>1.4453589541984479E-2</v>
      </c>
      <c r="AA3435" s="129">
        <v>1.4419841093342711E-2</v>
      </c>
    </row>
    <row r="3436" spans="19:27" x14ac:dyDescent="0.2">
      <c r="S3436" s="1"/>
      <c r="T3436" s="109"/>
      <c r="W3436" s="130" t="str">
        <f t="shared" si="63"/>
        <v>1w</v>
      </c>
      <c r="X3436" s="128">
        <f>_xll.qlCalendarAdvance(Calendar,X3435,W3436,"f",FALSE)</f>
        <v>63360</v>
      </c>
      <c r="Y3436" s="131">
        <f>_xll.qlCalendarAdvance(Calendar,X3436,NDays&amp;"D")</f>
        <v>63362</v>
      </c>
      <c r="Z3436" s="132">
        <v>1.4454706736750741E-2</v>
      </c>
      <c r="AA3436" s="129">
        <v>1.4421020125174877E-2</v>
      </c>
    </row>
    <row r="3437" spans="19:27" x14ac:dyDescent="0.2">
      <c r="S3437" s="1"/>
      <c r="T3437" s="109"/>
      <c r="W3437" s="130" t="str">
        <f t="shared" si="63"/>
        <v>1w</v>
      </c>
      <c r="X3437" s="128">
        <f>_xll.qlCalendarAdvance(Calendar,X3436,W3437,"f",FALSE)</f>
        <v>63367</v>
      </c>
      <c r="Y3437" s="131">
        <f>_xll.qlCalendarAdvance(Calendar,X3437,NDays&amp;"D")</f>
        <v>63369</v>
      </c>
      <c r="Z3437" s="132">
        <v>1.4455813755691606E-2</v>
      </c>
      <c r="AA3437" s="129">
        <v>1.4422189017997411E-2</v>
      </c>
    </row>
    <row r="3438" spans="19:27" x14ac:dyDescent="0.2">
      <c r="S3438" s="1"/>
      <c r="T3438" s="109"/>
      <c r="W3438" s="130" t="str">
        <f t="shared" si="63"/>
        <v>1w</v>
      </c>
      <c r="X3438" s="128">
        <f>_xll.qlCalendarAdvance(Calendar,X3437,W3438,"f",FALSE)</f>
        <v>63374</v>
      </c>
      <c r="Y3438" s="131">
        <f>_xll.qlCalendarAdvance(Calendar,X3438,NDays&amp;"D")</f>
        <v>63376</v>
      </c>
      <c r="Z3438" s="132">
        <v>1.445691059879925E-2</v>
      </c>
      <c r="AA3438" s="129">
        <v>1.4423347771730377E-2</v>
      </c>
    </row>
    <row r="3439" spans="19:27" x14ac:dyDescent="0.2">
      <c r="S3439" s="1"/>
      <c r="T3439" s="109"/>
      <c r="W3439" s="130" t="str">
        <f t="shared" si="63"/>
        <v>1w</v>
      </c>
      <c r="X3439" s="128">
        <f>_xll.qlCalendarAdvance(Calendar,X3438,W3439,"f",FALSE)</f>
        <v>63381</v>
      </c>
      <c r="Y3439" s="131">
        <f>_xll.qlCalendarAdvance(Calendar,X3439,NDays&amp;"D")</f>
        <v>63383</v>
      </c>
      <c r="Z3439" s="132">
        <v>1.4457997266062379E-2</v>
      </c>
      <c r="AA3439" s="129">
        <v>1.4424496386373775E-2</v>
      </c>
    </row>
    <row r="3440" spans="19:27" x14ac:dyDescent="0.2">
      <c r="S3440" s="1"/>
      <c r="T3440" s="109"/>
      <c r="W3440" s="130" t="str">
        <f t="shared" si="63"/>
        <v>1w</v>
      </c>
      <c r="X3440" s="128">
        <f>_xll.qlCalendarAdvance(Calendar,X3439,W3440,"f",FALSE)</f>
        <v>63388</v>
      </c>
      <c r="Y3440" s="131">
        <f>_xll.qlCalendarAdvance(Calendar,X3440,NDays&amp;"D")</f>
        <v>63390</v>
      </c>
      <c r="Z3440" s="132">
        <v>1.4459073757473174E-2</v>
      </c>
      <c r="AA3440" s="129">
        <v>1.4425634861927605E-2</v>
      </c>
    </row>
    <row r="3441" spans="19:27" x14ac:dyDescent="0.2">
      <c r="S3441" s="1"/>
      <c r="T3441" s="109"/>
      <c r="W3441" s="130" t="str">
        <f t="shared" si="63"/>
        <v>1w</v>
      </c>
      <c r="X3441" s="128">
        <f>_xll.qlCalendarAdvance(Calendar,X3440,W3441,"f",FALSE)</f>
        <v>63395</v>
      </c>
      <c r="Y3441" s="131">
        <f>_xll.qlCalendarAdvance(Calendar,X3441,NDays&amp;"D")</f>
        <v>63397</v>
      </c>
      <c r="Z3441" s="132">
        <v>1.4460140073023812E-2</v>
      </c>
      <c r="AA3441" s="129">
        <v>1.4426763198471804E-2</v>
      </c>
    </row>
    <row r="3442" spans="19:27" x14ac:dyDescent="0.2">
      <c r="S3442" s="1"/>
      <c r="T3442" s="109"/>
      <c r="W3442" s="130" t="str">
        <f t="shared" si="63"/>
        <v>1w</v>
      </c>
      <c r="X3442" s="128">
        <f>_xll.qlCalendarAdvance(Calendar,X3441,W3442,"f",FALSE)</f>
        <v>63402</v>
      </c>
      <c r="Y3442" s="131">
        <f>_xll.qlCalendarAdvance(Calendar,X3442,NDays&amp;"D")</f>
        <v>63404</v>
      </c>
      <c r="Z3442" s="132">
        <v>1.4461196212707347E-2</v>
      </c>
      <c r="AA3442" s="129">
        <v>1.4427881395846498E-2</v>
      </c>
    </row>
    <row r="3443" spans="19:27" x14ac:dyDescent="0.2">
      <c r="S3443" s="1"/>
      <c r="T3443" s="109"/>
      <c r="W3443" s="130" t="str">
        <f t="shared" si="63"/>
        <v>1w</v>
      </c>
      <c r="X3443" s="128">
        <f>_xll.qlCalendarAdvance(Calendar,X3442,W3443,"f",FALSE)</f>
        <v>63409</v>
      </c>
      <c r="Y3443" s="131">
        <f>_xll.qlCalendarAdvance(Calendar,X3443,NDays&amp;"D")</f>
        <v>63411</v>
      </c>
      <c r="Z3443" s="132">
        <v>1.4462242176513351E-2</v>
      </c>
      <c r="AA3443" s="129">
        <v>1.4428989454051688E-2</v>
      </c>
    </row>
    <row r="3444" spans="19:27" x14ac:dyDescent="0.2">
      <c r="S3444" s="1"/>
      <c r="T3444" s="109"/>
      <c r="W3444" s="130" t="str">
        <f t="shared" si="63"/>
        <v>1w</v>
      </c>
      <c r="X3444" s="128">
        <f>_xll.qlCalendarAdvance(Calendar,X3443,W3444,"f",FALSE)</f>
        <v>63416</v>
      </c>
      <c r="Y3444" s="131">
        <f>_xll.qlCalendarAdvance(Calendar,X3444,NDays&amp;"D")</f>
        <v>63418</v>
      </c>
      <c r="Z3444" s="132">
        <v>1.4463277964433132E-2</v>
      </c>
      <c r="AA3444" s="129">
        <v>1.4430087373327183E-2</v>
      </c>
    </row>
    <row r="3445" spans="19:27" x14ac:dyDescent="0.2">
      <c r="S3445" s="1"/>
      <c r="T3445" s="109"/>
      <c r="W3445" s="130" t="str">
        <f t="shared" si="63"/>
        <v>1w</v>
      </c>
      <c r="X3445" s="128">
        <f>_xll.qlCalendarAdvance(Calendar,X3444,W3445,"f",FALSE)</f>
        <v>63423</v>
      </c>
      <c r="Y3445" s="131">
        <f>_xll.qlCalendarAdvance(Calendar,X3445,NDays&amp;"D")</f>
        <v>63425</v>
      </c>
      <c r="Z3445" s="132">
        <v>1.4464303576461481E-2</v>
      </c>
      <c r="AA3445" s="129">
        <v>1.4431175153433173E-2</v>
      </c>
    </row>
    <row r="3446" spans="19:27" x14ac:dyDescent="0.2">
      <c r="S3446" s="1"/>
      <c r="T3446" s="109"/>
      <c r="W3446" s="130" t="str">
        <f t="shared" si="63"/>
        <v>1w</v>
      </c>
      <c r="X3446" s="128">
        <f>_xll.qlCalendarAdvance(Calendar,X3445,W3446,"f",FALSE)</f>
        <v>63430</v>
      </c>
      <c r="Y3446" s="131">
        <f>_xll.qlCalendarAdvance(Calendar,X3446,NDays&amp;"D")</f>
        <v>63432</v>
      </c>
      <c r="Z3446" s="132">
        <v>1.4464958147915921E-2</v>
      </c>
      <c r="AA3446" s="129">
        <v>1.443225279436966E-2</v>
      </c>
    </row>
    <row r="3447" spans="19:27" x14ac:dyDescent="0.2">
      <c r="S3447" s="1"/>
      <c r="T3447" s="109"/>
      <c r="W3447" s="130" t="str">
        <f t="shared" si="63"/>
        <v>1w</v>
      </c>
      <c r="X3447" s="128">
        <f>_xll.qlCalendarAdvance(Calendar,X3446,W3447,"f",FALSE)</f>
        <v>63437</v>
      </c>
      <c r="Y3447" s="131">
        <f>_xll.qlCalendarAdvance(Calendar,X3447,NDays&amp;"D")</f>
        <v>63439</v>
      </c>
      <c r="Z3447" s="132">
        <v>1.4465964094637886E-2</v>
      </c>
      <c r="AA3447" s="129">
        <v>1.4433320296296515E-2</v>
      </c>
    </row>
    <row r="3448" spans="19:27" x14ac:dyDescent="0.2">
      <c r="S3448" s="1"/>
      <c r="T3448" s="109"/>
      <c r="W3448" s="130" t="str">
        <f t="shared" si="63"/>
        <v>1w</v>
      </c>
      <c r="X3448" s="128">
        <f>_xll.qlCalendarAdvance(Calendar,X3447,W3448,"f",FALSE)</f>
        <v>63444</v>
      </c>
      <c r="Y3448" s="131">
        <f>_xll.qlCalendarAdvance(Calendar,X3448,NDays&amp;"D")</f>
        <v>63446</v>
      </c>
      <c r="Z3448" s="132">
        <v>1.4466959865849307E-2</v>
      </c>
      <c r="AA3448" s="129">
        <v>1.4434377659133801E-2</v>
      </c>
    </row>
    <row r="3449" spans="19:27" x14ac:dyDescent="0.2">
      <c r="S3449" s="1"/>
      <c r="T3449" s="109"/>
      <c r="W3449" s="130" t="str">
        <f t="shared" si="63"/>
        <v>1w</v>
      </c>
      <c r="X3449" s="128">
        <f>_xll.qlCalendarAdvance(Calendar,X3448,W3449,"f",FALSE)</f>
        <v>63451</v>
      </c>
      <c r="Y3449" s="131">
        <f>_xll.qlCalendarAdvance(Calendar,X3449,NDays&amp;"D")</f>
        <v>63453</v>
      </c>
      <c r="Z3449" s="132">
        <v>1.44679454615414E-2</v>
      </c>
      <c r="AA3449" s="129">
        <v>1.443542488288152E-2</v>
      </c>
    </row>
    <row r="3450" spans="19:27" x14ac:dyDescent="0.2">
      <c r="S3450" s="1"/>
      <c r="T3450" s="109"/>
      <c r="W3450" s="130" t="str">
        <f t="shared" si="63"/>
        <v>1w</v>
      </c>
      <c r="X3450" s="128">
        <f>_xll.qlCalendarAdvance(Calendar,X3449,W3450,"f",FALSE)</f>
        <v>63458</v>
      </c>
      <c r="Y3450" s="131">
        <f>_xll.qlCalendarAdvance(Calendar,X3450,NDays&amp;"D")</f>
        <v>63460</v>
      </c>
      <c r="Z3450" s="132">
        <v>1.4468920881708015E-2</v>
      </c>
      <c r="AA3450" s="129">
        <v>1.4436461967459735E-2</v>
      </c>
    </row>
    <row r="3451" spans="19:27" x14ac:dyDescent="0.2">
      <c r="S3451" s="1"/>
      <c r="T3451" s="109"/>
      <c r="W3451" s="130" t="str">
        <f t="shared" si="63"/>
        <v>1w</v>
      </c>
      <c r="X3451" s="128">
        <f>_xll.qlCalendarAdvance(Calendar,X3450,W3451,"f",FALSE)</f>
        <v>63465</v>
      </c>
      <c r="Y3451" s="131">
        <f>_xll.qlCalendarAdvance(Calendar,X3451,NDays&amp;"D")</f>
        <v>63467</v>
      </c>
      <c r="Z3451" s="132">
        <v>1.4470243554437925E-2</v>
      </c>
      <c r="AA3451" s="129">
        <v>1.4437488913028318E-2</v>
      </c>
    </row>
    <row r="3452" spans="19:27" x14ac:dyDescent="0.2">
      <c r="S3452" s="1"/>
      <c r="T3452" s="109"/>
      <c r="W3452" s="130" t="str">
        <f t="shared" si="63"/>
        <v>1w</v>
      </c>
      <c r="X3452" s="128">
        <f>_xll.qlCalendarAdvance(Calendar,X3451,W3452,"f",FALSE)</f>
        <v>63472</v>
      </c>
      <c r="Y3452" s="131">
        <f>_xll.qlCalendarAdvance(Calendar,X3452,NDays&amp;"D")</f>
        <v>63474</v>
      </c>
      <c r="Z3452" s="132">
        <v>1.4471197934996854E-2</v>
      </c>
      <c r="AA3452" s="129">
        <v>1.4438505719427397E-2</v>
      </c>
    </row>
    <row r="3453" spans="19:27" x14ac:dyDescent="0.2">
      <c r="S3453" s="1"/>
      <c r="T3453" s="109"/>
      <c r="W3453" s="130" t="str">
        <f t="shared" si="63"/>
        <v>1w</v>
      </c>
      <c r="X3453" s="128">
        <f>_xll.qlCalendarAdvance(Calendar,X3452,W3453,"f",FALSE)</f>
        <v>63479</v>
      </c>
      <c r="Y3453" s="131">
        <f>_xll.qlCalendarAdvance(Calendar,X3453,NDays&amp;"D")</f>
        <v>63481</v>
      </c>
      <c r="Z3453" s="132">
        <v>1.4472142139601792E-2</v>
      </c>
      <c r="AA3453" s="129">
        <v>1.4439512386816844E-2</v>
      </c>
    </row>
    <row r="3454" spans="19:27" x14ac:dyDescent="0.2">
      <c r="S3454" s="1"/>
      <c r="T3454" s="109"/>
      <c r="W3454" s="130" t="str">
        <f t="shared" si="63"/>
        <v>1w</v>
      </c>
      <c r="X3454" s="128">
        <f>_xll.qlCalendarAdvance(Calendar,X3453,W3454,"f",FALSE)</f>
        <v>63486</v>
      </c>
      <c r="Y3454" s="131">
        <f>_xll.qlCalendarAdvance(Calendar,X3454,NDays&amp;"D")</f>
        <v>63488</v>
      </c>
      <c r="Z3454" s="132">
        <v>1.4473076168244918E-2</v>
      </c>
      <c r="AA3454" s="129">
        <v>1.4440508915036787E-2</v>
      </c>
    </row>
    <row r="3455" spans="19:27" x14ac:dyDescent="0.2">
      <c r="S3455" s="1"/>
      <c r="T3455" s="109"/>
      <c r="W3455" s="130" t="str">
        <f t="shared" si="63"/>
        <v>1w</v>
      </c>
      <c r="X3455" s="128">
        <f>_xll.qlCalendarAdvance(Calendar,X3454,W3455,"f",FALSE)</f>
        <v>63493</v>
      </c>
      <c r="Y3455" s="131">
        <f>_xll.qlCalendarAdvance(Calendar,X3455,NDays&amp;"D")</f>
        <v>63495</v>
      </c>
      <c r="Z3455" s="132">
        <v>1.447400002091841E-2</v>
      </c>
      <c r="AA3455" s="129">
        <v>1.4441495304327034E-2</v>
      </c>
    </row>
    <row r="3456" spans="19:27" x14ac:dyDescent="0.2">
      <c r="S3456" s="1"/>
      <c r="T3456" s="109"/>
      <c r="W3456" s="130" t="str">
        <f t="shared" si="63"/>
        <v>1w</v>
      </c>
      <c r="X3456" s="128">
        <f>_xll.qlCalendarAdvance(Calendar,X3455,W3456,"f",FALSE)</f>
        <v>63500</v>
      </c>
      <c r="Y3456" s="131">
        <f>_xll.qlCalendarAdvance(Calendar,X3456,NDays&amp;"D")</f>
        <v>63502</v>
      </c>
      <c r="Z3456" s="132">
        <v>1.4474913697616188E-2</v>
      </c>
      <c r="AA3456" s="129">
        <v>1.4442471554447778E-2</v>
      </c>
    </row>
    <row r="3457" spans="19:27" x14ac:dyDescent="0.2">
      <c r="S3457" s="1"/>
      <c r="T3457" s="109"/>
      <c r="W3457" s="130" t="str">
        <f t="shared" si="63"/>
        <v>1w</v>
      </c>
      <c r="X3457" s="128">
        <f>_xll.qlCalendarAdvance(Calendar,X3456,W3457,"f",FALSE)</f>
        <v>63507</v>
      </c>
      <c r="Y3457" s="131">
        <f>_xll.qlCalendarAdvance(Calendar,X3457,NDays&amp;"D")</f>
        <v>63509</v>
      </c>
      <c r="Z3457" s="132">
        <v>1.4475817198331301E-2</v>
      </c>
      <c r="AA3457" s="129">
        <v>1.4443437665319081E-2</v>
      </c>
    </row>
    <row r="3458" spans="19:27" x14ac:dyDescent="0.2">
      <c r="S3458" s="1"/>
      <c r="T3458" s="109"/>
      <c r="W3458" s="130" t="str">
        <f t="shared" si="63"/>
        <v>1w</v>
      </c>
      <c r="X3458" s="128">
        <f>_xll.qlCalendarAdvance(Calendar,X3457,W3458,"f",FALSE)</f>
        <v>63514</v>
      </c>
      <c r="Y3458" s="131">
        <f>_xll.qlCalendarAdvance(Calendar,X3458,NDays&amp;"D")</f>
        <v>63516</v>
      </c>
      <c r="Z3458" s="132">
        <v>1.4476710523055061E-2</v>
      </c>
      <c r="AA3458" s="129">
        <v>1.4444393637260688E-2</v>
      </c>
    </row>
    <row r="3459" spans="19:27" x14ac:dyDescent="0.2">
      <c r="S3459" s="1"/>
      <c r="T3459" s="109"/>
      <c r="W3459" s="130" t="str">
        <f t="shared" si="63"/>
        <v>1w</v>
      </c>
      <c r="X3459" s="128">
        <f>_xll.qlCalendarAdvance(Calendar,X3458,W3459,"f",FALSE)</f>
        <v>63521</v>
      </c>
      <c r="Y3459" s="131">
        <f>_xll.qlCalendarAdvance(Calendar,X3459,NDays&amp;"D")</f>
        <v>63523</v>
      </c>
      <c r="Z3459" s="132">
        <v>1.4476889798364923E-2</v>
      </c>
      <c r="AA3459" s="129">
        <v>1.4445339469952856E-2</v>
      </c>
    </row>
    <row r="3460" spans="19:27" x14ac:dyDescent="0.2">
      <c r="S3460" s="1"/>
      <c r="T3460" s="109"/>
      <c r="W3460" s="130" t="str">
        <f t="shared" si="63"/>
        <v>1w</v>
      </c>
      <c r="X3460" s="128">
        <f>_xll.qlCalendarAdvance(Calendar,X3459,W3460,"f",FALSE)</f>
        <v>63528</v>
      </c>
      <c r="Y3460" s="131">
        <f>_xll.qlCalendarAdvance(Calendar,X3460,NDays&amp;"D")</f>
        <v>63530</v>
      </c>
      <c r="Z3460" s="132">
        <v>1.4477764154604778E-2</v>
      </c>
      <c r="AA3460" s="129">
        <v>1.4446275163715327E-2</v>
      </c>
    </row>
    <row r="3461" spans="19:27" x14ac:dyDescent="0.2">
      <c r="S3461" s="1"/>
      <c r="T3461" s="109"/>
      <c r="W3461" s="130" t="str">
        <f t="shared" si="63"/>
        <v>1w</v>
      </c>
      <c r="X3461" s="128">
        <f>_xll.qlCalendarAdvance(Calendar,X3460,W3461,"f",FALSE)</f>
        <v>63535</v>
      </c>
      <c r="Y3461" s="131">
        <f>_xll.qlCalendarAdvance(Calendar,X3461,NDays&amp;"D")</f>
        <v>63537</v>
      </c>
      <c r="Z3461" s="132">
        <v>1.4478628335646171E-2</v>
      </c>
      <c r="AA3461" s="129">
        <v>1.4447200718388231E-2</v>
      </c>
    </row>
    <row r="3462" spans="19:27" x14ac:dyDescent="0.2">
      <c r="S3462" s="1"/>
      <c r="T3462" s="109"/>
      <c r="W3462" s="130" t="str">
        <f t="shared" si="63"/>
        <v>1w</v>
      </c>
      <c r="X3462" s="128">
        <f>_xll.qlCalendarAdvance(Calendar,X3461,W3462,"f",FALSE)</f>
        <v>63542</v>
      </c>
      <c r="Y3462" s="131">
        <f>_xll.qlCalendarAdvance(Calendar,X3462,NDays&amp;"D")</f>
        <v>63544</v>
      </c>
      <c r="Z3462" s="132">
        <v>1.4479482341483774E-2</v>
      </c>
      <c r="AA3462" s="129">
        <v>1.4448116133891631E-2</v>
      </c>
    </row>
    <row r="3463" spans="19:27" x14ac:dyDescent="0.2">
      <c r="S3463" s="1"/>
      <c r="T3463" s="109"/>
      <c r="W3463" s="130" t="str">
        <f t="shared" si="63"/>
        <v>1w</v>
      </c>
      <c r="X3463" s="128">
        <f>_xll.qlCalendarAdvance(Calendar,X3462,W3463,"f",FALSE)</f>
        <v>63550</v>
      </c>
      <c r="Y3463" s="131">
        <f>_xll.qlCalendarAdvance(Calendar,X3463,NDays&amp;"D")</f>
        <v>63552</v>
      </c>
      <c r="Z3463" s="132">
        <v>1.4480794985298508E-2</v>
      </c>
      <c r="AA3463" s="129">
        <v>1.445021209127928E-2</v>
      </c>
    </row>
    <row r="3464" spans="19:27" x14ac:dyDescent="0.2">
      <c r="S3464" s="1"/>
      <c r="T3464" s="109"/>
      <c r="W3464" s="130" t="str">
        <f t="shared" si="63"/>
        <v>1w</v>
      </c>
      <c r="X3464" s="128">
        <f>_xll.qlCalendarAdvance(Calendar,X3463,W3464,"f",FALSE)</f>
        <v>63557</v>
      </c>
      <c r="Y3464" s="131">
        <f>_xll.qlCalendarAdvance(Calendar,X3464,NDays&amp;"D")</f>
        <v>63559</v>
      </c>
      <c r="Z3464" s="132">
        <v>1.4481278090520355E-2</v>
      </c>
      <c r="AA3464" s="129">
        <v>1.4450750398271595E-2</v>
      </c>
    </row>
    <row r="3465" spans="19:27" x14ac:dyDescent="0.2">
      <c r="S3465" s="1"/>
      <c r="T3465" s="109"/>
      <c r="W3465" s="130" t="str">
        <f t="shared" si="63"/>
        <v>1w</v>
      </c>
      <c r="X3465" s="128">
        <f>_xll.qlCalendarAdvance(Calendar,X3464,W3465,"f",FALSE)</f>
        <v>63564</v>
      </c>
      <c r="Y3465" s="131">
        <f>_xll.qlCalendarAdvance(Calendar,X3465,NDays&amp;"D")</f>
        <v>63566</v>
      </c>
      <c r="Z3465" s="132">
        <v>1.4482100117104935E-2</v>
      </c>
      <c r="AA3465" s="129">
        <v>1.4451632570446904E-2</v>
      </c>
    </row>
    <row r="3466" spans="19:27" x14ac:dyDescent="0.2">
      <c r="S3466" s="1"/>
      <c r="T3466" s="109"/>
      <c r="W3466" s="130" t="str">
        <f t="shared" si="63"/>
        <v>1w</v>
      </c>
      <c r="X3466" s="128">
        <f>_xll.qlCalendarAdvance(Calendar,X3465,W3466,"f",FALSE)</f>
        <v>63571</v>
      </c>
      <c r="Y3466" s="131">
        <f>_xll.qlCalendarAdvance(Calendar,X3466,NDays&amp;"D")</f>
        <v>63573</v>
      </c>
      <c r="Z3466" s="132">
        <v>1.448291196845819E-2</v>
      </c>
      <c r="AA3466" s="129">
        <v>1.445250460270664E-2</v>
      </c>
    </row>
    <row r="3467" spans="19:27" x14ac:dyDescent="0.2">
      <c r="S3467" s="1"/>
      <c r="T3467" s="109"/>
      <c r="W3467" s="130" t="str">
        <f t="shared" si="63"/>
        <v>1w</v>
      </c>
      <c r="X3467" s="128">
        <f>_xll.qlCalendarAdvance(Calendar,X3466,W3467,"f",FALSE)</f>
        <v>63578</v>
      </c>
      <c r="Y3467" s="131">
        <f>_xll.qlCalendarAdvance(Calendar,X3467,NDays&amp;"D")</f>
        <v>63580</v>
      </c>
      <c r="Z3467" s="132">
        <v>1.448371364457568E-2</v>
      </c>
      <c r="AA3467" s="129">
        <v>1.4453366495077447E-2</v>
      </c>
    </row>
    <row r="3468" spans="19:27" x14ac:dyDescent="0.2">
      <c r="S3468" s="1"/>
      <c r="T3468" s="109"/>
      <c r="W3468" s="130" t="str">
        <f t="shared" si="63"/>
        <v>1w</v>
      </c>
      <c r="X3468" s="128">
        <f>_xll.qlCalendarAdvance(Calendar,X3467,W3468,"f",FALSE)</f>
        <v>63585</v>
      </c>
      <c r="Y3468" s="131">
        <f>_xll.qlCalendarAdvance(Calendar,X3468,NDays&amp;"D")</f>
        <v>63587</v>
      </c>
      <c r="Z3468" s="132">
        <v>1.4484159462977928E-2</v>
      </c>
      <c r="AA3468" s="129">
        <v>1.445421824753268E-2</v>
      </c>
    </row>
    <row r="3469" spans="19:27" x14ac:dyDescent="0.2">
      <c r="S3469" s="1"/>
      <c r="T3469" s="109"/>
      <c r="W3469" s="130" t="str">
        <f t="shared" si="63"/>
        <v>1w</v>
      </c>
      <c r="X3469" s="128">
        <f>_xll.qlCalendarAdvance(Calendar,X3468,W3469,"f",FALSE)</f>
        <v>63592</v>
      </c>
      <c r="Y3469" s="131">
        <f>_xll.qlCalendarAdvance(Calendar,X3469,NDays&amp;"D")</f>
        <v>63594</v>
      </c>
      <c r="Z3469" s="132">
        <v>1.4484941484000249E-2</v>
      </c>
      <c r="AA3469" s="129">
        <v>1.4455059860098984E-2</v>
      </c>
    </row>
    <row r="3470" spans="19:27" x14ac:dyDescent="0.2">
      <c r="S3470" s="1"/>
      <c r="T3470" s="109"/>
      <c r="W3470" s="130" t="str">
        <f t="shared" si="63"/>
        <v>1w</v>
      </c>
      <c r="X3470" s="128">
        <f>_xll.qlCalendarAdvance(Calendar,X3469,W3470,"f",FALSE)</f>
        <v>63599</v>
      </c>
      <c r="Y3470" s="131">
        <f>_xll.qlCalendarAdvance(Calendar,X3470,NDays&amp;"D")</f>
        <v>63601</v>
      </c>
      <c r="Z3470" s="132">
        <v>1.4485713330173742E-2</v>
      </c>
      <c r="AA3470" s="129">
        <v>1.4455891332749715E-2</v>
      </c>
    </row>
    <row r="3471" spans="19:27" x14ac:dyDescent="0.2">
      <c r="S3471" s="1"/>
      <c r="T3471" s="109"/>
      <c r="W3471" s="130" t="str">
        <f t="shared" si="63"/>
        <v>1w</v>
      </c>
      <c r="X3471" s="128">
        <f>_xll.qlCalendarAdvance(Calendar,X3470,W3471,"f",FALSE)</f>
        <v>63606</v>
      </c>
      <c r="Y3471" s="131">
        <f>_xll.qlCalendarAdvance(Calendar,X3471,NDays&amp;"D")</f>
        <v>63608</v>
      </c>
      <c r="Z3471" s="132">
        <v>1.448647500149571E-2</v>
      </c>
      <c r="AA3471" s="129">
        <v>1.4456712665484872E-2</v>
      </c>
    </row>
    <row r="3472" spans="19:27" x14ac:dyDescent="0.2">
      <c r="S3472" s="1"/>
      <c r="T3472" s="109"/>
      <c r="W3472" s="130" t="str">
        <f t="shared" si="63"/>
        <v>1w</v>
      </c>
      <c r="X3472" s="128">
        <f>_xll.qlCalendarAdvance(Calendar,X3471,W3472,"f",FALSE)</f>
        <v>63613</v>
      </c>
      <c r="Y3472" s="131">
        <f>_xll.qlCalendarAdvance(Calendar,X3472,NDays&amp;"D")</f>
        <v>63615</v>
      </c>
      <c r="Z3472" s="132">
        <v>1.4488940417462313E-2</v>
      </c>
      <c r="AA3472" s="129">
        <v>1.4457523858331101E-2</v>
      </c>
    </row>
    <row r="3473" spans="19:27" x14ac:dyDescent="0.2">
      <c r="S3473" s="1"/>
      <c r="T3473" s="109"/>
      <c r="W3473" s="130" t="str">
        <f t="shared" si="63"/>
        <v>1w</v>
      </c>
      <c r="X3473" s="128">
        <f>_xll.qlCalendarAdvance(Calendar,X3472,W3473,"f",FALSE)</f>
        <v>63620</v>
      </c>
      <c r="Y3473" s="131">
        <f>_xll.qlCalendarAdvance(Calendar,X3473,NDays&amp;"D")</f>
        <v>63622</v>
      </c>
      <c r="Z3473" s="132">
        <v>1.4489678253363626E-2</v>
      </c>
      <c r="AA3473" s="129">
        <v>1.445832491123511E-2</v>
      </c>
    </row>
    <row r="3474" spans="19:27" x14ac:dyDescent="0.2">
      <c r="S3474" s="1"/>
      <c r="T3474" s="109"/>
      <c r="W3474" s="130" t="str">
        <f t="shared" si="63"/>
        <v>1w</v>
      </c>
      <c r="X3474" s="128">
        <f>_xll.qlCalendarAdvance(Calendar,X3473,W3474,"f",FALSE)</f>
        <v>63627</v>
      </c>
      <c r="Y3474" s="131">
        <f>_xll.qlCalendarAdvance(Calendar,X3474,NDays&amp;"D")</f>
        <v>63629</v>
      </c>
      <c r="Z3474" s="132">
        <v>1.4490405912359663E-2</v>
      </c>
      <c r="AA3474" s="129">
        <v>1.4459115824303481E-2</v>
      </c>
    </row>
    <row r="3475" spans="19:27" x14ac:dyDescent="0.2">
      <c r="S3475" s="1"/>
      <c r="T3475" s="109"/>
      <c r="W3475" s="130" t="str">
        <f t="shared" si="63"/>
        <v>1w</v>
      </c>
      <c r="X3475" s="128">
        <f>_xll.qlCalendarAdvance(Calendar,X3474,W3475,"f",FALSE)</f>
        <v>63634</v>
      </c>
      <c r="Y3475" s="131">
        <f>_xll.qlCalendarAdvance(Calendar,X3475,NDays&amp;"D")</f>
        <v>63636</v>
      </c>
      <c r="Z3475" s="132">
        <v>1.449112339444107E-2</v>
      </c>
      <c r="AA3475" s="129">
        <v>1.4459896597429633E-2</v>
      </c>
    </row>
    <row r="3476" spans="19:27" x14ac:dyDescent="0.2">
      <c r="S3476" s="1"/>
      <c r="T3476" s="109"/>
      <c r="W3476" s="130" t="str">
        <f t="shared" si="63"/>
        <v>1w</v>
      </c>
      <c r="X3476" s="128">
        <f>_xll.qlCalendarAdvance(Calendar,X3475,W3476,"f",FALSE)</f>
        <v>63641</v>
      </c>
      <c r="Y3476" s="131">
        <f>_xll.qlCalendarAdvance(Calendar,X3476,NDays&amp;"D")</f>
        <v>63643</v>
      </c>
      <c r="Z3476" s="132">
        <v>1.4490810893423368E-2</v>
      </c>
      <c r="AA3476" s="129">
        <v>1.4460667230640212E-2</v>
      </c>
    </row>
    <row r="3477" spans="19:27" x14ac:dyDescent="0.2">
      <c r="S3477" s="1"/>
      <c r="T3477" s="109"/>
      <c r="W3477" s="130" t="str">
        <f t="shared" ref="W3477:W3540" si="64">W3476</f>
        <v>1w</v>
      </c>
      <c r="X3477" s="128">
        <f>_xll.qlCalendarAdvance(Calendar,X3476,W3477,"f",FALSE)</f>
        <v>63648</v>
      </c>
      <c r="Y3477" s="131">
        <f>_xll.qlCalendarAdvance(Calendar,X3477,NDays&amp;"D")</f>
        <v>63650</v>
      </c>
      <c r="Z3477" s="132">
        <v>1.4491510118141055E-2</v>
      </c>
      <c r="AA3477" s="129">
        <v>1.4461427723935216E-2</v>
      </c>
    </row>
    <row r="3478" spans="19:27" x14ac:dyDescent="0.2">
      <c r="S3478" s="1"/>
      <c r="T3478" s="109"/>
      <c r="W3478" s="130" t="str">
        <f t="shared" si="64"/>
        <v>1w</v>
      </c>
      <c r="X3478" s="128">
        <f>_xll.qlCalendarAdvance(Calendar,X3477,W3478,"f",FALSE)</f>
        <v>63655</v>
      </c>
      <c r="Y3478" s="131">
        <f>_xll.qlCalendarAdvance(Calendar,X3478,NDays&amp;"D")</f>
        <v>63661</v>
      </c>
      <c r="Z3478" s="132">
        <v>1.4492588340758179E-2</v>
      </c>
      <c r="AA3478" s="129">
        <v>1.4461915650620938E-2</v>
      </c>
    </row>
    <row r="3479" spans="19:27" x14ac:dyDescent="0.2">
      <c r="S3479" s="1"/>
      <c r="T3479" s="109"/>
      <c r="W3479" s="130" t="str">
        <f t="shared" si="64"/>
        <v>1w</v>
      </c>
      <c r="X3479" s="128">
        <f>_xll.qlCalendarAdvance(Calendar,X3478,W3479,"f",FALSE)</f>
        <v>63662</v>
      </c>
      <c r="Y3479" s="131">
        <f>_xll.qlCalendarAdvance(Calendar,X3479,NDays&amp;"D")</f>
        <v>63664</v>
      </c>
      <c r="Z3479" s="132">
        <v>1.4492878040452743E-2</v>
      </c>
      <c r="AA3479" s="129">
        <v>1.4462918290885085E-2</v>
      </c>
    </row>
    <row r="3480" spans="19:27" x14ac:dyDescent="0.2">
      <c r="S3480" s="1"/>
      <c r="T3480" s="109"/>
      <c r="W3480" s="130" t="str">
        <f t="shared" si="64"/>
        <v>1w</v>
      </c>
      <c r="X3480" s="128">
        <f>_xll.qlCalendarAdvance(Calendar,X3479,W3480,"f",FALSE)</f>
        <v>63669</v>
      </c>
      <c r="Y3480" s="131">
        <f>_xll.qlCalendarAdvance(Calendar,X3480,NDays&amp;"D")</f>
        <v>63671</v>
      </c>
      <c r="Z3480" s="132">
        <v>1.4493546738033566E-2</v>
      </c>
      <c r="AA3480" s="129">
        <v>1.4463648364460013E-2</v>
      </c>
    </row>
    <row r="3481" spans="19:27" x14ac:dyDescent="0.2">
      <c r="S3481" s="1"/>
      <c r="T3481" s="109"/>
      <c r="W3481" s="130" t="str">
        <f t="shared" si="64"/>
        <v>1w</v>
      </c>
      <c r="X3481" s="128">
        <f>_xll.qlCalendarAdvance(Calendar,X3480,W3481,"f",FALSE)</f>
        <v>63676</v>
      </c>
      <c r="Y3481" s="131">
        <f>_xll.qlCalendarAdvance(Calendar,X3481,NDays&amp;"D")</f>
        <v>63678</v>
      </c>
      <c r="Z3481" s="132">
        <v>1.4495214571420389E-2</v>
      </c>
      <c r="AA3481" s="129">
        <v>1.4464368298146013E-2</v>
      </c>
    </row>
    <row r="3482" spans="19:27" x14ac:dyDescent="0.2">
      <c r="S3482" s="1"/>
      <c r="T3482" s="109"/>
      <c r="W3482" s="130" t="str">
        <f t="shared" si="64"/>
        <v>1w</v>
      </c>
      <c r="X3482" s="128">
        <f>_xll.qlCalendarAdvance(Calendar,X3481,W3482,"f",FALSE)</f>
        <v>63683</v>
      </c>
      <c r="Y3482" s="131">
        <f>_xll.qlCalendarAdvance(Calendar,X3482,NDays&amp;"D")</f>
        <v>63685</v>
      </c>
      <c r="Z3482" s="132">
        <v>1.4495860814948016E-2</v>
      </c>
      <c r="AA3482" s="129">
        <v>1.4465078091916439E-2</v>
      </c>
    </row>
    <row r="3483" spans="19:27" x14ac:dyDescent="0.2">
      <c r="S3483" s="1"/>
      <c r="T3483" s="109"/>
      <c r="W3483" s="130" t="str">
        <f t="shared" si="64"/>
        <v>1w</v>
      </c>
      <c r="X3483" s="128">
        <f>_xll.qlCalendarAdvance(Calendar,X3482,W3483,"f",FALSE)</f>
        <v>63690</v>
      </c>
      <c r="Y3483" s="131">
        <f>_xll.qlCalendarAdvance(Calendar,X3483,NDays&amp;"D")</f>
        <v>63692</v>
      </c>
      <c r="Z3483" s="132">
        <v>1.4496496881519345E-2</v>
      </c>
      <c r="AA3483" s="129">
        <v>1.4465777745797936E-2</v>
      </c>
    </row>
    <row r="3484" spans="19:27" x14ac:dyDescent="0.2">
      <c r="S3484" s="1"/>
      <c r="T3484" s="109"/>
      <c r="W3484" s="130" t="str">
        <f t="shared" si="64"/>
        <v>1w</v>
      </c>
      <c r="X3484" s="128">
        <f>_xll.qlCalendarAdvance(Calendar,X3483,W3484,"f",FALSE)</f>
        <v>63697</v>
      </c>
      <c r="Y3484" s="131">
        <f>_xll.qlCalendarAdvance(Calendar,X3484,NDays&amp;"D")</f>
        <v>63699</v>
      </c>
      <c r="Z3484" s="132">
        <v>1.4497122771127571E-2</v>
      </c>
      <c r="AA3484" s="129">
        <v>1.446646725976386E-2</v>
      </c>
    </row>
    <row r="3485" spans="19:27" x14ac:dyDescent="0.2">
      <c r="S3485" s="1"/>
      <c r="T3485" s="109"/>
      <c r="W3485" s="130" t="str">
        <f t="shared" si="64"/>
        <v>1w</v>
      </c>
      <c r="X3485" s="128">
        <f>_xll.qlCalendarAdvance(Calendar,X3484,W3485,"f",FALSE)</f>
        <v>63704</v>
      </c>
      <c r="Y3485" s="131">
        <f>_xll.qlCalendarAdvance(Calendar,X3485,NDays&amp;"D")</f>
        <v>63706</v>
      </c>
      <c r="Z3485" s="132">
        <v>1.4497738483768443E-2</v>
      </c>
      <c r="AA3485" s="129">
        <v>1.4467146633840855E-2</v>
      </c>
    </row>
    <row r="3486" spans="19:27" x14ac:dyDescent="0.2">
      <c r="S3486" s="1"/>
      <c r="T3486" s="109"/>
      <c r="W3486" s="130" t="str">
        <f t="shared" si="64"/>
        <v>1w</v>
      </c>
      <c r="X3486" s="128">
        <f>_xll.qlCalendarAdvance(Calendar,X3485,W3486,"f",FALSE)</f>
        <v>63711</v>
      </c>
      <c r="Y3486" s="131">
        <f>_xll.qlCalendarAdvance(Calendar,X3486,NDays&amp;"D")</f>
        <v>63713</v>
      </c>
      <c r="Z3486" s="132">
        <v>1.449834401943686E-2</v>
      </c>
      <c r="AA3486" s="129">
        <v>1.4467815867975631E-2</v>
      </c>
    </row>
    <row r="3487" spans="19:27" x14ac:dyDescent="0.2">
      <c r="S3487" s="1"/>
      <c r="T3487" s="109"/>
      <c r="W3487" s="130" t="str">
        <f t="shared" si="64"/>
        <v>1w</v>
      </c>
      <c r="X3487" s="128">
        <f>_xll.qlCalendarAdvance(Calendar,X3486,W3487,"f",FALSE)</f>
        <v>63718</v>
      </c>
      <c r="Y3487" s="131">
        <f>_xll.qlCalendarAdvance(Calendar,X3487,NDays&amp;"D")</f>
        <v>63720</v>
      </c>
      <c r="Z3487" s="132">
        <v>1.4498939378128567E-2</v>
      </c>
      <c r="AA3487" s="129">
        <v>1.4468474962221478E-2</v>
      </c>
    </row>
    <row r="3488" spans="19:27" x14ac:dyDescent="0.2">
      <c r="S3488" s="1"/>
      <c r="T3488" s="109"/>
      <c r="W3488" s="130" t="str">
        <f t="shared" si="64"/>
        <v>1w</v>
      </c>
      <c r="X3488" s="128">
        <f>_xll.qlCalendarAdvance(Calendar,X3487,W3488,"f",FALSE)</f>
        <v>63725</v>
      </c>
      <c r="Y3488" s="131">
        <f>_xll.qlCalendarAdvance(Calendar,X3488,NDays&amp;"D")</f>
        <v>63727</v>
      </c>
      <c r="Z3488" s="132">
        <v>1.4499524559837615E-2</v>
      </c>
      <c r="AA3488" s="129">
        <v>1.4469123916551752E-2</v>
      </c>
    </row>
    <row r="3489" spans="19:27" x14ac:dyDescent="0.2">
      <c r="S3489" s="1"/>
      <c r="T3489" s="109"/>
      <c r="W3489" s="130" t="str">
        <f t="shared" si="64"/>
        <v>1w</v>
      </c>
      <c r="X3489" s="128">
        <f>_xll.qlCalendarAdvance(Calendar,X3488,W3489,"f",FALSE)</f>
        <v>63732</v>
      </c>
      <c r="Y3489" s="131">
        <f>_xll.qlCalendarAdvance(Calendar,X3489,NDays&amp;"D")</f>
        <v>63734</v>
      </c>
      <c r="Z3489" s="132">
        <v>1.4499107108152193E-2</v>
      </c>
      <c r="AA3489" s="129">
        <v>1.4469762730993097E-2</v>
      </c>
    </row>
    <row r="3490" spans="19:27" x14ac:dyDescent="0.2">
      <c r="S3490" s="1"/>
      <c r="T3490" s="109"/>
      <c r="W3490" s="130" t="str">
        <f t="shared" si="64"/>
        <v>1w</v>
      </c>
      <c r="X3490" s="128">
        <f>_xll.qlCalendarAdvance(Calendar,X3489,W3490,"f",FALSE)</f>
        <v>63739</v>
      </c>
      <c r="Y3490" s="131">
        <f>_xll.qlCalendarAdvance(Calendar,X3490,NDays&amp;"D")</f>
        <v>63741</v>
      </c>
      <c r="Z3490" s="132">
        <v>1.4500664392293271E-2</v>
      </c>
      <c r="AA3490" s="129">
        <v>1.4470391405492222E-2</v>
      </c>
    </row>
    <row r="3491" spans="19:27" x14ac:dyDescent="0.2">
      <c r="S3491" s="1"/>
      <c r="T3491" s="109"/>
      <c r="W3491" s="130" t="str">
        <f t="shared" si="64"/>
        <v>1w</v>
      </c>
      <c r="X3491" s="128">
        <f>_xll.qlCalendarAdvance(Calendar,X3490,W3491,"f",FALSE)</f>
        <v>63746</v>
      </c>
      <c r="Y3491" s="131">
        <f>_xll.qlCalendarAdvance(Calendar,X3491,NDays&amp;"D")</f>
        <v>63748</v>
      </c>
      <c r="Z3491" s="132">
        <v>1.4501219043030525E-2</v>
      </c>
      <c r="AA3491" s="129">
        <v>1.4471009940102419E-2</v>
      </c>
    </row>
    <row r="3492" spans="19:27" x14ac:dyDescent="0.2">
      <c r="S3492" s="1"/>
      <c r="T3492" s="109"/>
      <c r="W3492" s="130" t="str">
        <f t="shared" si="64"/>
        <v>1w</v>
      </c>
      <c r="X3492" s="128">
        <f>_xll.qlCalendarAdvance(Calendar,X3491,W3492,"f",FALSE)</f>
        <v>63753</v>
      </c>
      <c r="Y3492" s="131">
        <f>_xll.qlCalendarAdvance(Calendar,X3492,NDays&amp;"D")</f>
        <v>63755</v>
      </c>
      <c r="Z3492" s="132">
        <v>1.4501763516766408E-2</v>
      </c>
      <c r="AA3492" s="129">
        <v>1.4471618334823688E-2</v>
      </c>
    </row>
    <row r="3493" spans="19:27" x14ac:dyDescent="0.2">
      <c r="S3493" s="1"/>
      <c r="T3493" s="109"/>
      <c r="W3493" s="130" t="str">
        <f t="shared" si="64"/>
        <v>1w</v>
      </c>
      <c r="X3493" s="128">
        <f>_xll.qlCalendarAdvance(Calendar,X3492,W3493,"f",FALSE)</f>
        <v>63760</v>
      </c>
      <c r="Y3493" s="131">
        <f>_xll.qlCalendarAdvance(Calendar,X3493,NDays&amp;"D")</f>
        <v>63762</v>
      </c>
      <c r="Z3493" s="132">
        <v>1.4502297813500074E-2</v>
      </c>
      <c r="AA3493" s="129">
        <v>1.4472216589602738E-2</v>
      </c>
    </row>
    <row r="3494" spans="19:27" x14ac:dyDescent="0.2">
      <c r="S3494" s="1"/>
      <c r="T3494" s="109"/>
      <c r="W3494" s="130" t="str">
        <f t="shared" si="64"/>
        <v>1w</v>
      </c>
      <c r="X3494" s="128">
        <f>_xll.qlCalendarAdvance(Calendar,X3493,W3494,"f",FALSE)</f>
        <v>63767</v>
      </c>
      <c r="Y3494" s="131">
        <f>_xll.qlCalendarAdvance(Calendar,X3494,NDays&amp;"D")</f>
        <v>63769</v>
      </c>
      <c r="Z3494" s="132">
        <v>1.4502821933224715E-2</v>
      </c>
      <c r="AA3494" s="129">
        <v>1.4472804704492859E-2</v>
      </c>
    </row>
    <row r="3495" spans="19:27" x14ac:dyDescent="0.2">
      <c r="S3495" s="1"/>
      <c r="T3495" s="109"/>
      <c r="W3495" s="130" t="str">
        <f t="shared" si="64"/>
        <v>1w</v>
      </c>
      <c r="X3495" s="128">
        <f>_xll.qlCalendarAdvance(Calendar,X3494,W3495,"f",FALSE)</f>
        <v>63774</v>
      </c>
      <c r="Y3495" s="131">
        <f>_xll.qlCalendarAdvance(Calendar,X3495,NDays&amp;"D")</f>
        <v>63776</v>
      </c>
      <c r="Z3495" s="132">
        <v>1.4503335875936083E-2</v>
      </c>
      <c r="AA3495" s="129">
        <v>1.4473382679440761E-2</v>
      </c>
    </row>
    <row r="3496" spans="19:27" x14ac:dyDescent="0.2">
      <c r="S3496" s="1"/>
      <c r="T3496" s="109"/>
      <c r="W3496" s="130" t="str">
        <f t="shared" si="64"/>
        <v>1w</v>
      </c>
      <c r="X3496" s="128">
        <f>_xll.qlCalendarAdvance(Calendar,X3495,W3496,"f",FALSE)</f>
        <v>63781</v>
      </c>
      <c r="Y3496" s="131">
        <f>_xll.qlCalendarAdvance(Calendar,X3496,NDays&amp;"D")</f>
        <v>63783</v>
      </c>
      <c r="Z3496" s="132">
        <v>1.4503839641629924E-2</v>
      </c>
      <c r="AA3496" s="129">
        <v>1.4473950514526379E-2</v>
      </c>
    </row>
    <row r="3497" spans="19:27" x14ac:dyDescent="0.2">
      <c r="S3497" s="1"/>
      <c r="T3497" s="109"/>
      <c r="W3497" s="130" t="str">
        <f t="shared" si="64"/>
        <v>1w</v>
      </c>
      <c r="X3497" s="128">
        <f>_xll.qlCalendarAdvance(Calendar,X3496,W3497,"f",FALSE)</f>
        <v>63788</v>
      </c>
      <c r="Y3497" s="131">
        <f>_xll.qlCalendarAdvance(Calendar,X3497,NDays&amp;"D")</f>
        <v>63790</v>
      </c>
      <c r="Z3497" s="132">
        <v>1.4504333230305387E-2</v>
      </c>
      <c r="AA3497" s="129">
        <v>1.4474508209696424E-2</v>
      </c>
    </row>
    <row r="3498" spans="19:27" x14ac:dyDescent="0.2">
      <c r="S3498" s="1"/>
      <c r="T3498" s="109"/>
      <c r="W3498" s="130" t="str">
        <f t="shared" si="64"/>
        <v>1w</v>
      </c>
      <c r="X3498" s="128">
        <f>_xll.qlCalendarAdvance(Calendar,X3497,W3498,"f",FALSE)</f>
        <v>63795</v>
      </c>
      <c r="Y3498" s="131">
        <f>_xll.qlCalendarAdvance(Calendar,X3498,NDays&amp;"D")</f>
        <v>63797</v>
      </c>
      <c r="Z3498" s="132">
        <v>1.4503843241313451E-2</v>
      </c>
      <c r="AA3498" s="129">
        <v>1.4475055764950895E-2</v>
      </c>
    </row>
    <row r="3499" spans="19:27" x14ac:dyDescent="0.2">
      <c r="S3499" s="1"/>
      <c r="T3499" s="109"/>
      <c r="W3499" s="130" t="str">
        <f t="shared" si="64"/>
        <v>1w</v>
      </c>
      <c r="X3499" s="128">
        <f>_xll.qlCalendarAdvance(Calendar,X3498,W3499,"f",FALSE)</f>
        <v>63802</v>
      </c>
      <c r="Y3499" s="131">
        <f>_xll.qlCalendarAdvance(Calendar,X3499,NDays&amp;"D")</f>
        <v>63804</v>
      </c>
      <c r="Z3499" s="132">
        <v>1.4504318599371423E-2</v>
      </c>
      <c r="AA3499" s="129">
        <v>1.4475593180289792E-2</v>
      </c>
    </row>
    <row r="3500" spans="19:27" x14ac:dyDescent="0.2">
      <c r="S3500" s="1"/>
      <c r="T3500" s="109"/>
      <c r="W3500" s="130" t="str">
        <f t="shared" si="64"/>
        <v>1w</v>
      </c>
      <c r="X3500" s="128">
        <f>_xll.qlCalendarAdvance(Calendar,X3499,W3500,"f",FALSE)</f>
        <v>63809</v>
      </c>
      <c r="Y3500" s="131">
        <f>_xll.qlCalendarAdvance(Calendar,X3500,NDays&amp;"D")</f>
        <v>63811</v>
      </c>
      <c r="Z3500" s="132">
        <v>1.4504783781627215E-2</v>
      </c>
      <c r="AA3500" s="129">
        <v>1.447612045568647E-2</v>
      </c>
    </row>
    <row r="3501" spans="19:27" x14ac:dyDescent="0.2">
      <c r="S3501" s="1"/>
      <c r="T3501" s="109"/>
      <c r="W3501" s="130" t="str">
        <f t="shared" si="64"/>
        <v>1w</v>
      </c>
      <c r="X3501" s="128">
        <f>_xll.qlCalendarAdvance(Calendar,X3500,W3501,"f",FALSE)</f>
        <v>63816</v>
      </c>
      <c r="Y3501" s="131">
        <f>_xll.qlCalendarAdvance(Calendar,X3501,NDays&amp;"D")</f>
        <v>63818</v>
      </c>
      <c r="Z3501" s="132">
        <v>1.4505238788072921E-2</v>
      </c>
      <c r="AA3501" s="129">
        <v>1.4476637591220864E-2</v>
      </c>
    </row>
    <row r="3502" spans="19:27" x14ac:dyDescent="0.2">
      <c r="S3502" s="1"/>
      <c r="T3502" s="109"/>
      <c r="W3502" s="130" t="str">
        <f t="shared" si="64"/>
        <v>1w</v>
      </c>
      <c r="X3502" s="128">
        <f>_xll.qlCalendarAdvance(Calendar,X3501,W3502,"f",FALSE)</f>
        <v>63823</v>
      </c>
      <c r="Y3502" s="131">
        <f>_xll.qlCalendarAdvance(Calendar,X3502,NDays&amp;"D")</f>
        <v>63825</v>
      </c>
      <c r="Z3502" s="132">
        <v>1.4506648518230173E-2</v>
      </c>
      <c r="AA3502" s="129">
        <v>1.447714458681304E-2</v>
      </c>
    </row>
    <row r="3503" spans="19:27" x14ac:dyDescent="0.2">
      <c r="S3503" s="1"/>
      <c r="T3503" s="109"/>
      <c r="W3503" s="130" t="str">
        <f t="shared" si="64"/>
        <v>1w</v>
      </c>
      <c r="X3503" s="128">
        <f>_xll.qlCalendarAdvance(Calendar,X3502,W3503,"f",FALSE)</f>
        <v>63830</v>
      </c>
      <c r="Y3503" s="131">
        <f>_xll.qlCalendarAdvance(Calendar,X3503,NDays&amp;"D")</f>
        <v>63832</v>
      </c>
      <c r="Z3503" s="132">
        <v>1.4507081044700982E-2</v>
      </c>
      <c r="AA3503" s="129">
        <v>1.4477641442542932E-2</v>
      </c>
    </row>
    <row r="3504" spans="19:27" x14ac:dyDescent="0.2">
      <c r="S3504" s="1"/>
      <c r="T3504" s="109"/>
      <c r="W3504" s="130" t="str">
        <f t="shared" si="64"/>
        <v>1w</v>
      </c>
      <c r="X3504" s="128">
        <f>_xll.qlCalendarAdvance(Calendar,X3503,W3504,"f",FALSE)</f>
        <v>63837</v>
      </c>
      <c r="Y3504" s="131">
        <f>_xll.qlCalendarAdvance(Calendar,X3504,NDays&amp;"D")</f>
        <v>63839</v>
      </c>
      <c r="Z3504" s="132">
        <v>1.4507503394124502E-2</v>
      </c>
      <c r="AA3504" s="129">
        <v>1.447812815830396E-2</v>
      </c>
    </row>
    <row r="3505" spans="19:27" x14ac:dyDescent="0.2">
      <c r="S3505" s="1"/>
      <c r="T3505" s="109"/>
      <c r="W3505" s="130" t="str">
        <f t="shared" si="64"/>
        <v>1w</v>
      </c>
      <c r="X3505" s="128">
        <f>_xll.qlCalendarAdvance(Calendar,X3504,W3505,"f",FALSE)</f>
        <v>63844</v>
      </c>
      <c r="Y3505" s="131">
        <f>_xll.qlCalendarAdvance(Calendar,X3505,NDays&amp;"D")</f>
        <v>63846</v>
      </c>
      <c r="Z3505" s="132">
        <v>1.4507915566499031E-2</v>
      </c>
      <c r="AA3505" s="129">
        <v>1.4478604734202705E-2</v>
      </c>
    </row>
    <row r="3506" spans="19:27" x14ac:dyDescent="0.2">
      <c r="S3506" s="1"/>
      <c r="T3506" s="109"/>
      <c r="W3506" s="130" t="str">
        <f t="shared" si="64"/>
        <v>1w</v>
      </c>
      <c r="X3506" s="128">
        <f>_xll.qlCalendarAdvance(Calendar,X3505,W3506,"f",FALSE)</f>
        <v>63851</v>
      </c>
      <c r="Y3506" s="131">
        <f>_xll.qlCalendarAdvance(Calendar,X3506,NDays&amp;"D")</f>
        <v>63853</v>
      </c>
      <c r="Z3506" s="132">
        <v>1.4508317561819467E-2</v>
      </c>
      <c r="AA3506" s="129">
        <v>1.447907117015923E-2</v>
      </c>
    </row>
    <row r="3507" spans="19:27" x14ac:dyDescent="0.2">
      <c r="S3507" s="1"/>
      <c r="T3507" s="109"/>
      <c r="W3507" s="130" t="str">
        <f t="shared" si="64"/>
        <v>1w</v>
      </c>
      <c r="X3507" s="128">
        <f>_xll.qlCalendarAdvance(Calendar,X3506,W3507,"f",FALSE)</f>
        <v>63858</v>
      </c>
      <c r="Y3507" s="131">
        <f>_xll.qlCalendarAdvance(Calendar,X3507,NDays&amp;"D")</f>
        <v>63860</v>
      </c>
      <c r="Z3507" s="132">
        <v>1.450870938008496E-2</v>
      </c>
      <c r="AA3507" s="129">
        <v>1.4479527466253472E-2</v>
      </c>
    </row>
    <row r="3508" spans="19:27" x14ac:dyDescent="0.2">
      <c r="S3508" s="1"/>
      <c r="T3508" s="109"/>
      <c r="W3508" s="130" t="str">
        <f t="shared" si="64"/>
        <v>1w</v>
      </c>
      <c r="X3508" s="128">
        <f>_xll.qlCalendarAdvance(Calendar,X3507,W3508,"f",FALSE)</f>
        <v>63865</v>
      </c>
      <c r="Y3508" s="131">
        <f>_xll.qlCalendarAdvance(Calendar,X3508,NDays&amp;"D")</f>
        <v>63867</v>
      </c>
      <c r="Z3508" s="132">
        <v>1.4509091021289555E-2</v>
      </c>
      <c r="AA3508" s="129">
        <v>1.4479973622405495E-2</v>
      </c>
    </row>
    <row r="3509" spans="19:27" x14ac:dyDescent="0.2">
      <c r="S3509" s="1"/>
      <c r="T3509" s="109"/>
      <c r="W3509" s="130" t="str">
        <f t="shared" si="64"/>
        <v>1w</v>
      </c>
      <c r="X3509" s="128">
        <f>_xll.qlCalendarAdvance(Calendar,X3508,W3509,"f",FALSE)</f>
        <v>63872</v>
      </c>
      <c r="Y3509" s="131">
        <f>_xll.qlCalendarAdvance(Calendar,X3509,NDays&amp;"D")</f>
        <v>63874</v>
      </c>
      <c r="Z3509" s="132">
        <v>1.4509462485432405E-2</v>
      </c>
      <c r="AA3509" s="129">
        <v>1.4480409638615299E-2</v>
      </c>
    </row>
    <row r="3510" spans="19:27" x14ac:dyDescent="0.2">
      <c r="S3510" s="1"/>
      <c r="T3510" s="109"/>
      <c r="W3510" s="130" t="str">
        <f t="shared" si="64"/>
        <v>1w</v>
      </c>
      <c r="X3510" s="128">
        <f>_xll.qlCalendarAdvance(Calendar,X3509,W3510,"f",FALSE)</f>
        <v>63879</v>
      </c>
      <c r="Y3510" s="131">
        <f>_xll.qlCalendarAdvance(Calendar,X3510,NDays&amp;"D")</f>
        <v>63881</v>
      </c>
      <c r="Z3510" s="132">
        <v>1.4509823772510106E-2</v>
      </c>
      <c r="AA3510" s="129">
        <v>1.4480835514936174E-2</v>
      </c>
    </row>
    <row r="3511" spans="19:27" x14ac:dyDescent="0.2">
      <c r="S3511" s="1"/>
      <c r="T3511" s="109"/>
      <c r="W3511" s="130" t="str">
        <f t="shared" si="64"/>
        <v>1w</v>
      </c>
      <c r="X3511" s="128">
        <f>_xll.qlCalendarAdvance(Calendar,X3510,W3511,"f",FALSE)</f>
        <v>63886</v>
      </c>
      <c r="Y3511" s="131">
        <f>_xll.qlCalendarAdvance(Calendar,X3511,NDays&amp;"D")</f>
        <v>63888</v>
      </c>
      <c r="Z3511" s="132">
        <v>1.4508913829847536E-2</v>
      </c>
      <c r="AA3511" s="129">
        <v>1.4481251251341476E-2</v>
      </c>
    </row>
    <row r="3512" spans="19:27" x14ac:dyDescent="0.2">
      <c r="S3512" s="1"/>
      <c r="T3512" s="109"/>
      <c r="W3512" s="130" t="str">
        <f t="shared" si="64"/>
        <v>1w</v>
      </c>
      <c r="X3512" s="128">
        <f>_xll.qlCalendarAdvance(Calendar,X3511,W3512,"f",FALSE)</f>
        <v>63893</v>
      </c>
      <c r="Y3512" s="131">
        <f>_xll.qlCalendarAdvance(Calendar,X3512,NDays&amp;"D")</f>
        <v>63895</v>
      </c>
      <c r="Z3512" s="132">
        <v>1.4509257615196169E-2</v>
      </c>
      <c r="AA3512" s="129">
        <v>1.4481656847884494E-2</v>
      </c>
    </row>
    <row r="3513" spans="19:27" x14ac:dyDescent="0.2">
      <c r="S3513" s="1"/>
      <c r="T3513" s="109"/>
      <c r="W3513" s="130" t="str">
        <f t="shared" si="64"/>
        <v>1w</v>
      </c>
      <c r="X3513" s="128">
        <f>_xll.qlCalendarAdvance(Calendar,X3512,W3513,"f",FALSE)</f>
        <v>63900</v>
      </c>
      <c r="Y3513" s="131">
        <f>_xll.qlCalendarAdvance(Calendar,X3513,NDays&amp;"D")</f>
        <v>63902</v>
      </c>
      <c r="Z3513" s="132">
        <v>1.4509591225104757E-2</v>
      </c>
      <c r="AA3513" s="129">
        <v>1.4482052304405357E-2</v>
      </c>
    </row>
    <row r="3514" spans="19:27" x14ac:dyDescent="0.2">
      <c r="S3514" s="1"/>
      <c r="T3514" s="109"/>
      <c r="W3514" s="130" t="str">
        <f t="shared" si="64"/>
        <v>1w</v>
      </c>
      <c r="X3514" s="128">
        <f>_xll.qlCalendarAdvance(Calendar,X3513,W3514,"f",FALSE)</f>
        <v>63907</v>
      </c>
      <c r="Y3514" s="131">
        <f>_xll.qlCalendarAdvance(Calendar,X3514,NDays&amp;"D")</f>
        <v>63909</v>
      </c>
      <c r="Z3514" s="132">
        <v>1.450991465957685E-2</v>
      </c>
      <c r="AA3514" s="129">
        <v>1.4482437621117228E-2</v>
      </c>
    </row>
    <row r="3515" spans="19:27" x14ac:dyDescent="0.2">
      <c r="S3515" s="1"/>
      <c r="T3515" s="109"/>
      <c r="W3515" s="130" t="str">
        <f t="shared" si="64"/>
        <v>1w</v>
      </c>
      <c r="X3515" s="128">
        <f>_xll.qlCalendarAdvance(Calendar,X3514,W3515,"f",FALSE)</f>
        <v>63915</v>
      </c>
      <c r="Y3515" s="131">
        <f>_xll.qlCalendarAdvance(Calendar,X3515,NDays&amp;"D")</f>
        <v>63919</v>
      </c>
      <c r="Z3515" s="132">
        <v>1.4509734494861624E-2</v>
      </c>
      <c r="AA3515" s="129">
        <v>1.448265306364771E-2</v>
      </c>
    </row>
    <row r="3516" spans="19:27" x14ac:dyDescent="0.2">
      <c r="S3516" s="1"/>
      <c r="T3516" s="109"/>
      <c r="W3516" s="130" t="str">
        <f t="shared" si="64"/>
        <v>1w</v>
      </c>
      <c r="X3516" s="128">
        <f>_xll.qlCalendarAdvance(Calendar,X3515,W3516,"f",FALSE)</f>
        <v>63922</v>
      </c>
      <c r="Y3516" s="131">
        <f>_xll.qlCalendarAdvance(Calendar,X3516,NDays&amp;"D")</f>
        <v>63926</v>
      </c>
      <c r="Z3516" s="132">
        <v>1.4511280674142913E-2</v>
      </c>
      <c r="AA3516" s="129">
        <v>1.4482697694946367E-2</v>
      </c>
    </row>
    <row r="3517" spans="19:27" x14ac:dyDescent="0.2">
      <c r="S3517" s="1"/>
      <c r="T3517" s="109"/>
      <c r="W3517" s="130" t="str">
        <f t="shared" si="64"/>
        <v>1w</v>
      </c>
      <c r="X3517" s="128">
        <f>_xll.qlCalendarAdvance(Calendar,X3516,W3517,"f",FALSE)</f>
        <v>63929</v>
      </c>
      <c r="Y3517" s="131">
        <f>_xll.qlCalendarAdvance(Calendar,X3517,NDays&amp;"D")</f>
        <v>63933</v>
      </c>
      <c r="Z3517" s="132">
        <v>1.4511257089093538E-2</v>
      </c>
      <c r="AA3517" s="129">
        <v>1.4483049666438319E-2</v>
      </c>
    </row>
    <row r="3518" spans="19:27" x14ac:dyDescent="0.2">
      <c r="S3518" s="1"/>
      <c r="T3518" s="109"/>
      <c r="W3518" s="130" t="str">
        <f t="shared" si="64"/>
        <v>1w</v>
      </c>
      <c r="X3518" s="128">
        <f>_xll.qlCalendarAdvance(Calendar,X3517,W3518,"f",FALSE)</f>
        <v>63936</v>
      </c>
      <c r="Y3518" s="131">
        <f>_xll.qlCalendarAdvance(Calendar,X3518,NDays&amp;"D")</f>
        <v>63940</v>
      </c>
      <c r="Z3518" s="132">
        <v>1.451153474523074E-2</v>
      </c>
      <c r="AA3518" s="129">
        <v>1.4483391498840703E-2</v>
      </c>
    </row>
    <row r="3519" spans="19:27" x14ac:dyDescent="0.2">
      <c r="S3519" s="1"/>
      <c r="T3519" s="109"/>
      <c r="W3519" s="130" t="str">
        <f t="shared" si="64"/>
        <v>1w</v>
      </c>
      <c r="X3519" s="128">
        <f>_xll.qlCalendarAdvance(Calendar,X3518,W3519,"f",FALSE)</f>
        <v>63943</v>
      </c>
      <c r="Y3519" s="131">
        <f>_xll.qlCalendarAdvance(Calendar,X3519,NDays&amp;"D")</f>
        <v>63947</v>
      </c>
      <c r="Z3519" s="132">
        <v>1.4511802225506911E-2</v>
      </c>
      <c r="AA3519" s="129">
        <v>1.4483723192153519E-2</v>
      </c>
    </row>
    <row r="3520" spans="19:27" x14ac:dyDescent="0.2">
      <c r="S3520" s="1"/>
      <c r="T3520" s="109"/>
      <c r="W3520" s="130" t="str">
        <f t="shared" si="64"/>
        <v>1w</v>
      </c>
      <c r="X3520" s="128">
        <f>_xll.qlCalendarAdvance(Calendar,X3519,W3520,"f",FALSE)</f>
        <v>63950</v>
      </c>
      <c r="Y3520" s="131">
        <f>_xll.qlCalendarAdvance(Calendar,X3520,NDays&amp;"D")</f>
        <v>63954</v>
      </c>
      <c r="Z3520" s="132">
        <v>1.4512059529919411E-2</v>
      </c>
      <c r="AA3520" s="129">
        <v>1.4484044746296831E-2</v>
      </c>
    </row>
    <row r="3521" spans="19:27" x14ac:dyDescent="0.2">
      <c r="S3521" s="1"/>
      <c r="T3521" s="109"/>
      <c r="W3521" s="130" t="str">
        <f t="shared" si="64"/>
        <v>1w</v>
      </c>
      <c r="X3521" s="128">
        <f>_xll.qlCalendarAdvance(Calendar,X3520,W3521,"f",FALSE)</f>
        <v>63957</v>
      </c>
      <c r="Y3521" s="131">
        <f>_xll.qlCalendarAdvance(Calendar,X3521,NDays&amp;"D")</f>
        <v>63961</v>
      </c>
      <c r="Z3521" s="132">
        <v>1.4512306658467367E-2</v>
      </c>
      <c r="AA3521" s="129">
        <v>1.4484356161510448E-2</v>
      </c>
    </row>
    <row r="3522" spans="19:27" x14ac:dyDescent="0.2">
      <c r="S3522" s="1"/>
      <c r="T3522" s="109"/>
      <c r="W3522" s="130" t="str">
        <f t="shared" si="64"/>
        <v>1w</v>
      </c>
      <c r="X3522" s="128">
        <f>_xll.qlCalendarAdvance(Calendar,X3521,W3522,"f",FALSE)</f>
        <v>63964</v>
      </c>
      <c r="Y3522" s="131">
        <f>_xll.qlCalendarAdvance(Calendar,X3522,NDays&amp;"D")</f>
        <v>63968</v>
      </c>
      <c r="Z3522" s="132">
        <v>1.451254361114902E-2</v>
      </c>
      <c r="AA3522" s="129">
        <v>1.448465743755456E-2</v>
      </c>
    </row>
    <row r="3523" spans="19:27" x14ac:dyDescent="0.2">
      <c r="S3523" s="1"/>
      <c r="T3523" s="109"/>
      <c r="W3523" s="130" t="str">
        <f t="shared" si="64"/>
        <v>1w</v>
      </c>
      <c r="X3523" s="128">
        <f>_xll.qlCalendarAdvance(Calendar,X3522,W3523,"f",FALSE)</f>
        <v>63971</v>
      </c>
      <c r="Y3523" s="131">
        <f>_xll.qlCalendarAdvance(Calendar,X3523,NDays&amp;"D")</f>
        <v>63975</v>
      </c>
      <c r="Z3523" s="132">
        <v>1.4512770387959974E-2</v>
      </c>
      <c r="AA3523" s="129">
        <v>1.4484948574429168E-2</v>
      </c>
    </row>
    <row r="3524" spans="19:27" x14ac:dyDescent="0.2">
      <c r="S3524" s="1"/>
      <c r="T3524" s="109"/>
      <c r="W3524" s="130" t="str">
        <f t="shared" si="64"/>
        <v>1w</v>
      </c>
      <c r="X3524" s="128">
        <f>_xll.qlCalendarAdvance(Calendar,X3523,W3524,"f",FALSE)</f>
        <v>63978</v>
      </c>
      <c r="Y3524" s="131">
        <f>_xll.qlCalendarAdvance(Calendar,X3524,NDays&amp;"D")</f>
        <v>63982</v>
      </c>
      <c r="Z3524" s="132">
        <v>1.4513292672121571E-2</v>
      </c>
      <c r="AA3524" s="129">
        <v>1.4485229572294145E-2</v>
      </c>
    </row>
    <row r="3525" spans="19:27" x14ac:dyDescent="0.2">
      <c r="S3525" s="1"/>
      <c r="T3525" s="109"/>
      <c r="W3525" s="130" t="str">
        <f t="shared" si="64"/>
        <v>1w</v>
      </c>
      <c r="X3525" s="128">
        <f>_xll.qlCalendarAdvance(Calendar,X3524,W3525,"f",FALSE)</f>
        <v>63985</v>
      </c>
      <c r="Y3525" s="131">
        <f>_xll.qlCalendarAdvance(Calendar,X3525,NDays&amp;"D")</f>
        <v>63989</v>
      </c>
      <c r="Z3525" s="132">
        <v>1.4513498378620362E-2</v>
      </c>
      <c r="AA3525" s="129">
        <v>1.4485500430989617E-2</v>
      </c>
    </row>
    <row r="3526" spans="19:27" x14ac:dyDescent="0.2">
      <c r="S3526" s="1"/>
      <c r="T3526" s="109"/>
      <c r="W3526" s="130" t="str">
        <f t="shared" si="64"/>
        <v>1w</v>
      </c>
      <c r="X3526" s="128">
        <f>_xll.qlCalendarAdvance(Calendar,X3525,W3526,"f",FALSE)</f>
        <v>63992</v>
      </c>
      <c r="Y3526" s="131">
        <f>_xll.qlCalendarAdvance(Calendar,X3526,NDays&amp;"D")</f>
        <v>63996</v>
      </c>
      <c r="Z3526" s="132">
        <v>1.451369390883586E-2</v>
      </c>
      <c r="AA3526" s="129">
        <v>1.4485761150675458E-2</v>
      </c>
    </row>
    <row r="3527" spans="19:27" x14ac:dyDescent="0.2">
      <c r="S3527" s="1"/>
      <c r="T3527" s="109"/>
      <c r="W3527" s="130" t="str">
        <f t="shared" si="64"/>
        <v>1w</v>
      </c>
      <c r="X3527" s="128">
        <f>_xll.qlCalendarAdvance(Calendar,X3526,W3527,"f",FALSE)</f>
        <v>63999</v>
      </c>
      <c r="Y3527" s="131">
        <f>_xll.qlCalendarAdvance(Calendar,X3527,NDays&amp;"D")</f>
        <v>64003</v>
      </c>
      <c r="Z3527" s="132">
        <v>1.4513879262766325E-2</v>
      </c>
      <c r="AA3527" s="129">
        <v>1.4486011731191795E-2</v>
      </c>
    </row>
    <row r="3528" spans="19:27" x14ac:dyDescent="0.2">
      <c r="S3528" s="1"/>
      <c r="T3528" s="109"/>
      <c r="W3528" s="130" t="str">
        <f t="shared" si="64"/>
        <v>1w</v>
      </c>
      <c r="X3528" s="128">
        <f>_xll.qlCalendarAdvance(Calendar,X3527,W3528,"f",FALSE)</f>
        <v>64006</v>
      </c>
      <c r="Y3528" s="131">
        <f>_xll.qlCalendarAdvance(Calendar,X3528,NDays&amp;"D")</f>
        <v>64010</v>
      </c>
      <c r="Z3528" s="132">
        <v>1.4513751633931484E-2</v>
      </c>
      <c r="AA3528" s="129">
        <v>1.4486252172618563E-2</v>
      </c>
    </row>
    <row r="3529" spans="19:27" x14ac:dyDescent="0.2">
      <c r="S3529" s="1"/>
      <c r="T3529" s="109"/>
      <c r="W3529" s="130" t="str">
        <f t="shared" si="64"/>
        <v>1w</v>
      </c>
      <c r="X3529" s="128">
        <f>_xll.qlCalendarAdvance(Calendar,X3528,W3529,"f",FALSE)</f>
        <v>64013</v>
      </c>
      <c r="Y3529" s="131">
        <f>_xll.qlCalendarAdvance(Calendar,X3529,NDays&amp;"D")</f>
        <v>64019</v>
      </c>
      <c r="Z3529" s="132">
        <v>1.4513962835476528E-2</v>
      </c>
      <c r="AA3529" s="129">
        <v>1.4486546413410295E-2</v>
      </c>
    </row>
    <row r="3530" spans="19:27" x14ac:dyDescent="0.2">
      <c r="S3530" s="1"/>
      <c r="T3530" s="109"/>
      <c r="W3530" s="130" t="str">
        <f t="shared" si="64"/>
        <v>1w</v>
      </c>
      <c r="X3530" s="128">
        <f>_xll.qlCalendarAdvance(Calendar,X3529,W3530,"f",FALSE)</f>
        <v>64020</v>
      </c>
      <c r="Y3530" s="131">
        <f>_xll.qlCalendarAdvance(Calendar,X3530,NDays&amp;"D")</f>
        <v>64024</v>
      </c>
      <c r="Z3530" s="132">
        <v>1.4514072901183407E-2</v>
      </c>
      <c r="AA3530" s="129">
        <v>1.4486702638283333E-2</v>
      </c>
    </row>
    <row r="3531" spans="19:27" x14ac:dyDescent="0.2">
      <c r="S3531" s="1"/>
      <c r="T3531" s="109"/>
      <c r="W3531" s="130" t="str">
        <f t="shared" si="64"/>
        <v>1w</v>
      </c>
      <c r="X3531" s="128">
        <f>_xll.qlCalendarAdvance(Calendar,X3530,W3531,"f",FALSE)</f>
        <v>64027</v>
      </c>
      <c r="Y3531" s="131">
        <f>_xll.qlCalendarAdvance(Calendar,X3531,NDays&amp;"D")</f>
        <v>64031</v>
      </c>
      <c r="Z3531" s="132">
        <v>1.451421827098927E-2</v>
      </c>
      <c r="AA3531" s="129">
        <v>1.4486912662361462E-2</v>
      </c>
    </row>
    <row r="3532" spans="19:27" x14ac:dyDescent="0.2">
      <c r="S3532" s="1"/>
      <c r="T3532" s="109"/>
      <c r="W3532" s="130" t="str">
        <f t="shared" si="64"/>
        <v>1w</v>
      </c>
      <c r="X3532" s="128">
        <f>_xll.qlCalendarAdvance(Calendar,X3531,W3532,"f",FALSE)</f>
        <v>64034</v>
      </c>
      <c r="Y3532" s="131">
        <f>_xll.qlCalendarAdvance(Calendar,X3532,NDays&amp;"D")</f>
        <v>64038</v>
      </c>
      <c r="Z3532" s="132">
        <v>1.4514353464913018E-2</v>
      </c>
      <c r="AA3532" s="129">
        <v>1.4487112547429959E-2</v>
      </c>
    </row>
    <row r="3533" spans="19:27" x14ac:dyDescent="0.2">
      <c r="S3533" s="1"/>
      <c r="T3533" s="109"/>
      <c r="W3533" s="130" t="str">
        <f t="shared" si="64"/>
        <v>1w</v>
      </c>
      <c r="X3533" s="128">
        <f>_xll.qlCalendarAdvance(Calendar,X3532,W3533,"f",FALSE)</f>
        <v>64041</v>
      </c>
      <c r="Y3533" s="131">
        <f>_xll.qlCalendarAdvance(Calendar,X3533,NDays&amp;"D")</f>
        <v>64045</v>
      </c>
      <c r="Z3533" s="132">
        <v>1.451477768429567E-2</v>
      </c>
      <c r="AA3533" s="129">
        <v>1.4487302293408888E-2</v>
      </c>
    </row>
    <row r="3534" spans="19:27" x14ac:dyDescent="0.2">
      <c r="S3534" s="1"/>
      <c r="T3534" s="109"/>
      <c r="W3534" s="130" t="str">
        <f t="shared" si="64"/>
        <v>1w</v>
      </c>
      <c r="X3534" s="128">
        <f>_xll.qlCalendarAdvance(Calendar,X3533,W3534,"f",FALSE)</f>
        <v>64048</v>
      </c>
      <c r="Y3534" s="131">
        <f>_xll.qlCalendarAdvance(Calendar,X3534,NDays&amp;"D")</f>
        <v>64052</v>
      </c>
      <c r="Z3534" s="132">
        <v>1.4514891804197894E-2</v>
      </c>
      <c r="AA3534" s="129">
        <v>1.4487481900298249E-2</v>
      </c>
    </row>
    <row r="3535" spans="19:27" x14ac:dyDescent="0.2">
      <c r="S3535" s="1"/>
      <c r="T3535" s="109"/>
      <c r="W3535" s="130" t="str">
        <f t="shared" si="64"/>
        <v>1w</v>
      </c>
      <c r="X3535" s="128">
        <f>_xll.qlCalendarAdvance(Calendar,X3534,W3535,"f",FALSE)</f>
        <v>64055</v>
      </c>
      <c r="Y3535" s="131">
        <f>_xll.qlCalendarAdvance(Calendar,X3535,NDays&amp;"D")</f>
        <v>64059</v>
      </c>
      <c r="Z3535" s="132">
        <v>1.4514995747804659E-2</v>
      </c>
      <c r="AA3535" s="129">
        <v>1.448765136793817E-2</v>
      </c>
    </row>
    <row r="3536" spans="19:27" x14ac:dyDescent="0.2">
      <c r="S3536" s="1"/>
      <c r="T3536" s="109"/>
      <c r="W3536" s="130" t="str">
        <f t="shared" si="64"/>
        <v>1w</v>
      </c>
      <c r="X3536" s="128">
        <f>_xll.qlCalendarAdvance(Calendar,X3535,W3536,"f",FALSE)</f>
        <v>64062</v>
      </c>
      <c r="Y3536" s="131">
        <f>_xll.qlCalendarAdvance(Calendar,X3536,NDays&amp;"D")</f>
        <v>64066</v>
      </c>
      <c r="Z3536" s="132">
        <v>1.4515089515117704E-2</v>
      </c>
      <c r="AA3536" s="129">
        <v>1.4487810696648395E-2</v>
      </c>
    </row>
    <row r="3537" spans="2:27" x14ac:dyDescent="0.2">
      <c r="S3537" s="1"/>
      <c r="T3537" s="109"/>
      <c r="W3537" s="130" t="str">
        <f t="shared" si="64"/>
        <v>1w</v>
      </c>
      <c r="X3537" s="128">
        <f>_xll.qlCalendarAdvance(Calendar,X3536,W3537,"f",FALSE)</f>
        <v>64069</v>
      </c>
      <c r="Y3537" s="131">
        <f>_xll.qlCalendarAdvance(Calendar,X3537,NDays&amp;"D")</f>
        <v>64073</v>
      </c>
      <c r="Z3537" s="132">
        <v>1.4515173106135289E-2</v>
      </c>
      <c r="AA3537" s="129">
        <v>1.4487959886269053E-2</v>
      </c>
    </row>
    <row r="3538" spans="2:27" x14ac:dyDescent="0.2">
      <c r="S3538" s="1"/>
      <c r="T3538" s="109"/>
      <c r="W3538" s="130" t="str">
        <f t="shared" si="64"/>
        <v>1w</v>
      </c>
      <c r="X3538" s="128">
        <f>_xll.qlCalendarAdvance(Calendar,X3537,W3538,"f",FALSE)</f>
        <v>64076</v>
      </c>
      <c r="Y3538" s="131">
        <f>_xll.qlCalendarAdvance(Calendar,X3538,NDays&amp;"D")</f>
        <v>64080</v>
      </c>
      <c r="Z3538" s="132">
        <v>1.4515246520856548E-2</v>
      </c>
      <c r="AA3538" s="129">
        <v>1.4488098936800142E-2</v>
      </c>
    </row>
    <row r="3539" spans="2:27" x14ac:dyDescent="0.2">
      <c r="S3539" s="1"/>
      <c r="T3539" s="109"/>
      <c r="W3539" s="130" t="str">
        <f t="shared" si="64"/>
        <v>1w</v>
      </c>
      <c r="X3539" s="128">
        <f>_xll.qlCalendarAdvance(Calendar,X3538,W3539,"f",FALSE)</f>
        <v>64083</v>
      </c>
      <c r="Y3539" s="131">
        <f>_xll.qlCalendarAdvance(Calendar,X3539,NDays&amp;"D")</f>
        <v>64087</v>
      </c>
      <c r="Z3539" s="132">
        <v>1.451530984054517E-2</v>
      </c>
      <c r="AA3539" s="129">
        <v>1.4488227848081792E-2</v>
      </c>
    </row>
    <row r="3540" spans="2:27" x14ac:dyDescent="0.2">
      <c r="S3540" s="1"/>
      <c r="T3540" s="109"/>
      <c r="W3540" s="130" t="str">
        <f t="shared" si="64"/>
        <v>1w</v>
      </c>
      <c r="X3540" s="128">
        <f>_xll.qlCalendarAdvance(Calendar,X3539,W3540,"f",FALSE)</f>
        <v>64090</v>
      </c>
      <c r="Y3540" s="131">
        <f>_xll.qlCalendarAdvance(Calendar,X3540,NDays&amp;"D")</f>
        <v>64094</v>
      </c>
      <c r="Z3540" s="132" t="e">
        <v>#N/A</v>
      </c>
      <c r="AA3540" s="129">
        <v>1.4488346620353809E-2</v>
      </c>
    </row>
    <row r="3541" spans="2:27" x14ac:dyDescent="0.2">
      <c r="S3541" s="1"/>
      <c r="T3541" s="109"/>
      <c r="W3541" s="130" t="str">
        <f t="shared" ref="W3541:W3552" si="65">W3540</f>
        <v>1w</v>
      </c>
      <c r="X3541" s="128">
        <f>_xll.qlCalendarAdvance(Calendar,X3540,W3541,"f",FALSE)</f>
        <v>64097</v>
      </c>
      <c r="Y3541" s="131">
        <f>_xll.qlCalendarAdvance(Calendar,X3541,NDays&amp;"D")</f>
        <v>64101</v>
      </c>
      <c r="Z3541" s="132" t="e">
        <v>#N/A</v>
      </c>
      <c r="AA3541" s="129">
        <v>1.4488455253616195E-2</v>
      </c>
    </row>
    <row r="3542" spans="2:27" x14ac:dyDescent="0.2">
      <c r="S3542" s="1"/>
      <c r="T3542" s="109"/>
      <c r="W3542" s="130" t="str">
        <f t="shared" si="65"/>
        <v>1w</v>
      </c>
      <c r="X3542" s="128">
        <f>_xll.qlCalendarAdvance(Calendar,X3541,W3542,"f",FALSE)</f>
        <v>64104</v>
      </c>
      <c r="Y3542" s="131">
        <f>_xll.qlCalendarAdvance(Calendar,X3542,NDays&amp;"D")</f>
        <v>64108</v>
      </c>
      <c r="Z3542" s="132" t="e">
        <v>#N/A</v>
      </c>
      <c r="AA3542" s="129">
        <v>1.448855374762914E-2</v>
      </c>
    </row>
    <row r="3543" spans="2:27" x14ac:dyDescent="0.2">
      <c r="B3543" s="128"/>
      <c r="C3543" s="131"/>
      <c r="D3543" s="132"/>
      <c r="E3543" s="132"/>
      <c r="S3543" s="1"/>
      <c r="T3543" s="109"/>
      <c r="W3543" s="130" t="str">
        <f t="shared" si="65"/>
        <v>1w</v>
      </c>
      <c r="X3543" s="128">
        <f>_xll.qlCalendarAdvance(Calendar,X3542,W3543,"f",FALSE)</f>
        <v>64111</v>
      </c>
      <c r="Y3543" s="131">
        <f>_xll.qlCalendarAdvance(Calendar,X3543,NDays&amp;"D")</f>
        <v>64115</v>
      </c>
      <c r="Z3543" s="132" t="e">
        <v>#N/A</v>
      </c>
      <c r="AA3543" s="129">
        <v>1.4488642102632454E-2</v>
      </c>
    </row>
    <row r="3544" spans="2:27" x14ac:dyDescent="0.2">
      <c r="B3544" s="128"/>
      <c r="C3544" s="131"/>
      <c r="D3544" s="132"/>
      <c r="E3544" s="132"/>
      <c r="S3544" s="1"/>
      <c r="T3544" s="109"/>
      <c r="W3544" s="130" t="str">
        <f t="shared" si="65"/>
        <v>1w</v>
      </c>
      <c r="X3544" s="128">
        <f>_xll.qlCalendarAdvance(Calendar,X3543,W3544,"f",FALSE)</f>
        <v>64118</v>
      </c>
      <c r="Y3544" s="131">
        <f>_xll.qlCalendarAdvance(Calendar,X3544,NDays&amp;"D")</f>
        <v>64122</v>
      </c>
      <c r="Z3544" s="132" t="e">
        <v>#N/A</v>
      </c>
      <c r="AA3544" s="129">
        <v>1.4488720318626136E-2</v>
      </c>
    </row>
    <row r="3545" spans="2:27" x14ac:dyDescent="0.2">
      <c r="B3545" s="128"/>
      <c r="C3545" s="131"/>
      <c r="D3545" s="132"/>
      <c r="E3545" s="132"/>
      <c r="S3545" s="1"/>
      <c r="T3545" s="109"/>
      <c r="W3545" s="130" t="str">
        <f t="shared" si="65"/>
        <v>1w</v>
      </c>
      <c r="X3545" s="128">
        <f>_xll.qlCalendarAdvance(Calendar,X3544,W3545,"f",FALSE)</f>
        <v>64125</v>
      </c>
      <c r="Y3545" s="131">
        <f>_xll.qlCalendarAdvance(Calendar,X3545,NDays&amp;"D")</f>
        <v>64129</v>
      </c>
      <c r="Z3545" s="132" t="e">
        <v>#N/A</v>
      </c>
      <c r="AA3545" s="129">
        <v>1.4488788395370378E-2</v>
      </c>
    </row>
    <row r="3546" spans="2:27" x14ac:dyDescent="0.2">
      <c r="B3546" s="128"/>
      <c r="C3546" s="131"/>
      <c r="D3546" s="132"/>
      <c r="E3546" s="132"/>
      <c r="S3546" s="1"/>
      <c r="T3546" s="109"/>
      <c r="W3546" s="130" t="str">
        <f t="shared" si="65"/>
        <v>1w</v>
      </c>
      <c r="X3546" s="128">
        <f>_xll.qlCalendarAdvance(Calendar,X3545,W3546,"f",FALSE)</f>
        <v>64132</v>
      </c>
      <c r="Y3546" s="131">
        <f>_xll.qlCalendarAdvance(Calendar,X3546,NDays&amp;"D")</f>
        <v>64136</v>
      </c>
      <c r="Z3546" s="132" t="e">
        <v>#N/A</v>
      </c>
      <c r="AA3546" s="129">
        <v>1.4488846332945116E-2</v>
      </c>
    </row>
    <row r="3547" spans="2:27" x14ac:dyDescent="0.2">
      <c r="B3547" s="128"/>
      <c r="C3547" s="131"/>
      <c r="D3547" s="132"/>
      <c r="E3547" s="132"/>
      <c r="S3547" s="1"/>
      <c r="T3547" s="109"/>
      <c r="W3547" s="130" t="str">
        <f t="shared" si="65"/>
        <v>1w</v>
      </c>
      <c r="X3547" s="128">
        <f>_xll.qlCalendarAdvance(Calendar,X3546,W3547,"f",FALSE)</f>
        <v>64139</v>
      </c>
      <c r="Y3547" s="131">
        <f>_xll.qlCalendarAdvance(Calendar,X3547,NDays&amp;"D")</f>
        <v>64143</v>
      </c>
      <c r="Z3547" s="132" t="e">
        <v>#N/A</v>
      </c>
      <c r="AA3547" s="129">
        <v>1.4488894131590158E-2</v>
      </c>
    </row>
    <row r="3548" spans="2:27" x14ac:dyDescent="0.2">
      <c r="B3548" s="128"/>
      <c r="C3548" s="131"/>
      <c r="D3548" s="132"/>
      <c r="E3548" s="132"/>
      <c r="S3548" s="1"/>
      <c r="T3548" s="109"/>
      <c r="W3548" s="130" t="str">
        <f t="shared" si="65"/>
        <v>1w</v>
      </c>
      <c r="X3548" s="128">
        <f>_xll.qlCalendarAdvance(Calendar,X3547,W3548,"f",FALSE)</f>
        <v>64146</v>
      </c>
      <c r="Y3548" s="131">
        <f>_xll.qlCalendarAdvance(Calendar,X3548,NDays&amp;"D")</f>
        <v>64150</v>
      </c>
      <c r="Z3548" s="132" t="e">
        <v>#N/A</v>
      </c>
      <c r="AA3548" s="129">
        <v>1.4488931791145632E-2</v>
      </c>
    </row>
    <row r="3549" spans="2:27" x14ac:dyDescent="0.2">
      <c r="B3549" s="128"/>
      <c r="C3549" s="131"/>
      <c r="D3549" s="132"/>
      <c r="E3549" s="132"/>
      <c r="W3549" s="130" t="str">
        <f t="shared" si="65"/>
        <v>1w</v>
      </c>
      <c r="X3549" s="128">
        <f>_xll.qlCalendarAdvance(Calendar,X3548,W3549,"f",FALSE)</f>
        <v>64153</v>
      </c>
      <c r="Y3549" s="131">
        <f>_xll.qlCalendarAdvance(Calendar,X3549,NDays&amp;"D")</f>
        <v>64157</v>
      </c>
      <c r="Z3549" s="132" t="e">
        <v>#N/A</v>
      </c>
      <c r="AA3549" s="129">
        <v>1.4488959311531602E-2</v>
      </c>
    </row>
    <row r="3550" spans="2:27" x14ac:dyDescent="0.2">
      <c r="B3550" s="128"/>
      <c r="C3550" s="131"/>
      <c r="D3550" s="132"/>
      <c r="E3550" s="132"/>
      <c r="W3550" s="130" t="str">
        <f t="shared" si="65"/>
        <v>1w</v>
      </c>
      <c r="X3550" s="128">
        <f>_xll.qlCalendarAdvance(Calendar,X3549,W3550,"f",FALSE)</f>
        <v>64160</v>
      </c>
      <c r="Y3550" s="131">
        <f>_xll.qlCalendarAdvance(Calendar,X3550,NDays&amp;"D")</f>
        <v>64164</v>
      </c>
      <c r="Z3550" s="132" t="e">
        <v>#N/A</v>
      </c>
      <c r="AA3550" s="129">
        <v>1.4488976692828004E-2</v>
      </c>
    </row>
    <row r="3551" spans="2:27" x14ac:dyDescent="0.2">
      <c r="B3551" s="128"/>
      <c r="C3551" s="131"/>
      <c r="D3551" s="132"/>
      <c r="E3551" s="132"/>
      <c r="W3551" s="130" t="str">
        <f t="shared" si="65"/>
        <v>1w</v>
      </c>
      <c r="X3551" s="128">
        <f>_xll.qlCalendarAdvance(Calendar,X3550,W3551,"f",FALSE)</f>
        <v>64167</v>
      </c>
      <c r="Y3551" s="131">
        <f>_xll.qlCalendarAdvance(Calendar,X3551,NDays&amp;"D")</f>
        <v>64171</v>
      </c>
      <c r="Z3551" s="132" t="e">
        <v>#N/A</v>
      </c>
      <c r="AA3551" s="129">
        <v>1.4488983935034838E-2</v>
      </c>
    </row>
    <row r="3552" spans="2:27" ht="12" thickBot="1" x14ac:dyDescent="0.25">
      <c r="B3552" s="128"/>
      <c r="C3552" s="131"/>
      <c r="D3552" s="132"/>
      <c r="E3552" s="132"/>
      <c r="W3552" s="147" t="str">
        <f t="shared" si="65"/>
        <v>1w</v>
      </c>
      <c r="X3552" s="135">
        <f>_xll.qlCalendarAdvance(Calendar,X3551,W3552,"f",FALSE)</f>
        <v>64174</v>
      </c>
      <c r="Y3552" s="152">
        <f>_xll.qlCalendarAdvance(Calendar,X3552,NDays&amp;"D")</f>
        <v>64178</v>
      </c>
      <c r="Z3552" s="133" t="e">
        <v>#N/A</v>
      </c>
      <c r="AA3552" s="134">
        <v>1.4488984176521669E-2</v>
      </c>
    </row>
    <row r="3553" spans="2:22" x14ac:dyDescent="0.2">
      <c r="B3553" s="128"/>
      <c r="C3553" s="131"/>
      <c r="D3553" s="132"/>
      <c r="E3553" s="132"/>
      <c r="V3553" s="143"/>
    </row>
    <row r="3554" spans="2:22" x14ac:dyDescent="0.2">
      <c r="B3554" s="128"/>
      <c r="C3554" s="131"/>
      <c r="D3554" s="132"/>
      <c r="E3554" s="132"/>
      <c r="V3554" s="143"/>
    </row>
    <row r="3555" spans="2:22" x14ac:dyDescent="0.2">
      <c r="B3555" s="128"/>
      <c r="C3555" s="131"/>
      <c r="D3555" s="132"/>
      <c r="E3555" s="132"/>
      <c r="V3555" s="143"/>
    </row>
    <row r="3556" spans="2:22" x14ac:dyDescent="0.2">
      <c r="B3556" s="128"/>
      <c r="C3556" s="131"/>
      <c r="D3556" s="132"/>
      <c r="E3556" s="132"/>
      <c r="V3556" s="143"/>
    </row>
    <row r="3557" spans="2:22" x14ac:dyDescent="0.2">
      <c r="B3557" s="128"/>
      <c r="C3557" s="131"/>
      <c r="D3557" s="132"/>
      <c r="E3557" s="132"/>
      <c r="V3557" s="143"/>
    </row>
    <row r="3558" spans="2:22" x14ac:dyDescent="0.2">
      <c r="B3558" s="128"/>
      <c r="C3558" s="131"/>
      <c r="D3558" s="132"/>
      <c r="E3558" s="132"/>
      <c r="V3558" s="143"/>
    </row>
    <row r="3559" spans="2:22" x14ac:dyDescent="0.2">
      <c r="B3559" s="128"/>
      <c r="C3559" s="131"/>
      <c r="D3559" s="132"/>
      <c r="E3559" s="132"/>
      <c r="V3559" s="143"/>
    </row>
    <row r="3560" spans="2:22" x14ac:dyDescent="0.2">
      <c r="B3560" s="128"/>
      <c r="C3560" s="131"/>
      <c r="D3560" s="132"/>
      <c r="E3560" s="132"/>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19050</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123825</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cp:lastPrinted>2014-05-28T11:44:46Z</cp:lastPrinted>
  <dcterms:created xsi:type="dcterms:W3CDTF">2014-01-07T10:29:47Z</dcterms:created>
  <dcterms:modified xsi:type="dcterms:W3CDTF">2015-09-09T18:22:14Z</dcterms:modified>
</cp:coreProperties>
</file>