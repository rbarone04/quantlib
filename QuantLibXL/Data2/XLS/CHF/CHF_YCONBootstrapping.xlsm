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3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RateHelpers!$A$3:$K$57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RateHelpers!$A$2:$A$57</definedName>
    <definedName name="RateHelpersIncluded">RateHelpers!$E$2:$E$57</definedName>
    <definedName name="RateHelpersPriority">RateHelpers!$F$2:$F$57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4" i="32" l="1"/>
  <c r="D3" i="32"/>
  <c r="F2" i="32"/>
  <c r="C4" i="32"/>
  <c r="C3" i="32"/>
  <c r="J3" i="30"/>
  <c r="M22" i="6" l="1"/>
  <c r="E4" i="32"/>
  <c r="E3" i="32"/>
  <c r="A3" i="4" l="1"/>
  <c r="A2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4" i="31"/>
  <c r="B6" i="31"/>
  <c r="B7" i="31"/>
  <c r="B8" i="31"/>
  <c r="B9" i="31"/>
  <c r="B5" i="31"/>
  <c r="B3" i="31"/>
  <c r="C5" i="31"/>
  <c r="C3" i="31"/>
  <c r="X11" i="31"/>
  <c r="C4" i="31"/>
  <c r="C6" i="31"/>
  <c r="F4" i="32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36" i="30"/>
  <c r="J50" i="30"/>
  <c r="J53" i="30"/>
  <c r="J26" i="30"/>
  <c r="J7" i="30"/>
  <c r="J46" i="30"/>
  <c r="J10" i="30"/>
  <c r="J42" i="30"/>
  <c r="J30" i="30"/>
  <c r="J20" i="30"/>
  <c r="J35" i="30"/>
  <c r="J47" i="30"/>
  <c r="J58" i="30"/>
  <c r="J54" i="30"/>
  <c r="J18" i="30"/>
  <c r="B2" i="4"/>
  <c r="J6" i="30"/>
  <c r="J8" i="30"/>
  <c r="J12" i="30"/>
  <c r="J27" i="30"/>
  <c r="J39" i="30"/>
  <c r="J24" i="30"/>
  <c r="J29" i="30"/>
  <c r="J56" i="30"/>
  <c r="J22" i="30"/>
  <c r="J14" i="30"/>
  <c r="H2" i="4"/>
  <c r="J38" i="30"/>
  <c r="J31" i="30"/>
  <c r="J52" i="30"/>
  <c r="J43" i="30"/>
  <c r="J44" i="30"/>
  <c r="J28" i="30"/>
  <c r="I2" i="4"/>
  <c r="J41" i="30"/>
  <c r="J37" i="30"/>
  <c r="J13" i="30"/>
  <c r="J49" i="30"/>
  <c r="J55" i="30"/>
  <c r="X12" i="31"/>
  <c r="J11" i="30"/>
  <c r="J15" i="30"/>
  <c r="J16" i="30"/>
  <c r="J9" i="30"/>
  <c r="J17" i="30"/>
  <c r="J33" i="30"/>
  <c r="J23" i="30"/>
  <c r="J51" i="30"/>
  <c r="J40" i="30"/>
  <c r="J48" i="30"/>
  <c r="J25" i="30"/>
  <c r="J34" i="30"/>
  <c r="J21" i="30"/>
  <c r="C2" i="4"/>
  <c r="K3" i="30"/>
  <c r="J45" i="30"/>
  <c r="J32" i="30"/>
  <c r="J57" i="30"/>
  <c r="J19" i="30"/>
  <c r="A15" i="4" l="1"/>
  <c r="A20" i="4"/>
  <c r="A19" i="4"/>
  <c r="A11" i="4"/>
  <c r="A18" i="4"/>
  <c r="A13" i="4"/>
  <c r="A32" i="4"/>
  <c r="A24" i="4"/>
  <c r="A44" i="4"/>
  <c r="A35" i="4"/>
  <c r="A12" i="4"/>
  <c r="A21" i="4"/>
  <c r="A8" i="4"/>
  <c r="A50" i="4"/>
  <c r="A34" i="4"/>
  <c r="A6" i="4"/>
  <c r="A33" i="4"/>
  <c r="A16" i="4"/>
  <c r="A25" i="4"/>
  <c r="A37" i="4"/>
  <c r="A48" i="4"/>
  <c r="A31" i="4"/>
  <c r="A57" i="4"/>
  <c r="A46" i="4"/>
  <c r="A9" i="4"/>
  <c r="A41" i="4"/>
  <c r="A36" i="4"/>
  <c r="A52" i="4"/>
  <c r="A17" i="4"/>
  <c r="A53" i="4"/>
  <c r="A49" i="4"/>
  <c r="A28" i="4"/>
  <c r="A27" i="4"/>
  <c r="A43" i="4"/>
  <c r="A29" i="4"/>
  <c r="A22" i="4"/>
  <c r="A10" i="4"/>
  <c r="A5" i="4"/>
  <c r="A47" i="4"/>
  <c r="A51" i="4"/>
  <c r="A55" i="4"/>
  <c r="A45" i="4"/>
  <c r="A54" i="4"/>
  <c r="A39" i="4"/>
  <c r="A26" i="4"/>
  <c r="A42" i="4"/>
  <c r="A14" i="4"/>
  <c r="A40" i="4"/>
  <c r="A38" i="4"/>
  <c r="A23" i="4"/>
  <c r="A7" i="4"/>
  <c r="A56" i="4"/>
  <c r="A30" i="4"/>
  <c r="E8" i="31"/>
  <c r="E5" i="31"/>
  <c r="E4" i="31"/>
  <c r="E3" i="31"/>
  <c r="E9" i="31"/>
  <c r="E6" i="31"/>
  <c r="K26" i="30"/>
  <c r="B3" i="4"/>
  <c r="K40" i="30"/>
  <c r="B50" i="4"/>
  <c r="B42" i="4"/>
  <c r="B33" i="4"/>
  <c r="B25" i="4"/>
  <c r="B26" i="4"/>
  <c r="K44" i="30"/>
  <c r="K39" i="30"/>
  <c r="K51" i="30"/>
  <c r="B49" i="4"/>
  <c r="B53" i="4"/>
  <c r="B48" i="4"/>
  <c r="B11" i="4"/>
  <c r="B35" i="4"/>
  <c r="B5" i="4"/>
  <c r="K8" i="30"/>
  <c r="K17" i="30"/>
  <c r="B40" i="4"/>
  <c r="B12" i="4"/>
  <c r="K53" i="30"/>
  <c r="K16" i="30"/>
  <c r="K29" i="30"/>
  <c r="K47" i="30"/>
  <c r="K11" i="30"/>
  <c r="B17" i="4"/>
  <c r="B10" i="4"/>
  <c r="K37" i="30"/>
  <c r="B56" i="4"/>
  <c r="B43" i="4"/>
  <c r="B9" i="4"/>
  <c r="B51" i="4"/>
  <c r="K23" i="30"/>
  <c r="K43" i="30"/>
  <c r="K58" i="30"/>
  <c r="B36" i="4"/>
  <c r="K28" i="30"/>
  <c r="K7" i="30"/>
  <c r="B54" i="4"/>
  <c r="B18" i="4"/>
  <c r="K41" i="30"/>
  <c r="B15" i="4"/>
  <c r="K14" i="30"/>
  <c r="K52" i="30"/>
  <c r="K46" i="30"/>
  <c r="B13" i="4"/>
  <c r="K42" i="30"/>
  <c r="K20" i="30"/>
  <c r="B6" i="4"/>
  <c r="B23" i="4"/>
  <c r="B19" i="4"/>
  <c r="K18" i="30"/>
  <c r="K9" i="30"/>
  <c r="B57" i="4"/>
  <c r="B46" i="4"/>
  <c r="K30" i="30"/>
  <c r="K36" i="30"/>
  <c r="B24" i="4"/>
  <c r="B22" i="4"/>
  <c r="B29" i="4"/>
  <c r="B14" i="4"/>
  <c r="K50" i="30"/>
  <c r="B28" i="4"/>
  <c r="B37" i="4"/>
  <c r="K55" i="30"/>
  <c r="B30" i="4"/>
  <c r="B39" i="4"/>
  <c r="K19" i="30"/>
  <c r="K12" i="30"/>
  <c r="K57" i="30"/>
  <c r="B20" i="4"/>
  <c r="B31" i="4"/>
  <c r="K27" i="30"/>
  <c r="K25" i="30"/>
  <c r="K45" i="30"/>
  <c r="B21" i="4"/>
  <c r="K24" i="30"/>
  <c r="K10" i="30"/>
  <c r="J5" i="30"/>
  <c r="B41" i="4"/>
  <c r="B47" i="4"/>
  <c r="K34" i="30"/>
  <c r="K31" i="30"/>
  <c r="B34" i="4"/>
  <c r="X13" i="31"/>
  <c r="K54" i="30"/>
  <c r="K21" i="30"/>
  <c r="B45" i="4"/>
  <c r="B44" i="4"/>
  <c r="K49" i="30"/>
  <c r="K6" i="30"/>
  <c r="K48" i="30"/>
  <c r="B7" i="4"/>
  <c r="K22" i="30"/>
  <c r="K13" i="30"/>
  <c r="B55" i="4"/>
  <c r="K33" i="30"/>
  <c r="K35" i="30"/>
  <c r="B38" i="4"/>
  <c r="K56" i="30"/>
  <c r="B16" i="4"/>
  <c r="K15" i="30"/>
  <c r="B52" i="4"/>
  <c r="B8" i="4"/>
  <c r="K38" i="30"/>
  <c r="B27" i="4"/>
  <c r="Y12" i="31"/>
  <c r="K32" i="30"/>
  <c r="B32" i="4"/>
  <c r="A4" i="4" l="1"/>
  <c r="D9" i="6"/>
  <c r="D22" i="6"/>
  <c r="E22" i="6"/>
  <c r="K2" i="30"/>
  <c r="B1" i="6"/>
  <c r="Y13" i="31"/>
  <c r="B4" i="4"/>
  <c r="X14" i="31"/>
  <c r="D21" i="6"/>
  <c r="K5" i="30"/>
  <c r="E21" i="6" l="1"/>
  <c r="X15" i="31"/>
  <c r="Y14" i="31"/>
  <c r="Y15" i="31"/>
  <c r="X16" i="31"/>
  <c r="X17" i="31"/>
  <c r="Y16" i="31"/>
  <c r="H44" i="4"/>
  <c r="I50" i="4"/>
  <c r="C47" i="4"/>
  <c r="I47" i="4"/>
  <c r="C9" i="4"/>
  <c r="I12" i="4"/>
  <c r="D30" i="4"/>
  <c r="I37" i="4"/>
  <c r="I45" i="4"/>
  <c r="I52" i="4"/>
  <c r="D35" i="4"/>
  <c r="I35" i="4"/>
  <c r="H20" i="4"/>
  <c r="H3" i="4"/>
  <c r="I13" i="4"/>
  <c r="H10" i="4"/>
  <c r="D49" i="4"/>
  <c r="D20" i="4"/>
  <c r="I7" i="4"/>
  <c r="H17" i="4"/>
  <c r="I41" i="4"/>
  <c r="H39" i="4"/>
  <c r="I38" i="4"/>
  <c r="D43" i="4"/>
  <c r="I25" i="4"/>
  <c r="I42" i="4"/>
  <c r="I23" i="4"/>
  <c r="D39" i="4"/>
  <c r="H18" i="4"/>
  <c r="H54" i="4"/>
  <c r="C34" i="4"/>
  <c r="I30" i="4"/>
  <c r="D21" i="4"/>
  <c r="C26" i="4"/>
  <c r="H12" i="4"/>
  <c r="I9" i="4"/>
  <c r="H56" i="4"/>
  <c r="I44" i="4"/>
  <c r="C7" i="4"/>
  <c r="C53" i="4"/>
  <c r="C18" i="4"/>
  <c r="C55" i="4"/>
  <c r="D25" i="4"/>
  <c r="I20" i="4"/>
  <c r="H57" i="4"/>
  <c r="C33" i="4"/>
  <c r="C23" i="4"/>
  <c r="C50" i="4"/>
  <c r="I11" i="4"/>
  <c r="D57" i="4"/>
  <c r="C11" i="4"/>
  <c r="H23" i="4"/>
  <c r="D47" i="4"/>
  <c r="C14" i="4"/>
  <c r="C57" i="4"/>
  <c r="D29" i="4"/>
  <c r="I31" i="4"/>
  <c r="C52" i="4"/>
  <c r="D40" i="4"/>
  <c r="D41" i="4"/>
  <c r="C43" i="4"/>
  <c r="D23" i="4"/>
  <c r="C30" i="4"/>
  <c r="H7" i="4"/>
  <c r="I16" i="4"/>
  <c r="D12" i="4"/>
  <c r="C48" i="4"/>
  <c r="C44" i="4"/>
  <c r="D6" i="4"/>
  <c r="H51" i="4"/>
  <c r="D28" i="4"/>
  <c r="H29" i="4"/>
  <c r="D15" i="4"/>
  <c r="D5" i="4"/>
  <c r="H25" i="4"/>
  <c r="I53" i="4"/>
  <c r="C19" i="4"/>
  <c r="D34" i="4"/>
  <c r="C3" i="4"/>
  <c r="C17" i="4"/>
  <c r="D14" i="4"/>
  <c r="D22" i="4"/>
  <c r="D8" i="4"/>
  <c r="I57" i="4"/>
  <c r="H24" i="4"/>
  <c r="C40" i="4"/>
  <c r="D11" i="4"/>
  <c r="D50" i="4"/>
  <c r="H4" i="4"/>
  <c r="I43" i="4"/>
  <c r="C24" i="4"/>
  <c r="I10" i="4"/>
  <c r="H19" i="4"/>
  <c r="D44" i="4"/>
  <c r="I55" i="4"/>
  <c r="C21" i="4"/>
  <c r="H6" i="4"/>
  <c r="H16" i="4"/>
  <c r="H37" i="4"/>
  <c r="I33" i="4"/>
  <c r="I49" i="4"/>
  <c r="D52" i="4"/>
  <c r="D9" i="4"/>
  <c r="C51" i="4"/>
  <c r="H33" i="4"/>
  <c r="C36" i="4"/>
  <c r="C56" i="4"/>
  <c r="H42" i="4"/>
  <c r="I27" i="4"/>
  <c r="D46" i="4"/>
  <c r="C5" i="4"/>
  <c r="D37" i="4"/>
  <c r="D56" i="4"/>
  <c r="H36" i="4"/>
  <c r="I32" i="4"/>
  <c r="I5" i="4"/>
  <c r="H14" i="4"/>
  <c r="D55" i="4"/>
  <c r="C25" i="4"/>
  <c r="C37" i="4"/>
  <c r="C8" i="4"/>
  <c r="I3" i="4"/>
  <c r="Y17" i="31"/>
  <c r="I26" i="4"/>
  <c r="I48" i="4"/>
  <c r="H8" i="4"/>
  <c r="D27" i="4"/>
  <c r="H53" i="4"/>
  <c r="C31" i="4"/>
  <c r="D48" i="4"/>
  <c r="C4" i="4"/>
  <c r="C39" i="4"/>
  <c r="D54" i="4"/>
  <c r="H15" i="4"/>
  <c r="H9" i="4"/>
  <c r="D10" i="4"/>
  <c r="C10" i="4"/>
  <c r="D4" i="4"/>
  <c r="C29" i="4"/>
  <c r="D32" i="4"/>
  <c r="I39" i="4"/>
  <c r="I18" i="4"/>
  <c r="C22" i="4"/>
  <c r="D24" i="4"/>
  <c r="H5" i="4"/>
  <c r="I24" i="4"/>
  <c r="I21" i="4"/>
  <c r="H52" i="4"/>
  <c r="C13" i="4"/>
  <c r="C27" i="4"/>
  <c r="H50" i="4"/>
  <c r="I15" i="4"/>
  <c r="C42" i="4"/>
  <c r="H30" i="4"/>
  <c r="H11" i="4"/>
  <c r="C32" i="4"/>
  <c r="D45" i="4"/>
  <c r="H27" i="4"/>
  <c r="H46" i="4"/>
  <c r="D53" i="4"/>
  <c r="H49" i="4"/>
  <c r="I8" i="4"/>
  <c r="I56" i="4"/>
  <c r="H48" i="4"/>
  <c r="I40" i="4"/>
  <c r="D7" i="4"/>
  <c r="C20" i="4"/>
  <c r="I19" i="4"/>
  <c r="I28" i="4"/>
  <c r="C41" i="4"/>
  <c r="H55" i="4"/>
  <c r="H22" i="4"/>
  <c r="D33" i="4"/>
  <c r="C35" i="4"/>
  <c r="H41" i="4"/>
  <c r="D42" i="4"/>
  <c r="H47" i="4"/>
  <c r="D19" i="4"/>
  <c r="C54" i="4"/>
  <c r="D36" i="4"/>
  <c r="H45" i="4"/>
  <c r="I29" i="4"/>
  <c r="I4" i="4"/>
  <c r="H28" i="4"/>
  <c r="H40" i="4"/>
  <c r="H38" i="4"/>
  <c r="I51" i="4"/>
  <c r="D38" i="4"/>
  <c r="C6" i="4"/>
  <c r="D18" i="4"/>
  <c r="D31" i="4"/>
  <c r="I54" i="4"/>
  <c r="H32" i="4"/>
  <c r="I6" i="4"/>
  <c r="C46" i="4"/>
  <c r="C49" i="4"/>
  <c r="I14" i="4"/>
  <c r="C12" i="4"/>
  <c r="D17" i="4"/>
  <c r="I46" i="4"/>
  <c r="H43" i="4"/>
  <c r="H26" i="4"/>
  <c r="H31" i="4"/>
  <c r="C16" i="4"/>
  <c r="D16" i="4"/>
  <c r="H21" i="4"/>
  <c r="H34" i="4"/>
  <c r="I17" i="4"/>
  <c r="D26" i="4"/>
  <c r="X18" i="31"/>
  <c r="I36" i="4"/>
  <c r="C45" i="4"/>
  <c r="I34" i="4"/>
  <c r="I22" i="4"/>
  <c r="C15" i="4"/>
  <c r="D13" i="4"/>
  <c r="C38" i="4"/>
  <c r="C28" i="4"/>
  <c r="H35" i="4"/>
  <c r="D51" i="4"/>
  <c r="H13" i="4"/>
  <c r="Y18" i="31"/>
  <c r="X19" i="31"/>
  <c r="X20" i="31"/>
  <c r="Y19" i="31"/>
  <c r="Y20" i="31"/>
  <c r="X21" i="31"/>
  <c r="X22" i="31"/>
  <c r="Y21" i="31"/>
  <c r="Y22" i="31"/>
  <c r="X23" i="31"/>
  <c r="Y23" i="31"/>
  <c r="X24" i="31"/>
  <c r="Y24" i="31"/>
  <c r="E28" i="4" l="1"/>
  <c r="E38" i="4"/>
  <c r="E15" i="4"/>
  <c r="E45" i="4"/>
  <c r="E16" i="4"/>
  <c r="E12" i="4"/>
  <c r="E49" i="4"/>
  <c r="E46" i="4"/>
  <c r="E6" i="4"/>
  <c r="E54" i="4"/>
  <c r="E35" i="4"/>
  <c r="E41" i="4"/>
  <c r="E20" i="4"/>
  <c r="E32" i="4"/>
  <c r="E42" i="4"/>
  <c r="E27" i="4"/>
  <c r="E13" i="4"/>
  <c r="E22" i="4"/>
  <c r="E29" i="4"/>
  <c r="E10" i="4"/>
  <c r="E39" i="4"/>
  <c r="E4" i="4"/>
  <c r="E31" i="4"/>
  <c r="E8" i="4"/>
  <c r="E37" i="4"/>
  <c r="E25" i="4"/>
  <c r="E5" i="4"/>
  <c r="E56" i="4"/>
  <c r="E36" i="4"/>
  <c r="E51" i="4"/>
  <c r="E21" i="4"/>
  <c r="E24" i="4"/>
  <c r="E40" i="4"/>
  <c r="E17" i="4"/>
  <c r="E19" i="4"/>
  <c r="E44" i="4"/>
  <c r="E48" i="4"/>
  <c r="E30" i="4"/>
  <c r="E43" i="4"/>
  <c r="E52" i="4"/>
  <c r="E57" i="4"/>
  <c r="E14" i="4"/>
  <c r="E11" i="4"/>
  <c r="E50" i="4"/>
  <c r="E23" i="4"/>
  <c r="E33" i="4"/>
  <c r="E55" i="4"/>
  <c r="E18" i="4"/>
  <c r="E53" i="4"/>
  <c r="E7" i="4"/>
  <c r="E26" i="4"/>
  <c r="E34" i="4"/>
  <c r="E9" i="4"/>
  <c r="E47" i="4"/>
  <c r="X25" i="31"/>
  <c r="M11" i="31" a="1"/>
  <c r="D2" i="5" a="1"/>
  <c r="Y25" i="31"/>
  <c r="X26" i="31"/>
  <c r="X27" i="31"/>
  <c r="Y26" i="31"/>
  <c r="Y27" i="31"/>
  <c r="X28" i="31"/>
  <c r="X29" i="31"/>
  <c r="Y28" i="31"/>
  <c r="X30" i="31"/>
  <c r="Y29" i="31"/>
  <c r="X31" i="31"/>
  <c r="Y30" i="31"/>
  <c r="X32" i="31"/>
  <c r="Y31" i="31"/>
  <c r="Y32" i="31"/>
  <c r="X33" i="31"/>
  <c r="Y33" i="31"/>
  <c r="X34" i="31"/>
  <c r="Y34" i="31"/>
  <c r="X35" i="31"/>
  <c r="X36" i="31"/>
  <c r="Y35" i="31"/>
  <c r="Y36" i="31"/>
  <c r="X37" i="31"/>
  <c r="X38" i="31"/>
  <c r="Y37" i="31"/>
  <c r="X39" i="31"/>
  <c r="Y38" i="31"/>
  <c r="X40" i="31"/>
  <c r="Y39" i="31"/>
  <c r="Y40" i="31"/>
  <c r="X41" i="31"/>
  <c r="X42" i="31"/>
  <c r="Y41" i="31"/>
  <c r="Y42" i="31"/>
  <c r="X43" i="31"/>
  <c r="X44" i="31"/>
  <c r="Y43" i="31"/>
  <c r="X45" i="31"/>
  <c r="Y44" i="31"/>
  <c r="X46" i="31"/>
  <c r="Y45" i="31"/>
  <c r="X47" i="31"/>
  <c r="Y46" i="31"/>
  <c r="Y47" i="31"/>
  <c r="X48" i="31"/>
  <c r="Y48" i="31"/>
  <c r="X49" i="31"/>
  <c r="Y49" i="31"/>
  <c r="X50" i="31"/>
  <c r="Y50" i="31"/>
  <c r="X51" i="31"/>
  <c r="X52" i="31"/>
  <c r="Y51" i="31"/>
  <c r="X53" i="31"/>
  <c r="Y52" i="31"/>
  <c r="X54" i="31"/>
  <c r="Y53" i="31"/>
  <c r="Y54" i="31"/>
  <c r="X55" i="31"/>
  <c r="X56" i="31"/>
  <c r="Y55" i="31"/>
  <c r="Y56" i="31"/>
  <c r="X57" i="31"/>
  <c r="X58" i="31"/>
  <c r="Y57" i="31"/>
  <c r="Y58" i="31"/>
  <c r="X59" i="31"/>
  <c r="Y59" i="31"/>
  <c r="X60" i="31"/>
  <c r="X61" i="31"/>
  <c r="Y60" i="31"/>
  <c r="X62" i="31"/>
  <c r="Y61" i="31"/>
  <c r="X63" i="31"/>
  <c r="Y62" i="31"/>
  <c r="X64" i="31"/>
  <c r="Y63" i="31"/>
  <c r="X65" i="31"/>
  <c r="Y64" i="31"/>
  <c r="Y65" i="31"/>
  <c r="X66" i="31"/>
  <c r="Y66" i="31"/>
  <c r="X67" i="31"/>
  <c r="X68" i="31"/>
  <c r="Y67" i="31"/>
  <c r="Y68" i="31"/>
  <c r="X69" i="31"/>
  <c r="X70" i="31"/>
  <c r="Y69" i="31"/>
  <c r="Y70" i="31"/>
  <c r="X71" i="31"/>
  <c r="X72" i="31"/>
  <c r="Y71" i="31"/>
  <c r="Y72" i="31"/>
  <c r="X73" i="31"/>
  <c r="Y73" i="31"/>
  <c r="X74" i="31"/>
  <c r="Y74" i="31"/>
  <c r="X75" i="31"/>
  <c r="Y75" i="31"/>
  <c r="X76" i="31"/>
  <c r="X77" i="31"/>
  <c r="Y76" i="31"/>
  <c r="X78" i="31"/>
  <c r="Y77" i="31"/>
  <c r="Y78" i="31"/>
  <c r="X79" i="31"/>
  <c r="X80" i="31"/>
  <c r="Y79" i="31"/>
  <c r="X81" i="31"/>
  <c r="Y80" i="31"/>
  <c r="Y81" i="31"/>
  <c r="X82" i="31"/>
  <c r="Y82" i="31"/>
  <c r="X83" i="31"/>
  <c r="Y83" i="31"/>
  <c r="X84" i="31"/>
  <c r="X85" i="31"/>
  <c r="Y84" i="31"/>
  <c r="Y85" i="31"/>
  <c r="X86" i="31"/>
  <c r="Y86" i="31"/>
  <c r="X87" i="31"/>
  <c r="X88" i="31"/>
  <c r="Y87" i="31"/>
  <c r="Y88" i="31"/>
  <c r="X89" i="31"/>
  <c r="X90" i="31"/>
  <c r="Y89" i="31"/>
  <c r="Y90" i="31"/>
  <c r="X91" i="31"/>
  <c r="Y91" i="31"/>
  <c r="X92" i="31"/>
  <c r="Y92" i="31"/>
  <c r="X93" i="31"/>
  <c r="Y93" i="31"/>
  <c r="X94" i="31"/>
  <c r="X95" i="31"/>
  <c r="Y94" i="31"/>
  <c r="Y95" i="31"/>
  <c r="X96" i="31"/>
  <c r="X97" i="31"/>
  <c r="Y96" i="31"/>
  <c r="X98" i="31"/>
  <c r="Y97" i="31"/>
  <c r="Y98" i="31"/>
  <c r="X99" i="31"/>
  <c r="Y99" i="31"/>
  <c r="X100" i="31"/>
  <c r="X101" i="31"/>
  <c r="Y100" i="31"/>
  <c r="X102" i="31"/>
  <c r="Y101" i="31"/>
  <c r="X103" i="31"/>
  <c r="Y102" i="31"/>
  <c r="Y103" i="31"/>
  <c r="X104" i="31"/>
  <c r="Y104" i="31"/>
  <c r="X105" i="31"/>
  <c r="Y105" i="31"/>
  <c r="X106" i="31"/>
  <c r="Y106" i="31"/>
  <c r="X107" i="31"/>
  <c r="X108" i="31"/>
  <c r="Y107" i="31"/>
  <c r="X109" i="31"/>
  <c r="Y108" i="31"/>
  <c r="X110" i="31"/>
  <c r="Y109" i="31"/>
  <c r="X111" i="31"/>
  <c r="Y110" i="31"/>
  <c r="Y111" i="31"/>
  <c r="X112" i="31"/>
  <c r="Y112" i="31"/>
  <c r="X113" i="31"/>
  <c r="X114" i="31"/>
  <c r="Y113" i="31"/>
  <c r="X115" i="31"/>
  <c r="Y114" i="31"/>
  <c r="X116" i="31"/>
  <c r="Y115" i="31"/>
  <c r="X117" i="31"/>
  <c r="Y116" i="31"/>
  <c r="Y117" i="31"/>
  <c r="X118" i="31"/>
  <c r="Y118" i="31"/>
  <c r="X119" i="31"/>
  <c r="Y119" i="31"/>
  <c r="X120" i="31"/>
  <c r="Y120" i="31"/>
  <c r="X121" i="31"/>
  <c r="X122" i="31"/>
  <c r="Y121" i="31"/>
  <c r="Y122" i="31"/>
  <c r="X123" i="31"/>
  <c r="Y123" i="31"/>
  <c r="X124" i="31"/>
  <c r="Y124" i="31"/>
  <c r="X125" i="31"/>
  <c r="X126" i="31"/>
  <c r="Y125" i="31"/>
  <c r="Y126" i="31"/>
  <c r="X127" i="31"/>
  <c r="X128" i="31"/>
  <c r="Y127" i="31"/>
  <c r="Y128" i="31"/>
  <c r="X129" i="31"/>
  <c r="X130" i="31"/>
  <c r="Y129" i="31"/>
  <c r="Y130" i="31"/>
  <c r="X131" i="31"/>
  <c r="X132" i="31"/>
  <c r="Y131" i="31"/>
  <c r="Y132" i="31"/>
  <c r="X133" i="31"/>
  <c r="Y133" i="31"/>
  <c r="X134" i="31"/>
  <c r="Y134" i="31"/>
  <c r="X135" i="31"/>
  <c r="X136" i="31"/>
  <c r="Y135" i="31"/>
  <c r="Y136" i="31"/>
  <c r="X137" i="31"/>
  <c r="X138" i="31"/>
  <c r="Y137" i="31"/>
  <c r="X139" i="31"/>
  <c r="Y138" i="31"/>
  <c r="Y139" i="31"/>
  <c r="X140" i="31"/>
  <c r="X141" i="31"/>
  <c r="Y140" i="31"/>
  <c r="Y141" i="31"/>
  <c r="X142" i="31"/>
  <c r="X143" i="31"/>
  <c r="Y142" i="31"/>
  <c r="X144" i="31"/>
  <c r="Y143" i="31"/>
  <c r="X145" i="31"/>
  <c r="Y144" i="31"/>
  <c r="Y145" i="31"/>
  <c r="X146" i="31"/>
  <c r="X147" i="31"/>
  <c r="Y146" i="31"/>
  <c r="X148" i="31"/>
  <c r="Y147" i="31"/>
  <c r="Y148" i="31"/>
  <c r="X149" i="31"/>
  <c r="X150" i="31"/>
  <c r="Y149" i="31"/>
  <c r="X151" i="31"/>
  <c r="Y150" i="31"/>
  <c r="X152" i="31"/>
  <c r="Y151" i="31"/>
  <c r="Y152" i="31"/>
  <c r="X153" i="31"/>
  <c r="X154" i="31"/>
  <c r="Y153" i="31"/>
  <c r="X155" i="31"/>
  <c r="Y154" i="31"/>
  <c r="X156" i="31"/>
  <c r="Y155" i="31"/>
  <c r="Y156" i="31"/>
  <c r="X157" i="31"/>
  <c r="X158" i="31"/>
  <c r="Y157" i="31"/>
  <c r="Y158" i="31"/>
  <c r="X159" i="31"/>
  <c r="X160" i="31"/>
  <c r="Y159" i="31"/>
  <c r="X161" i="31"/>
  <c r="Y160" i="31"/>
  <c r="X162" i="31"/>
  <c r="Y161" i="31"/>
  <c r="Y162" i="31"/>
  <c r="X163" i="31"/>
  <c r="X164" i="31"/>
  <c r="Y163" i="31"/>
  <c r="Y164" i="31"/>
  <c r="X165" i="31"/>
  <c r="Y165" i="31"/>
  <c r="X166" i="31"/>
  <c r="X167" i="31"/>
  <c r="Y166" i="31"/>
  <c r="X168" i="31"/>
  <c r="Y167" i="31"/>
  <c r="X169" i="31"/>
  <c r="Y168" i="31"/>
  <c r="X170" i="31"/>
  <c r="Y169" i="31"/>
  <c r="Y170" i="31"/>
  <c r="X171" i="31"/>
  <c r="X172" i="31"/>
  <c r="Y171" i="31"/>
  <c r="Y172" i="31"/>
  <c r="X173" i="31"/>
  <c r="Y173" i="31"/>
  <c r="X174" i="31"/>
  <c r="Y174" i="31"/>
  <c r="X175" i="31"/>
  <c r="Y175" i="31"/>
  <c r="X176" i="31"/>
  <c r="X177" i="31"/>
  <c r="Y176" i="31"/>
  <c r="X178" i="31"/>
  <c r="Y177" i="31"/>
  <c r="Y178" i="31"/>
  <c r="X179" i="31"/>
  <c r="X180" i="31"/>
  <c r="Y179" i="31"/>
  <c r="Y180" i="31"/>
  <c r="X181" i="31"/>
  <c r="X182" i="31"/>
  <c r="Y181" i="31"/>
  <c r="X183" i="31"/>
  <c r="Y182" i="31"/>
  <c r="X184" i="31"/>
  <c r="Y183" i="31"/>
  <c r="Y184" i="31"/>
  <c r="X185" i="31"/>
  <c r="X186" i="31"/>
  <c r="Y185" i="31"/>
  <c r="Y186" i="31"/>
  <c r="X187" i="31"/>
  <c r="X188" i="31"/>
  <c r="Y187" i="31"/>
  <c r="X189" i="31"/>
  <c r="Y188" i="31"/>
  <c r="Y189" i="31"/>
  <c r="X190" i="31"/>
  <c r="X191" i="31"/>
  <c r="Y190" i="31"/>
  <c r="Y191" i="31"/>
  <c r="X192" i="31"/>
  <c r="X193" i="31"/>
  <c r="Y192" i="31"/>
  <c r="Y193" i="31"/>
  <c r="X194" i="31"/>
  <c r="X195" i="31"/>
  <c r="Y194" i="31"/>
  <c r="X196" i="31"/>
  <c r="Y195" i="31"/>
  <c r="X197" i="31"/>
  <c r="Y196" i="31"/>
  <c r="X198" i="31"/>
  <c r="Y197" i="31"/>
  <c r="X199" i="31"/>
  <c r="Y198" i="31"/>
  <c r="Y199" i="31"/>
  <c r="X200" i="31"/>
  <c r="X201" i="31"/>
  <c r="Y200" i="31"/>
  <c r="X202" i="31"/>
  <c r="Y201" i="31"/>
  <c r="X203" i="31"/>
  <c r="Y202" i="31"/>
  <c r="Y203" i="31"/>
  <c r="X204" i="31"/>
  <c r="Y204" i="31"/>
  <c r="X205" i="31"/>
  <c r="X206" i="31"/>
  <c r="Y205" i="31"/>
  <c r="Y206" i="31"/>
  <c r="X207" i="31"/>
  <c r="Y207" i="31"/>
  <c r="X208" i="31"/>
  <c r="X209" i="31"/>
  <c r="Y208" i="31"/>
  <c r="X210" i="31"/>
  <c r="Y209" i="31"/>
  <c r="Y210" i="31"/>
  <c r="X211" i="31"/>
  <c r="X212" i="31"/>
  <c r="Y211" i="31"/>
  <c r="Y212" i="31"/>
  <c r="X213" i="31"/>
  <c r="X214" i="31"/>
  <c r="Y213" i="31"/>
  <c r="Y214" i="31"/>
  <c r="X215" i="31"/>
  <c r="Y215" i="31"/>
  <c r="X216" i="31"/>
  <c r="X217" i="31"/>
  <c r="Y216" i="31"/>
  <c r="Y217" i="31"/>
  <c r="X218" i="31"/>
  <c r="Y218" i="31"/>
  <c r="X219" i="31"/>
  <c r="X220" i="31"/>
  <c r="Y219" i="31"/>
  <c r="X221" i="31"/>
  <c r="Y220" i="31"/>
  <c r="Y221" i="31"/>
  <c r="X222" i="31"/>
  <c r="X223" i="31"/>
  <c r="Y222" i="31"/>
  <c r="Y223" i="31"/>
  <c r="X224" i="31"/>
  <c r="Y224" i="31"/>
  <c r="X225" i="31"/>
  <c r="Y225" i="31"/>
  <c r="X226" i="31"/>
  <c r="X227" i="31"/>
  <c r="Y226" i="31"/>
  <c r="Y227" i="31"/>
  <c r="X228" i="31"/>
  <c r="Y228" i="31"/>
  <c r="X229" i="31"/>
  <c r="Y229" i="31"/>
  <c r="X230" i="31"/>
  <c r="X231" i="31"/>
  <c r="Y230" i="31"/>
  <c r="Y231" i="31"/>
  <c r="X232" i="31"/>
  <c r="X233" i="31"/>
  <c r="Y232" i="31"/>
  <c r="X234" i="31"/>
  <c r="Y233" i="31"/>
  <c r="Y234" i="31"/>
  <c r="X235" i="31"/>
  <c r="Y235" i="31"/>
  <c r="X236" i="31"/>
  <c r="Y236" i="31"/>
  <c r="X237" i="31"/>
  <c r="Y237" i="31"/>
  <c r="X238" i="31"/>
  <c r="X239" i="31"/>
  <c r="Y238" i="31"/>
  <c r="Y239" i="31"/>
  <c r="X240" i="31"/>
  <c r="X241" i="31"/>
  <c r="Y240" i="31"/>
  <c r="X242" i="31"/>
  <c r="Y241" i="31"/>
  <c r="Y242" i="31"/>
  <c r="X243" i="31"/>
  <c r="Y243" i="31"/>
  <c r="X244" i="31"/>
  <c r="Y244" i="31"/>
  <c r="X245" i="31"/>
  <c r="Y245" i="31"/>
  <c r="X246" i="31"/>
  <c r="X247" i="31"/>
  <c r="Y246" i="31"/>
  <c r="Y247" i="31"/>
  <c r="X248" i="31"/>
  <c r="Y248" i="31"/>
  <c r="X249" i="31"/>
  <c r="X250" i="31"/>
  <c r="Y249" i="31"/>
  <c r="Y250" i="31"/>
  <c r="X251" i="31"/>
  <c r="Y251" i="31"/>
  <c r="X252" i="31"/>
  <c r="Y252" i="31"/>
  <c r="X253" i="31"/>
  <c r="X254" i="31"/>
  <c r="Y253" i="31"/>
  <c r="X255" i="31"/>
  <c r="Y254" i="31"/>
  <c r="Y255" i="31"/>
  <c r="X256" i="31"/>
  <c r="Y256" i="31"/>
  <c r="X257" i="31"/>
  <c r="X258" i="31"/>
  <c r="Y257" i="31"/>
  <c r="X259" i="31"/>
  <c r="Y258" i="31"/>
  <c r="Y259" i="31"/>
  <c r="X260" i="31"/>
  <c r="X261" i="31"/>
  <c r="Y260" i="31"/>
  <c r="Y261" i="31"/>
  <c r="X262" i="31"/>
  <c r="Y262" i="31"/>
  <c r="X263" i="31"/>
  <c r="Y263" i="31"/>
  <c r="X264" i="31"/>
  <c r="X265" i="31"/>
  <c r="Y264" i="31"/>
  <c r="Y265" i="31"/>
  <c r="X266" i="31"/>
  <c r="Y266" i="31"/>
  <c r="X267" i="31"/>
  <c r="X268" i="31"/>
  <c r="Y267" i="31"/>
  <c r="X269" i="31"/>
  <c r="Y268" i="31"/>
  <c r="X270" i="31"/>
  <c r="Y269" i="31"/>
  <c r="Y270" i="31"/>
  <c r="X271" i="31"/>
  <c r="X272" i="31"/>
  <c r="Y271" i="31"/>
  <c r="Y272" i="31"/>
  <c r="X273" i="31"/>
  <c r="X274" i="31"/>
  <c r="Y273" i="31"/>
  <c r="Y274" i="31"/>
  <c r="X275" i="31"/>
  <c r="Y275" i="31"/>
  <c r="X276" i="31"/>
  <c r="X277" i="31"/>
  <c r="Y276" i="31"/>
  <c r="Y277" i="31"/>
  <c r="X278" i="31"/>
  <c r="Y278" i="31"/>
  <c r="X279" i="31"/>
  <c r="Y279" i="31"/>
  <c r="X280" i="31"/>
  <c r="Y280" i="31"/>
  <c r="X281" i="31"/>
  <c r="Y281" i="31"/>
  <c r="X282" i="31"/>
  <c r="X283" i="31"/>
  <c r="Y282" i="31"/>
  <c r="Y283" i="31"/>
  <c r="X284" i="31"/>
  <c r="X285" i="31"/>
  <c r="Y284" i="31"/>
  <c r="X286" i="31"/>
  <c r="Y285" i="31"/>
  <c r="Y286" i="31"/>
  <c r="X287" i="31"/>
  <c r="Y287" i="31"/>
  <c r="X288" i="31"/>
  <c r="X289" i="31"/>
  <c r="Y288" i="31"/>
  <c r="Y289" i="31"/>
  <c r="X290" i="31"/>
  <c r="Y290" i="31"/>
  <c r="X291" i="31"/>
  <c r="X292" i="31"/>
  <c r="Y291" i="31"/>
  <c r="Y292" i="31"/>
  <c r="X293" i="31"/>
  <c r="X294" i="31"/>
  <c r="Y293" i="31"/>
  <c r="Y294" i="31"/>
  <c r="X295" i="31"/>
  <c r="Y295" i="31"/>
  <c r="X296" i="31"/>
  <c r="X297" i="31"/>
  <c r="Y296" i="31"/>
  <c r="X298" i="31"/>
  <c r="Y297" i="31"/>
  <c r="Y298" i="31"/>
  <c r="X299" i="31"/>
  <c r="Y299" i="31"/>
  <c r="X300" i="31"/>
  <c r="X301" i="31"/>
  <c r="Y300" i="31"/>
  <c r="Y301" i="31"/>
  <c r="X302" i="31"/>
  <c r="Y302" i="31"/>
  <c r="X303" i="31"/>
  <c r="Y303" i="31"/>
  <c r="X304" i="31"/>
  <c r="Y304" i="31"/>
  <c r="X305" i="31"/>
  <c r="X306" i="31"/>
  <c r="Y305" i="31"/>
  <c r="X307" i="31"/>
  <c r="Y306" i="31"/>
  <c r="X308" i="31"/>
  <c r="Y307" i="31"/>
  <c r="Y308" i="31"/>
  <c r="X309" i="31"/>
  <c r="X310" i="31"/>
  <c r="Y309" i="31"/>
  <c r="Y310" i="31"/>
  <c r="X311" i="31"/>
  <c r="Y311" i="31"/>
  <c r="X312" i="31"/>
  <c r="X313" i="31"/>
  <c r="Y312" i="31"/>
  <c r="X314" i="31"/>
  <c r="Y313" i="31"/>
  <c r="X315" i="31"/>
  <c r="Y314" i="31"/>
  <c r="X316" i="31"/>
  <c r="Y315" i="31"/>
  <c r="X317" i="31"/>
  <c r="Y316" i="31"/>
  <c r="Y317" i="31"/>
  <c r="X318" i="31"/>
  <c r="X319" i="31"/>
  <c r="Y318" i="31"/>
  <c r="Y319" i="31"/>
  <c r="X320" i="31"/>
  <c r="X321" i="31"/>
  <c r="Y320" i="31"/>
  <c r="Y321" i="31"/>
  <c r="X322" i="31"/>
  <c r="X323" i="31"/>
  <c r="Y322" i="31"/>
  <c r="X324" i="31"/>
  <c r="Y323" i="31"/>
  <c r="X325" i="31"/>
  <c r="Y324" i="31"/>
  <c r="Y325" i="31"/>
  <c r="X326" i="31"/>
  <c r="X327" i="31"/>
  <c r="Y326" i="31"/>
  <c r="Y327" i="31"/>
  <c r="X328" i="31"/>
  <c r="Y328" i="31"/>
  <c r="X329" i="31"/>
  <c r="Y329" i="31"/>
  <c r="X330" i="31"/>
  <c r="Y330" i="31"/>
  <c r="X331" i="31"/>
  <c r="Y331" i="31"/>
  <c r="X332" i="31"/>
  <c r="X333" i="31"/>
  <c r="Y332" i="31"/>
  <c r="X334" i="31"/>
  <c r="Y333" i="31"/>
  <c r="Y334" i="31"/>
  <c r="X335" i="31"/>
  <c r="X336" i="31"/>
  <c r="Y335" i="31"/>
  <c r="Y336" i="31"/>
  <c r="X337" i="31"/>
  <c r="X338" i="31"/>
  <c r="Y337" i="31"/>
  <c r="X339" i="31"/>
  <c r="Y338" i="31"/>
  <c r="X340" i="31"/>
  <c r="Y339" i="31"/>
  <c r="Y340" i="31"/>
  <c r="X341" i="31"/>
  <c r="X342" i="31"/>
  <c r="Y341" i="31"/>
  <c r="X343" i="31"/>
  <c r="Y342" i="31"/>
  <c r="Y343" i="31"/>
  <c r="X344" i="31"/>
  <c r="Y344" i="31"/>
  <c r="X345" i="31"/>
  <c r="Y345" i="31"/>
  <c r="X346" i="31"/>
  <c r="Y346" i="31"/>
  <c r="X347" i="31"/>
  <c r="X348" i="31"/>
  <c r="Y347" i="31"/>
  <c r="Y348" i="31"/>
  <c r="X349" i="31"/>
  <c r="X350" i="31"/>
  <c r="Y349" i="31"/>
  <c r="Y350" i="31"/>
  <c r="X351" i="31"/>
  <c r="X352" i="31"/>
  <c r="Y351" i="31"/>
  <c r="Y352" i="31"/>
  <c r="X353" i="31"/>
  <c r="Y353" i="31"/>
  <c r="X354" i="31"/>
  <c r="Y354" i="31"/>
  <c r="X355" i="31"/>
  <c r="X356" i="31"/>
  <c r="Y355" i="31"/>
  <c r="X357" i="31"/>
  <c r="Y356" i="31"/>
  <c r="Y357" i="31"/>
  <c r="X358" i="31"/>
  <c r="X359" i="31"/>
  <c r="Y358" i="31"/>
  <c r="X360" i="31"/>
  <c r="Y359" i="31"/>
  <c r="X361" i="31"/>
  <c r="Y360" i="31"/>
  <c r="Y361" i="31"/>
  <c r="X362" i="31"/>
  <c r="Y362" i="31"/>
  <c r="X363" i="31"/>
  <c r="Y363" i="31"/>
  <c r="X364" i="31"/>
  <c r="Y364" i="31"/>
  <c r="X365" i="31"/>
  <c r="Y365" i="31"/>
  <c r="X366" i="31"/>
  <c r="X367" i="31"/>
  <c r="Y366" i="31"/>
  <c r="Y367" i="31"/>
  <c r="X368" i="31"/>
  <c r="Y368" i="31"/>
  <c r="X369" i="31"/>
  <c r="X370" i="31"/>
  <c r="Y369" i="31"/>
  <c r="X371" i="31"/>
  <c r="Y370" i="31"/>
  <c r="Y371" i="31"/>
  <c r="X372" i="31"/>
  <c r="X373" i="31"/>
  <c r="Y372" i="31"/>
  <c r="X374" i="31"/>
  <c r="Y373" i="31"/>
  <c r="X375" i="31"/>
  <c r="Y374" i="31"/>
  <c r="Y375" i="31"/>
  <c r="X376" i="31"/>
  <c r="X377" i="31"/>
  <c r="Y376" i="31"/>
  <c r="X378" i="31"/>
  <c r="Y377" i="31"/>
  <c r="Y378" i="31"/>
  <c r="X379" i="31"/>
  <c r="Y379" i="31"/>
  <c r="X380" i="31"/>
  <c r="Y380" i="31"/>
  <c r="X381" i="31"/>
  <c r="X382" i="31"/>
  <c r="Y381" i="31"/>
  <c r="X383" i="31"/>
  <c r="Y382" i="31"/>
  <c r="X384" i="31"/>
  <c r="Y383" i="31"/>
  <c r="Y384" i="31"/>
  <c r="X385" i="31"/>
  <c r="X386" i="31"/>
  <c r="Y385" i="31"/>
  <c r="X387" i="31"/>
  <c r="Y386" i="31"/>
  <c r="Y387" i="31"/>
  <c r="X388" i="31"/>
  <c r="X389" i="31"/>
  <c r="Y388" i="31"/>
  <c r="X390" i="31"/>
  <c r="Y389" i="31"/>
  <c r="X391" i="31"/>
  <c r="Y390" i="31"/>
  <c r="X392" i="31"/>
  <c r="Y391" i="31"/>
  <c r="Y392" i="31"/>
  <c r="X393" i="31"/>
  <c r="Y393" i="31"/>
  <c r="X394" i="31"/>
  <c r="X395" i="31"/>
  <c r="Y394" i="31"/>
  <c r="X396" i="31"/>
  <c r="Y395" i="31"/>
  <c r="Y396" i="31"/>
  <c r="X397" i="31"/>
  <c r="Y397" i="31"/>
  <c r="X398" i="31"/>
  <c r="X399" i="31"/>
  <c r="Y398" i="31"/>
  <c r="X400" i="31"/>
  <c r="Y399" i="31"/>
  <c r="Y400" i="31"/>
  <c r="X401" i="31"/>
  <c r="X402" i="31"/>
  <c r="Y401" i="31"/>
  <c r="X403" i="31"/>
  <c r="Y402" i="31"/>
  <c r="X404" i="31"/>
  <c r="Y403" i="31"/>
  <c r="Y404" i="31"/>
  <c r="X405" i="31"/>
  <c r="Y405" i="31"/>
  <c r="X406" i="31"/>
  <c r="X407" i="31"/>
  <c r="Y406" i="31"/>
  <c r="Y407" i="31"/>
  <c r="X408" i="31"/>
  <c r="X409" i="31"/>
  <c r="Y408" i="31"/>
  <c r="X410" i="31"/>
  <c r="Y409" i="31"/>
  <c r="X411" i="31"/>
  <c r="Y410" i="31"/>
  <c r="X412" i="31"/>
  <c r="Y411" i="31"/>
  <c r="Y412" i="31"/>
  <c r="X413" i="31"/>
  <c r="Y413" i="31"/>
  <c r="X414" i="31"/>
  <c r="Y414" i="31"/>
  <c r="X415" i="31"/>
  <c r="X416" i="31"/>
  <c r="Y415" i="31"/>
  <c r="X417" i="31"/>
  <c r="Y416" i="31"/>
  <c r="Y417" i="31"/>
  <c r="X418" i="31"/>
  <c r="Y418" i="31"/>
  <c r="X419" i="31"/>
  <c r="X420" i="31"/>
  <c r="Y419" i="31"/>
  <c r="Y420" i="31"/>
  <c r="X421" i="31"/>
  <c r="X422" i="31"/>
  <c r="Y421" i="31"/>
  <c r="Y422" i="31"/>
  <c r="X423" i="31"/>
  <c r="Y423" i="31"/>
  <c r="X424" i="31"/>
  <c r="X425" i="31"/>
  <c r="Y424" i="31"/>
  <c r="X426" i="31"/>
  <c r="Y425" i="31"/>
  <c r="X427" i="31"/>
  <c r="Y426" i="31"/>
  <c r="Y427" i="31"/>
  <c r="X428" i="31"/>
  <c r="X429" i="31"/>
  <c r="Y428" i="31"/>
  <c r="Y429" i="31"/>
  <c r="X430" i="31"/>
  <c r="X431" i="31"/>
  <c r="Y430" i="31"/>
  <c r="X432" i="31"/>
  <c r="Y431" i="31"/>
  <c r="Y432" i="31"/>
  <c r="X433" i="31"/>
  <c r="Y433" i="31"/>
  <c r="X434" i="31"/>
  <c r="Y434" i="31"/>
  <c r="X435" i="31"/>
  <c r="Y435" i="31"/>
  <c r="X436" i="31"/>
  <c r="X437" i="31"/>
  <c r="Y436" i="31"/>
  <c r="X438" i="31"/>
  <c r="Y437" i="31"/>
  <c r="Y438" i="31"/>
  <c r="X439" i="31"/>
  <c r="Y439" i="31"/>
  <c r="X440" i="31"/>
  <c r="X441" i="31"/>
  <c r="Y440" i="31"/>
  <c r="Y441" i="31"/>
  <c r="X442" i="31"/>
  <c r="Y442" i="31"/>
  <c r="X443" i="31"/>
  <c r="X444" i="31"/>
  <c r="Y443" i="31"/>
  <c r="Y444" i="31"/>
  <c r="X445" i="31"/>
  <c r="X446" i="31"/>
  <c r="Y445" i="31"/>
  <c r="X447" i="31"/>
  <c r="Y446" i="31"/>
  <c r="Y447" i="31"/>
  <c r="X448" i="31"/>
  <c r="Y448" i="31"/>
  <c r="X449" i="31"/>
  <c r="Y449" i="31"/>
  <c r="X450" i="31"/>
  <c r="Y450" i="31"/>
  <c r="X451" i="31"/>
  <c r="X452" i="31"/>
  <c r="Y451" i="31"/>
  <c r="X453" i="31"/>
  <c r="Y452" i="31"/>
  <c r="X454" i="31"/>
  <c r="Y453" i="31"/>
  <c r="Y454" i="31"/>
  <c r="X455" i="31"/>
  <c r="X456" i="31"/>
  <c r="Y455" i="31"/>
  <c r="Y456" i="31"/>
  <c r="X457" i="31"/>
  <c r="Y457" i="31"/>
  <c r="X458" i="31"/>
  <c r="Y458" i="31"/>
  <c r="X459" i="31"/>
  <c r="Y459" i="31"/>
  <c r="X460" i="31"/>
  <c r="X461" i="31"/>
  <c r="Y460" i="31"/>
  <c r="Y461" i="31"/>
  <c r="X462" i="31"/>
  <c r="Y462" i="31"/>
  <c r="X463" i="31"/>
  <c r="Y463" i="31"/>
  <c r="X464" i="31"/>
  <c r="Y464" i="31"/>
  <c r="X465" i="31"/>
  <c r="Y465" i="31"/>
  <c r="X466" i="31"/>
  <c r="Y466" i="31"/>
  <c r="X467" i="31"/>
  <c r="Y467" i="31"/>
  <c r="X468" i="31"/>
  <c r="X469" i="31"/>
  <c r="Y468" i="31"/>
  <c r="Y469" i="31"/>
  <c r="X470" i="31"/>
  <c r="X471" i="31"/>
  <c r="Y470" i="31"/>
  <c r="Y471" i="31"/>
  <c r="X472" i="31"/>
  <c r="X473" i="31"/>
  <c r="Y472" i="31"/>
  <c r="Y473" i="31"/>
  <c r="X474" i="31"/>
  <c r="X475" i="31"/>
  <c r="Y474" i="31"/>
  <c r="X476" i="31"/>
  <c r="Y475" i="31"/>
  <c r="X477" i="31"/>
  <c r="Y476" i="31"/>
  <c r="X478" i="31"/>
  <c r="Y477" i="31"/>
  <c r="X479" i="31"/>
  <c r="Y478" i="31"/>
  <c r="Y479" i="31"/>
  <c r="X480" i="31"/>
  <c r="X481" i="31"/>
  <c r="Y480" i="31"/>
  <c r="X482" i="31"/>
  <c r="Y481" i="31"/>
  <c r="Y482" i="31"/>
  <c r="X483" i="31"/>
  <c r="Y483" i="31"/>
  <c r="X484" i="31"/>
  <c r="X485" i="31"/>
  <c r="Y484" i="31"/>
  <c r="Y485" i="31"/>
  <c r="X486" i="31"/>
  <c r="X487" i="31"/>
  <c r="Y486" i="31"/>
  <c r="X488" i="31"/>
  <c r="Y487" i="31"/>
  <c r="X489" i="31"/>
  <c r="Y488" i="31"/>
  <c r="X490" i="31"/>
  <c r="Y489" i="31"/>
  <c r="X491" i="31"/>
  <c r="Y490" i="31"/>
  <c r="Y491" i="31"/>
  <c r="X492" i="31"/>
  <c r="Y492" i="31"/>
  <c r="X493" i="31"/>
  <c r="X494" i="31"/>
  <c r="Y493" i="31"/>
  <c r="Y494" i="31"/>
  <c r="X495" i="31"/>
  <c r="Y495" i="31"/>
  <c r="X496" i="31"/>
  <c r="Y496" i="31"/>
  <c r="X497" i="31"/>
  <c r="Y497" i="31"/>
  <c r="X498" i="31"/>
  <c r="X499" i="31"/>
  <c r="Y498" i="31"/>
  <c r="Y499" i="31"/>
  <c r="X500" i="31"/>
  <c r="Y500" i="31"/>
  <c r="X501" i="31"/>
  <c r="X502" i="31"/>
  <c r="Y501" i="31"/>
  <c r="X503" i="31"/>
  <c r="Y502" i="31"/>
  <c r="X504" i="31"/>
  <c r="Y503" i="31"/>
  <c r="Y504" i="31"/>
  <c r="X505" i="31"/>
  <c r="X506" i="31"/>
  <c r="Y505" i="31"/>
  <c r="Y506" i="31"/>
  <c r="X507" i="31"/>
  <c r="X508" i="31"/>
  <c r="Y507" i="31"/>
  <c r="X509" i="31"/>
  <c r="Y508" i="31"/>
  <c r="Y509" i="31"/>
  <c r="X510" i="31"/>
  <c r="X511" i="31"/>
  <c r="Y510" i="31"/>
  <c r="X512" i="31"/>
  <c r="Y511" i="31"/>
  <c r="Y512" i="31"/>
  <c r="X513" i="31"/>
  <c r="Y513" i="31"/>
  <c r="X514" i="31"/>
  <c r="X515" i="31"/>
  <c r="Y514" i="31"/>
  <c r="Y515" i="31"/>
  <c r="X516" i="31"/>
  <c r="X517" i="31"/>
  <c r="Y516" i="31"/>
  <c r="X518" i="31"/>
  <c r="Y517" i="31"/>
  <c r="Y518" i="31"/>
  <c r="X519" i="31"/>
  <c r="X520" i="31"/>
  <c r="Y519" i="31"/>
  <c r="X521" i="31"/>
  <c r="Y520" i="31"/>
  <c r="Y521" i="31"/>
  <c r="X522" i="31"/>
  <c r="X523" i="31"/>
  <c r="Y522" i="31"/>
  <c r="Y523" i="31"/>
  <c r="X524" i="31"/>
  <c r="Y524" i="31"/>
  <c r="X525" i="31"/>
  <c r="X526" i="31"/>
  <c r="Y525" i="31"/>
  <c r="Y526" i="31"/>
  <c r="X527" i="31"/>
  <c r="X528" i="31"/>
  <c r="Y527" i="31"/>
  <c r="X529" i="31"/>
  <c r="Y528" i="31"/>
  <c r="Y529" i="31"/>
  <c r="X530" i="31"/>
  <c r="Y530" i="31"/>
  <c r="X531" i="31"/>
  <c r="X532" i="31"/>
  <c r="Y531" i="31"/>
  <c r="Y532" i="31"/>
  <c r="X533" i="31"/>
  <c r="X534" i="31"/>
  <c r="Y533" i="31"/>
  <c r="X535" i="31"/>
  <c r="Y534" i="31"/>
  <c r="X536" i="31"/>
  <c r="Y535" i="31"/>
  <c r="Y536" i="31"/>
  <c r="X537" i="31"/>
  <c r="X538" i="31"/>
  <c r="Y537" i="31"/>
  <c r="Y538" i="31"/>
  <c r="X539" i="31"/>
  <c r="X540" i="31"/>
  <c r="Y539" i="31"/>
  <c r="X541" i="31"/>
  <c r="Y540" i="31"/>
  <c r="Y541" i="31"/>
  <c r="X542" i="31"/>
  <c r="Y542" i="31"/>
  <c r="X543" i="31"/>
  <c r="X544" i="31"/>
  <c r="Y543" i="31"/>
  <c r="Y544" i="31"/>
  <c r="X545" i="31"/>
  <c r="X546" i="31"/>
  <c r="Y545" i="31"/>
  <c r="Y546" i="31"/>
  <c r="X547" i="31"/>
  <c r="X548" i="31"/>
  <c r="Y547" i="31"/>
  <c r="Y548" i="31"/>
  <c r="X549" i="31"/>
  <c r="X550" i="31"/>
  <c r="Y549" i="31"/>
  <c r="Y550" i="31"/>
  <c r="X551" i="31"/>
  <c r="X552" i="31"/>
  <c r="Y551" i="31"/>
  <c r="Y552" i="31"/>
  <c r="X553" i="31"/>
  <c r="X554" i="31"/>
  <c r="Y553" i="31"/>
  <c r="X555" i="31"/>
  <c r="Y554" i="31"/>
  <c r="X556" i="31"/>
  <c r="Y555" i="31"/>
  <c r="Y556" i="31"/>
  <c r="X557" i="31"/>
  <c r="X558" i="31"/>
  <c r="Y557" i="31"/>
  <c r="X559" i="31"/>
  <c r="Y558" i="31"/>
  <c r="Y559" i="31"/>
  <c r="X560" i="31"/>
  <c r="Y560" i="31"/>
  <c r="X561" i="31"/>
  <c r="X562" i="31"/>
  <c r="Y561" i="31"/>
  <c r="Y562" i="31"/>
  <c r="X563" i="31"/>
  <c r="X564" i="31"/>
  <c r="Y563" i="31"/>
  <c r="X565" i="31"/>
  <c r="Y564" i="31"/>
  <c r="X566" i="31"/>
  <c r="Y565" i="31"/>
  <c r="Y566" i="31"/>
  <c r="X567" i="31"/>
  <c r="Y567" i="31"/>
  <c r="X568" i="31"/>
  <c r="X569" i="31"/>
  <c r="Y568" i="31"/>
  <c r="X570" i="31"/>
  <c r="Y569" i="31"/>
  <c r="Y570" i="31"/>
  <c r="X571" i="31"/>
  <c r="X572" i="31"/>
  <c r="Y571" i="31"/>
  <c r="Y572" i="31"/>
  <c r="X573" i="31"/>
  <c r="Y573" i="31"/>
  <c r="X574" i="31"/>
  <c r="X575" i="31"/>
  <c r="Y574" i="31"/>
  <c r="Y575" i="31"/>
  <c r="X576" i="31"/>
  <c r="Y576" i="31"/>
  <c r="X577" i="31"/>
  <c r="X578" i="31"/>
  <c r="Y577" i="31"/>
  <c r="X579" i="31"/>
  <c r="Y578" i="31"/>
  <c r="X580" i="31"/>
  <c r="Y579" i="31"/>
  <c r="Y580" i="31"/>
  <c r="X581" i="31"/>
  <c r="Y581" i="31"/>
  <c r="X582" i="31"/>
  <c r="X583" i="31"/>
  <c r="Y582" i="31"/>
  <c r="X584" i="31"/>
  <c r="Y583" i="31"/>
  <c r="X585" i="31"/>
  <c r="Y584" i="31"/>
  <c r="X586" i="31"/>
  <c r="Y585" i="31"/>
  <c r="Y586" i="31"/>
  <c r="X587" i="31"/>
  <c r="X588" i="31"/>
  <c r="Y587" i="31"/>
  <c r="Y588" i="31"/>
  <c r="X589" i="31"/>
  <c r="Y589" i="31"/>
  <c r="X590" i="31"/>
  <c r="X591" i="31"/>
  <c r="Y590" i="31"/>
  <c r="X592" i="31"/>
  <c r="Y591" i="31"/>
  <c r="X593" i="31"/>
  <c r="Y592" i="31"/>
  <c r="Y593" i="31"/>
  <c r="X594" i="31"/>
  <c r="Y594" i="31"/>
  <c r="X595" i="31"/>
  <c r="Y595" i="31"/>
  <c r="X596" i="31"/>
  <c r="X597" i="31"/>
  <c r="Y596" i="31"/>
  <c r="Y597" i="31"/>
  <c r="X598" i="31"/>
  <c r="Y598" i="31"/>
  <c r="X599" i="31"/>
  <c r="X600" i="31"/>
  <c r="Y599" i="31"/>
  <c r="X601" i="31"/>
  <c r="Y600" i="31"/>
  <c r="Y601" i="31"/>
  <c r="X602" i="31"/>
  <c r="X603" i="31"/>
  <c r="Y602" i="31"/>
  <c r="X604" i="31"/>
  <c r="Y603" i="31"/>
  <c r="Y604" i="31"/>
  <c r="X605" i="31"/>
  <c r="Y605" i="31"/>
  <c r="X606" i="31"/>
  <c r="X607" i="31"/>
  <c r="Y606" i="31"/>
  <c r="X608" i="31"/>
  <c r="Y607" i="31"/>
  <c r="Y608" i="31"/>
  <c r="X609" i="31"/>
  <c r="X610" i="31"/>
  <c r="Y609" i="31"/>
  <c r="Y610" i="31"/>
  <c r="X611" i="31"/>
  <c r="X612" i="31"/>
  <c r="Y611" i="31"/>
  <c r="Y612" i="31"/>
  <c r="X613" i="31"/>
  <c r="Y613" i="31"/>
  <c r="X614" i="31"/>
  <c r="Y614" i="31"/>
  <c r="X615" i="31"/>
  <c r="Y615" i="31"/>
  <c r="X616" i="31"/>
  <c r="Y616" i="31"/>
  <c r="X617" i="31"/>
  <c r="X618" i="31"/>
  <c r="Y617" i="31"/>
  <c r="Y618" i="31"/>
  <c r="X619" i="31"/>
  <c r="X620" i="31"/>
  <c r="Y619" i="31"/>
  <c r="Y620" i="31"/>
  <c r="X621" i="31"/>
  <c r="X622" i="31"/>
  <c r="Y621" i="31"/>
  <c r="X623" i="31"/>
  <c r="Y622" i="31"/>
  <c r="X624" i="31"/>
  <c r="Y623" i="31"/>
  <c r="Y624" i="31"/>
  <c r="X625" i="31"/>
  <c r="Y625" i="31"/>
  <c r="X626" i="31"/>
  <c r="X627" i="31"/>
  <c r="Y626" i="31"/>
  <c r="X628" i="31"/>
  <c r="Y627" i="31"/>
  <c r="X629" i="31"/>
  <c r="Y628" i="31"/>
  <c r="Y629" i="31"/>
  <c r="X630" i="31"/>
  <c r="X631" i="31"/>
  <c r="Y630" i="31"/>
  <c r="Y631" i="31"/>
  <c r="X632" i="31"/>
  <c r="Y632" i="31"/>
  <c r="X633" i="31"/>
  <c r="X634" i="31"/>
  <c r="Y633" i="31"/>
  <c r="X635" i="31"/>
  <c r="Y634" i="31"/>
  <c r="X636" i="31"/>
  <c r="Y635" i="31"/>
  <c r="X637" i="31"/>
  <c r="Y636" i="31"/>
  <c r="Y637" i="31"/>
  <c r="X638" i="31"/>
  <c r="X639" i="31"/>
  <c r="Y638" i="31"/>
  <c r="X640" i="31"/>
  <c r="Y639" i="31"/>
  <c r="Y640" i="31"/>
  <c r="X641" i="31"/>
  <c r="Y641" i="31"/>
  <c r="X642" i="31"/>
  <c r="X643" i="31"/>
  <c r="Y642" i="31"/>
  <c r="Y643" i="31"/>
  <c r="X644" i="31"/>
  <c r="X645" i="31"/>
  <c r="Y644" i="31"/>
  <c r="X646" i="31"/>
  <c r="Y645" i="31"/>
  <c r="Y646" i="31"/>
  <c r="X647" i="31"/>
  <c r="Y647" i="31"/>
  <c r="X648" i="31"/>
  <c r="X649" i="31"/>
  <c r="Y648" i="31"/>
  <c r="X650" i="31"/>
  <c r="Y649" i="31"/>
  <c r="Y650" i="31"/>
  <c r="X651" i="31"/>
  <c r="X652" i="31"/>
  <c r="Y651" i="31"/>
  <c r="Y652" i="31"/>
  <c r="X653" i="31"/>
  <c r="X654" i="31"/>
  <c r="Y653" i="31"/>
  <c r="X655" i="31"/>
  <c r="Y654" i="31"/>
  <c r="Y655" i="31"/>
  <c r="X656" i="31"/>
  <c r="X657" i="31"/>
  <c r="Y656" i="31"/>
  <c r="Y657" i="31"/>
  <c r="X658" i="31"/>
  <c r="Y658" i="31"/>
  <c r="X659" i="31"/>
  <c r="Y659" i="31"/>
  <c r="X660" i="31"/>
  <c r="Y660" i="31"/>
  <c r="X661" i="31"/>
  <c r="Y661" i="31"/>
  <c r="X662" i="31"/>
  <c r="X663" i="31"/>
  <c r="Y662" i="31"/>
  <c r="X664" i="31"/>
  <c r="Y663" i="31"/>
  <c r="Y664" i="31"/>
  <c r="X665" i="31"/>
  <c r="X666" i="31"/>
  <c r="Y665" i="31"/>
  <c r="Y666" i="31"/>
  <c r="X667" i="31"/>
  <c r="Y667" i="31"/>
  <c r="X668" i="31"/>
  <c r="Y668" i="31"/>
  <c r="X669" i="31"/>
  <c r="X670" i="31"/>
  <c r="Y669" i="31"/>
  <c r="Y670" i="31"/>
  <c r="X671" i="31"/>
  <c r="Y671" i="31"/>
  <c r="X672" i="31"/>
  <c r="X673" i="31"/>
  <c r="Y672" i="31"/>
  <c r="X674" i="31"/>
  <c r="Y673" i="31"/>
  <c r="X675" i="31"/>
  <c r="Y674" i="31"/>
  <c r="X676" i="31"/>
  <c r="Y675" i="31"/>
  <c r="X677" i="31"/>
  <c r="Y676" i="31"/>
  <c r="Y677" i="31"/>
  <c r="X678" i="31"/>
  <c r="X679" i="31"/>
  <c r="Y678" i="31"/>
  <c r="Y679" i="31"/>
  <c r="X680" i="31"/>
  <c r="X681" i="31"/>
  <c r="Y680" i="31"/>
  <c r="Y681" i="31"/>
  <c r="X682" i="31"/>
  <c r="Y682" i="31"/>
  <c r="X683" i="31"/>
  <c r="Y683" i="31"/>
  <c r="X684" i="31"/>
  <c r="X685" i="31"/>
  <c r="Y684" i="31"/>
  <c r="Y685" i="31"/>
  <c r="X686" i="31"/>
  <c r="Y686" i="31"/>
  <c r="X687" i="31"/>
  <c r="Y687" i="31"/>
  <c r="X688" i="31"/>
  <c r="Y688" i="31"/>
  <c r="X689" i="31"/>
  <c r="Y689" i="31"/>
  <c r="X690" i="31"/>
  <c r="X691" i="31"/>
  <c r="Y690" i="31"/>
  <c r="Y691" i="31"/>
  <c r="X692" i="31"/>
  <c r="Y692" i="31"/>
  <c r="X693" i="31"/>
  <c r="Y693" i="31"/>
  <c r="X694" i="31"/>
  <c r="Y694" i="31"/>
  <c r="X695" i="31"/>
  <c r="Y695" i="31"/>
  <c r="X696" i="31"/>
  <c r="X697" i="31"/>
  <c r="Y696" i="31"/>
  <c r="Y697" i="31"/>
  <c r="X698" i="31"/>
  <c r="X699" i="31"/>
  <c r="Y698" i="31"/>
  <c r="X700" i="31"/>
  <c r="Y699" i="31"/>
  <c r="Y700" i="31"/>
  <c r="X701" i="31"/>
  <c r="X702" i="31"/>
  <c r="Y701" i="31"/>
  <c r="X703" i="31"/>
  <c r="Y702" i="31"/>
  <c r="X704" i="31"/>
  <c r="Y703" i="31"/>
  <c r="X705" i="31"/>
  <c r="Y704" i="31"/>
  <c r="Y705" i="31"/>
  <c r="X706" i="31"/>
  <c r="X707" i="31"/>
  <c r="Y706" i="31"/>
  <c r="X708" i="31"/>
  <c r="Y707" i="31"/>
  <c r="X709" i="31"/>
  <c r="Y708" i="31"/>
  <c r="Y709" i="31"/>
  <c r="X710" i="31"/>
  <c r="X711" i="31"/>
  <c r="Y710" i="31"/>
  <c r="X712" i="31"/>
  <c r="Y711" i="31"/>
  <c r="X713" i="31"/>
  <c r="Y712" i="31"/>
  <c r="Y713" i="31"/>
  <c r="X714" i="31"/>
  <c r="X715" i="31"/>
  <c r="Y714" i="31"/>
  <c r="X716" i="31"/>
  <c r="Y715" i="31"/>
  <c r="X717" i="31"/>
  <c r="Y716" i="31"/>
  <c r="X718" i="31"/>
  <c r="Y717" i="31"/>
  <c r="Y718" i="31"/>
  <c r="X719" i="31"/>
  <c r="Y719" i="31"/>
  <c r="X720" i="31"/>
  <c r="X721" i="31"/>
  <c r="Y720" i="31"/>
  <c r="X722" i="31"/>
  <c r="Y721" i="31"/>
  <c r="Y722" i="31"/>
  <c r="X723" i="31"/>
  <c r="Y723" i="31"/>
  <c r="X724" i="31"/>
  <c r="Y724" i="31"/>
  <c r="X725" i="31"/>
  <c r="X726" i="31"/>
  <c r="Y725" i="31"/>
  <c r="X727" i="31"/>
  <c r="Y726" i="31"/>
  <c r="X728" i="31"/>
  <c r="Y727" i="31"/>
  <c r="Y728" i="31"/>
  <c r="X729" i="31"/>
  <c r="Y729" i="31"/>
  <c r="X730" i="31"/>
  <c r="X731" i="31"/>
  <c r="Y730" i="31"/>
  <c r="X732" i="31"/>
  <c r="Y731" i="31"/>
  <c r="Y732" i="31"/>
  <c r="X733" i="31"/>
  <c r="Y733" i="31"/>
  <c r="X734" i="31"/>
  <c r="Y734" i="31"/>
  <c r="X735" i="31"/>
  <c r="X736" i="31"/>
  <c r="Y735" i="31"/>
  <c r="X737" i="31"/>
  <c r="Y736" i="31"/>
  <c r="Y737" i="31"/>
  <c r="X738" i="31"/>
  <c r="X739" i="31"/>
  <c r="Y738" i="31"/>
  <c r="X740" i="31"/>
  <c r="Y739" i="31"/>
  <c r="X741" i="31"/>
  <c r="Y740" i="31"/>
  <c r="Y741" i="31"/>
  <c r="X742" i="31"/>
  <c r="Y742" i="31"/>
  <c r="X743" i="31"/>
  <c r="Y743" i="31"/>
  <c r="X744" i="31"/>
  <c r="Y744" i="31"/>
  <c r="X745" i="31"/>
  <c r="X746" i="31"/>
  <c r="Y745" i="31"/>
  <c r="Y746" i="31"/>
  <c r="X747" i="31"/>
  <c r="X748" i="31"/>
  <c r="Y747" i="31"/>
  <c r="X749" i="31"/>
  <c r="Y748" i="31"/>
  <c r="Y749" i="31"/>
  <c r="X750" i="31"/>
  <c r="Y750" i="31"/>
  <c r="X751" i="31"/>
  <c r="X752" i="31"/>
  <c r="Y751" i="31"/>
  <c r="X753" i="31"/>
  <c r="Y752" i="31"/>
  <c r="X754" i="31"/>
  <c r="Y753" i="31"/>
  <c r="Y754" i="31"/>
  <c r="X755" i="31"/>
  <c r="Y755" i="31"/>
  <c r="X756" i="31"/>
  <c r="X757" i="31"/>
  <c r="Y756" i="31"/>
  <c r="Y757" i="31"/>
  <c r="X758" i="31"/>
  <c r="X759" i="31"/>
  <c r="Y758" i="31"/>
  <c r="X760" i="31"/>
  <c r="Y759" i="31"/>
  <c r="Y760" i="31"/>
  <c r="X761" i="31"/>
  <c r="Y761" i="31"/>
  <c r="X762" i="31"/>
  <c r="Y762" i="31"/>
  <c r="X763" i="31"/>
  <c r="Y763" i="31"/>
  <c r="X764" i="31"/>
  <c r="Y764" i="31"/>
  <c r="X765" i="31"/>
  <c r="Y765" i="31"/>
  <c r="X766" i="31"/>
  <c r="X767" i="31"/>
  <c r="Y766" i="31"/>
  <c r="Y767" i="31"/>
  <c r="X768" i="31"/>
  <c r="Y768" i="31"/>
  <c r="X769" i="31"/>
  <c r="X770" i="31"/>
  <c r="Y769" i="31"/>
  <c r="X771" i="31"/>
  <c r="Y770" i="31"/>
  <c r="Y771" i="31"/>
  <c r="X772" i="31"/>
  <c r="Y772" i="31"/>
  <c r="X773" i="31"/>
  <c r="Y773" i="31"/>
  <c r="X774" i="31"/>
  <c r="X775" i="31"/>
  <c r="Y774" i="31"/>
  <c r="X776" i="31"/>
  <c r="Y775" i="31"/>
  <c r="Y776" i="31"/>
  <c r="X777" i="31"/>
  <c r="Y777" i="31"/>
  <c r="X778" i="31"/>
  <c r="Y778" i="31"/>
  <c r="X779" i="31"/>
  <c r="X780" i="31"/>
  <c r="Y779" i="31"/>
  <c r="Y780" i="31"/>
  <c r="X781" i="31"/>
  <c r="Y781" i="31"/>
  <c r="X782" i="31"/>
  <c r="X783" i="31"/>
  <c r="Y782" i="31"/>
  <c r="X784" i="31"/>
  <c r="Y783" i="31"/>
  <c r="X785" i="31"/>
  <c r="Y784" i="31"/>
  <c r="X786" i="31"/>
  <c r="Y785" i="31"/>
  <c r="Y786" i="31"/>
  <c r="X787" i="31"/>
  <c r="Y787" i="31"/>
  <c r="X788" i="31"/>
  <c r="X789" i="31"/>
  <c r="Y788" i="31"/>
  <c r="X790" i="31"/>
  <c r="Y789" i="31"/>
  <c r="X791" i="31"/>
  <c r="Y790" i="31"/>
  <c r="X792" i="31"/>
  <c r="Y791" i="31"/>
  <c r="X793" i="31"/>
  <c r="Y792" i="31"/>
  <c r="Y793" i="31"/>
  <c r="X794" i="31"/>
  <c r="Y794" i="31"/>
  <c r="X795" i="31"/>
  <c r="X796" i="31"/>
  <c r="Y795" i="31"/>
  <c r="Y796" i="31"/>
  <c r="X797" i="31"/>
  <c r="Y797" i="31"/>
  <c r="X798" i="31"/>
  <c r="Y798" i="31"/>
  <c r="X799" i="31"/>
  <c r="Y799" i="31"/>
  <c r="X800" i="31"/>
  <c r="Y800" i="31"/>
  <c r="X801" i="31"/>
  <c r="Y801" i="31"/>
  <c r="X802" i="31"/>
  <c r="X803" i="31"/>
  <c r="Y802" i="31"/>
  <c r="Y803" i="31"/>
  <c r="X804" i="31"/>
  <c r="Y804" i="31"/>
  <c r="X805" i="31"/>
  <c r="X806" i="31"/>
  <c r="Y805" i="31"/>
  <c r="Y806" i="31"/>
  <c r="X807" i="31"/>
  <c r="X808" i="31"/>
  <c r="Y807" i="31"/>
  <c r="Y808" i="31"/>
  <c r="X809" i="31"/>
  <c r="X810" i="31"/>
  <c r="Y809" i="31"/>
  <c r="Y810" i="31"/>
  <c r="X811" i="31"/>
  <c r="X812" i="31"/>
  <c r="Y811" i="31"/>
  <c r="X813" i="31"/>
  <c r="Y812" i="31"/>
  <c r="Y813" i="31"/>
  <c r="X814" i="31"/>
  <c r="Y814" i="31"/>
  <c r="X815" i="31"/>
  <c r="Y815" i="31"/>
  <c r="X816" i="31"/>
  <c r="Y816" i="31"/>
  <c r="X817" i="31"/>
  <c r="Y817" i="31"/>
  <c r="X818" i="31"/>
  <c r="X819" i="31"/>
  <c r="Y818" i="31"/>
  <c r="Y819" i="31"/>
  <c r="X820" i="31"/>
  <c r="Y820" i="31"/>
  <c r="X821" i="31"/>
  <c r="Y821" i="31"/>
  <c r="X822" i="31"/>
  <c r="X823" i="31"/>
  <c r="Y822" i="31"/>
  <c r="Y823" i="31"/>
  <c r="X824" i="31"/>
  <c r="Y824" i="31"/>
  <c r="X825" i="31"/>
  <c r="X826" i="31"/>
  <c r="Y825" i="31"/>
  <c r="X827" i="31"/>
  <c r="Y826" i="31"/>
  <c r="X828" i="31"/>
  <c r="Y827" i="31"/>
  <c r="Y828" i="31"/>
  <c r="X829" i="31"/>
  <c r="Y829" i="31"/>
  <c r="X830" i="31"/>
  <c r="Y830" i="31"/>
  <c r="X831" i="31"/>
  <c r="Y831" i="31"/>
  <c r="X832" i="31"/>
  <c r="Y832" i="31"/>
  <c r="X833" i="31"/>
  <c r="Y833" i="31"/>
  <c r="X834" i="31"/>
  <c r="Y834" i="31"/>
  <c r="X835" i="31"/>
  <c r="Y835" i="31"/>
  <c r="X836" i="31"/>
  <c r="X837" i="31"/>
  <c r="Y836" i="31"/>
  <c r="Y837" i="31"/>
  <c r="X838" i="31"/>
  <c r="X839" i="31"/>
  <c r="Y838" i="31"/>
  <c r="X840" i="31"/>
  <c r="Y839" i="31"/>
  <c r="Y840" i="31"/>
  <c r="X841" i="31"/>
  <c r="X842" i="31"/>
  <c r="Y841" i="31"/>
  <c r="Y842" i="31"/>
  <c r="X843" i="31"/>
  <c r="X844" i="31"/>
  <c r="Y843" i="31"/>
  <c r="Y844" i="31"/>
  <c r="X845" i="31"/>
  <c r="Y845" i="31"/>
  <c r="X846" i="31"/>
  <c r="X847" i="31"/>
  <c r="Y846" i="31"/>
  <c r="X848" i="31"/>
  <c r="Y847" i="31"/>
  <c r="X849" i="31"/>
  <c r="Y848" i="31"/>
  <c r="Y849" i="31"/>
  <c r="X850" i="31"/>
  <c r="Y850" i="31"/>
  <c r="X851" i="31"/>
  <c r="Y851" i="31"/>
  <c r="X852" i="31"/>
  <c r="Y852" i="31"/>
  <c r="X853" i="31"/>
  <c r="X854" i="31"/>
  <c r="Y853" i="31"/>
  <c r="Y854" i="31"/>
  <c r="X855" i="31"/>
  <c r="X856" i="31"/>
  <c r="Y855" i="31"/>
  <c r="Y856" i="31"/>
  <c r="X857" i="31"/>
  <c r="X858" i="31"/>
  <c r="Y857" i="31"/>
  <c r="X859" i="31"/>
  <c r="Y858" i="31"/>
  <c r="X860" i="31"/>
  <c r="Y859" i="31"/>
  <c r="Y860" i="31"/>
  <c r="X861" i="31"/>
  <c r="X862" i="31"/>
  <c r="Y861" i="31"/>
  <c r="X863" i="31"/>
  <c r="Y862" i="31"/>
  <c r="Y863" i="31"/>
  <c r="X864" i="31"/>
  <c r="X865" i="31"/>
  <c r="Y864" i="31"/>
  <c r="X866" i="31"/>
  <c r="Y865" i="31"/>
  <c r="Y866" i="31"/>
  <c r="X867" i="31"/>
  <c r="Y867" i="31"/>
  <c r="X868" i="31"/>
  <c r="Y868" i="31"/>
  <c r="X869" i="31"/>
  <c r="X870" i="31"/>
  <c r="Y869" i="31"/>
  <c r="X871" i="31"/>
  <c r="Y870" i="31"/>
  <c r="Y871" i="31"/>
  <c r="X872" i="31"/>
  <c r="X873" i="31"/>
  <c r="Y872" i="31"/>
  <c r="X874" i="31"/>
  <c r="Y873" i="31"/>
  <c r="Y874" i="31"/>
  <c r="X875" i="31"/>
  <c r="Y875" i="31"/>
  <c r="X876" i="31"/>
  <c r="X877" i="31"/>
  <c r="Y876" i="31"/>
  <c r="X878" i="31"/>
  <c r="Y877" i="31"/>
  <c r="X879" i="31"/>
  <c r="Y878" i="31"/>
  <c r="X880" i="31"/>
  <c r="Y879" i="31"/>
  <c r="X881" i="31"/>
  <c r="Y880" i="31"/>
  <c r="X882" i="31"/>
  <c r="Y881" i="31"/>
  <c r="Y882" i="31"/>
  <c r="X883" i="31"/>
  <c r="X884" i="31"/>
  <c r="Y883" i="31"/>
  <c r="Y884" i="31"/>
  <c r="X885" i="31"/>
  <c r="Y885" i="31"/>
  <c r="X886" i="31"/>
  <c r="Y886" i="31"/>
  <c r="X887" i="31"/>
  <c r="Y887" i="31"/>
  <c r="X888" i="31"/>
  <c r="X889" i="31"/>
  <c r="Y888" i="31"/>
  <c r="X890" i="31"/>
  <c r="Y889" i="31"/>
  <c r="Y890" i="31"/>
  <c r="X891" i="31"/>
  <c r="Y891" i="31"/>
  <c r="X892" i="31"/>
  <c r="Y892" i="31"/>
  <c r="X893" i="31"/>
  <c r="Y893" i="31"/>
  <c r="X894" i="31"/>
  <c r="Y894" i="31"/>
  <c r="X895" i="31"/>
  <c r="Y895" i="31"/>
  <c r="X896" i="31"/>
  <c r="Y896" i="31"/>
  <c r="X897" i="31"/>
  <c r="Y897" i="31"/>
  <c r="X898" i="31"/>
  <c r="Y898" i="31"/>
  <c r="X899" i="31"/>
  <c r="X900" i="31"/>
  <c r="Y899" i="31"/>
  <c r="X901" i="31"/>
  <c r="Y900" i="31"/>
  <c r="Y901" i="31"/>
  <c r="X902" i="31"/>
  <c r="X903" i="31"/>
  <c r="Y902" i="31"/>
  <c r="X904" i="31"/>
  <c r="Y903" i="31"/>
  <c r="X905" i="31"/>
  <c r="Y904" i="31"/>
  <c r="Y905" i="31"/>
  <c r="X906" i="31"/>
  <c r="Y906" i="31"/>
  <c r="X907" i="31"/>
  <c r="Y907" i="31"/>
  <c r="X908" i="31"/>
  <c r="Y908" i="31"/>
  <c r="X909" i="31"/>
  <c r="X910" i="31"/>
  <c r="Y909" i="31"/>
  <c r="Y910" i="31"/>
  <c r="X911" i="31"/>
  <c r="Y911" i="31"/>
  <c r="X912" i="31"/>
  <c r="X913" i="31"/>
  <c r="Y912" i="31"/>
  <c r="X914" i="31"/>
  <c r="Y913" i="31"/>
  <c r="X915" i="31"/>
  <c r="Y914" i="31"/>
  <c r="X916" i="31"/>
  <c r="Y915" i="31"/>
  <c r="Y916" i="31"/>
  <c r="X917" i="31"/>
  <c r="Y917" i="31"/>
  <c r="X918" i="31"/>
  <c r="Y918" i="31"/>
  <c r="X919" i="31"/>
  <c r="X920" i="31"/>
  <c r="Y919" i="31"/>
  <c r="Y920" i="31"/>
  <c r="X921" i="31"/>
  <c r="X922" i="31"/>
  <c r="Y921" i="31"/>
  <c r="X923" i="31"/>
  <c r="Y922" i="31"/>
  <c r="Y923" i="31"/>
  <c r="X924" i="31"/>
  <c r="Y924" i="31"/>
  <c r="X925" i="31"/>
  <c r="Y925" i="31"/>
  <c r="X926" i="31"/>
  <c r="X927" i="31"/>
  <c r="Y926" i="31"/>
  <c r="X928" i="31"/>
  <c r="Y927" i="31"/>
  <c r="Y928" i="31"/>
  <c r="X929" i="31"/>
  <c r="X930" i="31"/>
  <c r="Y929" i="31"/>
  <c r="X931" i="31"/>
  <c r="Y930" i="31"/>
  <c r="Y931" i="31"/>
  <c r="X932" i="31"/>
  <c r="Y932" i="31"/>
  <c r="X933" i="31"/>
  <c r="X934" i="31"/>
  <c r="Y933" i="31"/>
  <c r="Y934" i="31"/>
  <c r="X935" i="31"/>
  <c r="X936" i="31"/>
  <c r="Y935" i="31"/>
  <c r="Y936" i="31"/>
  <c r="X937" i="31"/>
  <c r="Y937" i="31"/>
  <c r="X938" i="31"/>
  <c r="Y938" i="31"/>
  <c r="X939" i="31"/>
  <c r="X940" i="31"/>
  <c r="Y939" i="31"/>
  <c r="Y940" i="31"/>
  <c r="X941" i="31"/>
  <c r="Y941" i="31"/>
  <c r="X942" i="31"/>
  <c r="X943" i="31"/>
  <c r="Y942" i="31"/>
  <c r="X944" i="31"/>
  <c r="Y943" i="31"/>
  <c r="Y944" i="31"/>
  <c r="X945" i="31"/>
  <c r="Y945" i="31"/>
  <c r="X946" i="31"/>
  <c r="Y946" i="31"/>
  <c r="X947" i="31"/>
  <c r="X948" i="31"/>
  <c r="Y947" i="31"/>
  <c r="Y948" i="31"/>
  <c r="X949" i="31"/>
  <c r="Y949" i="31"/>
  <c r="X950" i="31"/>
  <c r="Y950" i="31"/>
  <c r="X951" i="31"/>
  <c r="Y951" i="31"/>
  <c r="X952" i="31"/>
  <c r="X953" i="31"/>
  <c r="Y952" i="31"/>
  <c r="Y953" i="31"/>
  <c r="X954" i="31"/>
  <c r="X955" i="31"/>
  <c r="Y954" i="31"/>
  <c r="X956" i="31"/>
  <c r="Y955" i="31"/>
  <c r="X957" i="31"/>
  <c r="Y956" i="31"/>
  <c r="X958" i="31"/>
  <c r="Y957" i="31"/>
  <c r="X959" i="31"/>
  <c r="Y958" i="31"/>
  <c r="Y959" i="31"/>
  <c r="X960" i="31"/>
  <c r="X961" i="31"/>
  <c r="Y960" i="31"/>
  <c r="Y961" i="31"/>
  <c r="X962" i="31"/>
  <c r="X963" i="31"/>
  <c r="Y962" i="31"/>
  <c r="Y963" i="31"/>
  <c r="X964" i="31"/>
  <c r="Y964" i="31"/>
  <c r="X965" i="31"/>
  <c r="X966" i="31"/>
  <c r="Y965" i="31"/>
  <c r="Y966" i="31"/>
  <c r="X967" i="31"/>
  <c r="X968" i="31"/>
  <c r="Y967" i="31"/>
  <c r="X969" i="31"/>
  <c r="Y968" i="31"/>
  <c r="Y969" i="31"/>
  <c r="X970" i="31"/>
  <c r="X971" i="31"/>
  <c r="Y970" i="31"/>
  <c r="Y971" i="31"/>
  <c r="X972" i="31"/>
  <c r="X973" i="31"/>
  <c r="Y972" i="31"/>
  <c r="Y973" i="31"/>
  <c r="X974" i="31"/>
  <c r="X975" i="31"/>
  <c r="Y974" i="31"/>
  <c r="Y975" i="31"/>
  <c r="X976" i="31"/>
  <c r="X977" i="31"/>
  <c r="Y976" i="31"/>
  <c r="Y977" i="31"/>
  <c r="X978" i="31"/>
  <c r="X979" i="31"/>
  <c r="Y978" i="31"/>
  <c r="X980" i="31"/>
  <c r="Y979" i="31"/>
  <c r="Y980" i="31"/>
  <c r="X981" i="31"/>
  <c r="Y981" i="31"/>
  <c r="X982" i="31"/>
  <c r="X983" i="31"/>
  <c r="Y982" i="31"/>
  <c r="Y983" i="31"/>
  <c r="X984" i="31"/>
  <c r="Y984" i="31"/>
  <c r="X985" i="31"/>
  <c r="X986" i="31"/>
  <c r="Y985" i="31"/>
  <c r="X987" i="31"/>
  <c r="Y986" i="31"/>
  <c r="X988" i="31"/>
  <c r="Y987" i="31"/>
  <c r="X989" i="31"/>
  <c r="Y988" i="31"/>
  <c r="Y989" i="31"/>
  <c r="X990" i="31"/>
  <c r="Y990" i="31"/>
  <c r="X991" i="31"/>
  <c r="X992" i="31"/>
  <c r="Y991" i="31"/>
  <c r="Y992" i="31"/>
  <c r="X993" i="31"/>
  <c r="Y993" i="31"/>
  <c r="X994" i="31"/>
  <c r="X995" i="31"/>
  <c r="Y994" i="31"/>
  <c r="Y995" i="31"/>
  <c r="X996" i="31"/>
  <c r="Y996" i="31"/>
  <c r="X997" i="31"/>
  <c r="X998" i="31"/>
  <c r="Y997" i="31"/>
  <c r="Y998" i="31"/>
  <c r="X999" i="31"/>
  <c r="Y999" i="31"/>
  <c r="X1000" i="31"/>
  <c r="X1001" i="31"/>
  <c r="Y1000" i="31"/>
  <c r="Y1001" i="31"/>
  <c r="X1002" i="31"/>
  <c r="X1003" i="31"/>
  <c r="Y1002" i="31"/>
  <c r="Y1003" i="31"/>
  <c r="X1004" i="31"/>
  <c r="X1005" i="31"/>
  <c r="Y1004" i="31"/>
  <c r="X1006" i="31"/>
  <c r="Y1005" i="31"/>
  <c r="X1007" i="31"/>
  <c r="Y1006" i="31"/>
  <c r="X1008" i="31"/>
  <c r="Y1007" i="31"/>
  <c r="X1009" i="31"/>
  <c r="Y1008" i="31"/>
  <c r="X1010" i="31"/>
  <c r="Y1009" i="31"/>
  <c r="Y1010" i="31"/>
  <c r="X1011" i="31"/>
  <c r="Y1011" i="31"/>
  <c r="X1012" i="31"/>
  <c r="Y1012" i="31"/>
  <c r="X1013" i="31"/>
  <c r="X1014" i="31"/>
  <c r="Y1013" i="31"/>
  <c r="X1015" i="31"/>
  <c r="Y1014" i="31"/>
  <c r="X1016" i="31"/>
  <c r="Y1015" i="31"/>
  <c r="Y1016" i="31"/>
  <c r="X1017" i="31"/>
  <c r="Y1017" i="31"/>
  <c r="X1018" i="31"/>
  <c r="Y1018" i="31"/>
  <c r="X1019" i="31"/>
  <c r="X1020" i="31"/>
  <c r="Y1019" i="31"/>
  <c r="Y1020" i="31"/>
  <c r="X1021" i="31"/>
  <c r="X1022" i="31"/>
  <c r="Y1021" i="31"/>
  <c r="X1023" i="31"/>
  <c r="Y1022" i="31"/>
  <c r="X1024" i="31"/>
  <c r="Y1023" i="31"/>
  <c r="Y1024" i="31"/>
  <c r="X1025" i="31"/>
  <c r="X1026" i="31"/>
  <c r="Y1025" i="31"/>
  <c r="X1027" i="31"/>
  <c r="Y1026" i="31"/>
  <c r="Y1027" i="31"/>
  <c r="X1028" i="31"/>
  <c r="Y1028" i="31"/>
  <c r="X1029" i="31"/>
  <c r="Y1029" i="31"/>
  <c r="X1030" i="31"/>
  <c r="Y1030" i="31"/>
  <c r="X1031" i="31"/>
  <c r="X1032" i="31"/>
  <c r="Y1031" i="31"/>
  <c r="X1033" i="31"/>
  <c r="Y1032" i="31"/>
  <c r="Y1033" i="31"/>
  <c r="X1034" i="31"/>
  <c r="X1035" i="31"/>
  <c r="Y1034" i="31"/>
  <c r="X1036" i="31"/>
  <c r="Y1035" i="31"/>
  <c r="Y1036" i="31"/>
  <c r="X1037" i="31"/>
  <c r="Y1037" i="31"/>
  <c r="X1038" i="31"/>
  <c r="X1039" i="31"/>
  <c r="Y1038" i="31"/>
  <c r="X1040" i="31"/>
  <c r="Y1039" i="31"/>
  <c r="X1041" i="31"/>
  <c r="Y1040" i="31"/>
  <c r="X1042" i="31"/>
  <c r="Y1041" i="31"/>
  <c r="X1043" i="31"/>
  <c r="Y1042" i="31"/>
  <c r="X1044" i="31"/>
  <c r="Y1043" i="31"/>
  <c r="X1045" i="31"/>
  <c r="Y1044" i="31"/>
  <c r="Y1045" i="31"/>
  <c r="X1046" i="31"/>
  <c r="X1047" i="31"/>
  <c r="Y1046" i="31"/>
  <c r="X1048" i="31"/>
  <c r="Y1047" i="31"/>
  <c r="Y1048" i="31"/>
  <c r="X1049" i="31"/>
  <c r="Y1049" i="31"/>
  <c r="X1050" i="31"/>
  <c r="Y1050" i="31"/>
  <c r="X1051" i="31"/>
  <c r="Y1051" i="31"/>
  <c r="X1052" i="31"/>
  <c r="Y1052" i="31"/>
  <c r="X1053" i="31"/>
  <c r="Y1053" i="31"/>
  <c r="X1054" i="31"/>
  <c r="X1055" i="31"/>
  <c r="Y1054" i="31"/>
  <c r="Y1055" i="31"/>
  <c r="X1056" i="31"/>
  <c r="X1057" i="31"/>
  <c r="Y1056" i="31"/>
  <c r="X1058" i="31"/>
  <c r="Y1057" i="31"/>
  <c r="X1059" i="31"/>
  <c r="Y1058" i="31"/>
  <c r="X1060" i="31"/>
  <c r="Y1059" i="31"/>
  <c r="X1061" i="31"/>
  <c r="Y1060" i="31"/>
  <c r="X1062" i="31"/>
  <c r="Y1061" i="31"/>
  <c r="X1063" i="31"/>
  <c r="Y1062" i="31"/>
  <c r="Y1063" i="31"/>
  <c r="X1064" i="31"/>
  <c r="Y1064" i="31"/>
  <c r="X1065" i="31"/>
  <c r="Y1065" i="31"/>
  <c r="X1066" i="31"/>
  <c r="Y1066" i="31"/>
  <c r="X1067" i="31"/>
  <c r="Y1067" i="31"/>
  <c r="X1068" i="31"/>
  <c r="Y1068" i="31"/>
  <c r="X1069" i="31"/>
  <c r="X1070" i="31"/>
  <c r="Y1069" i="31"/>
  <c r="Y1070" i="31"/>
  <c r="X1071" i="31"/>
  <c r="Y1071" i="31"/>
  <c r="X1072" i="31"/>
  <c r="X1073" i="31"/>
  <c r="Y1072" i="31"/>
  <c r="X1074" i="31"/>
  <c r="Y1073" i="31"/>
  <c r="Y1074" i="31"/>
  <c r="X1075" i="31"/>
  <c r="Y1075" i="31"/>
  <c r="X1076" i="31"/>
  <c r="X1077" i="31"/>
  <c r="Y1076" i="31"/>
  <c r="X1078" i="31"/>
  <c r="Y1077" i="31"/>
  <c r="Y1078" i="31"/>
  <c r="X1079" i="31"/>
  <c r="Y1079" i="31"/>
  <c r="X1080" i="31"/>
  <c r="Y1080" i="31"/>
  <c r="X1081" i="31"/>
  <c r="X1082" i="31"/>
  <c r="Y1081" i="31"/>
  <c r="Y1082" i="31"/>
  <c r="X1083" i="31"/>
  <c r="Y1083" i="31"/>
  <c r="X1084" i="31"/>
  <c r="X1085" i="31"/>
  <c r="Y1084" i="31"/>
  <c r="X1086" i="31"/>
  <c r="Y1085" i="31"/>
  <c r="X1087" i="31"/>
  <c r="Y1086" i="31"/>
  <c r="Y1087" i="31"/>
  <c r="X1088" i="31"/>
  <c r="Y1088" i="31"/>
  <c r="X1089" i="31"/>
  <c r="Y1089" i="31"/>
  <c r="X1090" i="31"/>
  <c r="X1091" i="31"/>
  <c r="Y1090" i="31"/>
  <c r="X1092" i="31"/>
  <c r="Y1091" i="31"/>
  <c r="X1093" i="31"/>
  <c r="Y1092" i="31"/>
  <c r="X1094" i="31"/>
  <c r="Y1093" i="31"/>
  <c r="X1095" i="31"/>
  <c r="Y1094" i="31"/>
  <c r="Y1095" i="31"/>
  <c r="X1096" i="31"/>
  <c r="Y1096" i="31"/>
  <c r="X1097" i="31"/>
  <c r="X1098" i="31"/>
  <c r="Y1097" i="31"/>
  <c r="X1099" i="31"/>
  <c r="Y1098" i="31"/>
  <c r="X1100" i="31"/>
  <c r="Y1099" i="31"/>
  <c r="X1101" i="31"/>
  <c r="Y1100" i="31"/>
  <c r="Y1101" i="31"/>
  <c r="X1102" i="31"/>
  <c r="Y1102" i="31"/>
  <c r="X1103" i="31"/>
  <c r="Y1103" i="31"/>
  <c r="X1104" i="31"/>
  <c r="X1105" i="31"/>
  <c r="Y1104" i="31"/>
  <c r="Y1105" i="31"/>
  <c r="X1106" i="31"/>
  <c r="X1107" i="31"/>
  <c r="Y1106" i="31"/>
  <c r="X1108" i="31"/>
  <c r="Y1107" i="31"/>
  <c r="Y1108" i="31"/>
  <c r="X1109" i="31"/>
  <c r="X1110" i="31"/>
  <c r="Y1109" i="31"/>
  <c r="Y1110" i="31"/>
  <c r="X1111" i="31"/>
  <c r="X1112" i="31"/>
  <c r="Y1111" i="31"/>
  <c r="X1113" i="31"/>
  <c r="Y1112" i="31"/>
  <c r="X1114" i="31"/>
  <c r="Y1113" i="31"/>
  <c r="Y1114" i="31"/>
  <c r="X1115" i="31"/>
  <c r="X1116" i="31"/>
  <c r="Y1115" i="31"/>
  <c r="Y1116" i="31"/>
  <c r="X1117" i="31"/>
  <c r="X1118" i="31"/>
  <c r="Y1117" i="31"/>
  <c r="Y1118" i="31"/>
  <c r="X1119" i="31"/>
  <c r="Y1119" i="31"/>
  <c r="X1120" i="31"/>
  <c r="Y1120" i="31"/>
  <c r="X1121" i="31"/>
  <c r="X1122" i="31"/>
  <c r="Y1121" i="31"/>
  <c r="Y1122" i="31"/>
  <c r="X1123" i="31"/>
  <c r="X1124" i="31"/>
  <c r="Y1123" i="31"/>
  <c r="X1125" i="31"/>
  <c r="Y1124" i="31"/>
  <c r="X1126" i="31"/>
  <c r="Y1125" i="31"/>
  <c r="Y1126" i="31"/>
  <c r="X1127" i="31"/>
  <c r="Y1127" i="31"/>
  <c r="X1128" i="31"/>
  <c r="Y1128" i="31"/>
  <c r="X1129" i="31"/>
  <c r="Y1129" i="31"/>
  <c r="X1130" i="31"/>
  <c r="Y1130" i="31"/>
  <c r="X1131" i="31"/>
  <c r="X1132" i="31"/>
  <c r="Y1131" i="31"/>
  <c r="X1133" i="31"/>
  <c r="Y1132" i="31"/>
  <c r="X1134" i="31"/>
  <c r="Y1133" i="31"/>
  <c r="X1135" i="31"/>
  <c r="Y1134" i="31"/>
  <c r="X1136" i="31"/>
  <c r="Y1135" i="31"/>
  <c r="Y1136" i="31"/>
  <c r="X1137" i="31"/>
  <c r="Y1137" i="31"/>
  <c r="X1138" i="31"/>
  <c r="X1139" i="31"/>
  <c r="Y1138" i="31"/>
  <c r="X1140" i="31"/>
  <c r="Y1139" i="31"/>
  <c r="X1141" i="31"/>
  <c r="Y1140" i="31"/>
  <c r="Y1141" i="31"/>
  <c r="X1142" i="31"/>
  <c r="X1143" i="31"/>
  <c r="Y1142" i="31"/>
  <c r="X1144" i="31"/>
  <c r="Y1143" i="31"/>
  <c r="Y1144" i="31"/>
  <c r="X1145" i="31"/>
  <c r="X1146" i="31"/>
  <c r="Y1145" i="31"/>
  <c r="X1147" i="31"/>
  <c r="Y1146" i="31"/>
  <c r="Y1147" i="31"/>
  <c r="X1148" i="31"/>
  <c r="X1149" i="31"/>
  <c r="Y1148" i="31"/>
  <c r="Y1149" i="31"/>
  <c r="X1150" i="31"/>
  <c r="X1151" i="31"/>
  <c r="Y1150" i="31"/>
  <c r="X1152" i="31"/>
  <c r="Y1151" i="31"/>
  <c r="X1153" i="31"/>
  <c r="Y1152" i="31"/>
  <c r="X1154" i="31"/>
  <c r="Y1153" i="31"/>
  <c r="Y1154" i="31"/>
  <c r="X1155" i="31"/>
  <c r="Y1155" i="31"/>
  <c r="X1156" i="31"/>
  <c r="Y1156" i="31"/>
  <c r="X1157" i="31"/>
  <c r="Y1157" i="31"/>
  <c r="X1158" i="31"/>
  <c r="X1159" i="31"/>
  <c r="Y1158" i="31"/>
  <c r="Y1159" i="31"/>
  <c r="X1160" i="31"/>
  <c r="Y1160" i="31"/>
  <c r="X1161" i="31"/>
  <c r="Y1161" i="31"/>
  <c r="X1162" i="31"/>
  <c r="X1163" i="31"/>
  <c r="Y1162" i="31"/>
  <c r="X1164" i="31"/>
  <c r="Y1163" i="31"/>
  <c r="Y1164" i="31"/>
  <c r="X1165" i="31"/>
  <c r="Y1165" i="31"/>
  <c r="X1166" i="31"/>
  <c r="Y1166" i="31"/>
  <c r="X1167" i="31"/>
  <c r="X1168" i="31"/>
  <c r="Y1167" i="31"/>
  <c r="X1169" i="31"/>
  <c r="Y1168" i="31"/>
  <c r="Y1169" i="31"/>
  <c r="X1170" i="31"/>
  <c r="Y1170" i="31"/>
  <c r="X1171" i="31"/>
  <c r="Y1171" i="31"/>
  <c r="X1172" i="31"/>
  <c r="X1173" i="31"/>
  <c r="Y1172" i="31"/>
  <c r="X1174" i="31"/>
  <c r="Y1173" i="31"/>
  <c r="Y1174" i="31"/>
  <c r="X1175" i="31"/>
  <c r="Y1175" i="31"/>
  <c r="X1176" i="31"/>
  <c r="Y1176" i="31"/>
  <c r="X1177" i="31"/>
  <c r="Y1177" i="31"/>
  <c r="X1178" i="31"/>
  <c r="Y1178" i="31"/>
  <c r="X1179" i="31"/>
  <c r="Y1179" i="31"/>
  <c r="X1180" i="31"/>
  <c r="Y1180" i="31"/>
  <c r="X1181" i="31"/>
  <c r="X1182" i="31"/>
  <c r="Y1181" i="31"/>
  <c r="X1183" i="31"/>
  <c r="Y1182" i="31"/>
  <c r="X1184" i="31"/>
  <c r="Y1183" i="31"/>
  <c r="X1185" i="31"/>
  <c r="Y1184" i="31"/>
  <c r="X1186" i="31"/>
  <c r="Y1185" i="31"/>
  <c r="X1187" i="31"/>
  <c r="Y1186" i="31"/>
  <c r="X1188" i="31"/>
  <c r="Y1187" i="31"/>
  <c r="Y1188" i="31"/>
  <c r="X1189" i="31"/>
  <c r="Y1189" i="31"/>
  <c r="X1190" i="31"/>
  <c r="X1191" i="31"/>
  <c r="Y1190" i="31"/>
  <c r="X1192" i="31"/>
  <c r="Y1191" i="31"/>
  <c r="Y1192" i="31"/>
  <c r="X1193" i="31"/>
  <c r="Y1193" i="31"/>
  <c r="X1194" i="31"/>
  <c r="X1195" i="31"/>
  <c r="Y1194" i="31"/>
  <c r="Y1195" i="31"/>
  <c r="X1196" i="31"/>
  <c r="X1197" i="31"/>
  <c r="Y1196" i="31"/>
  <c r="X1198" i="31"/>
  <c r="Y1197" i="31"/>
  <c r="Y1198" i="31"/>
  <c r="X1199" i="31"/>
  <c r="X1200" i="31"/>
  <c r="Y1199" i="31"/>
  <c r="X1201" i="31"/>
  <c r="Y1200" i="31"/>
  <c r="Y1201" i="31"/>
  <c r="X1202" i="31"/>
  <c r="X1203" i="31"/>
  <c r="Y1202" i="31"/>
  <c r="X1204" i="31"/>
  <c r="Y1203" i="31"/>
  <c r="X1205" i="31"/>
  <c r="Y1204" i="31"/>
  <c r="Y1205" i="31"/>
  <c r="X1206" i="31"/>
  <c r="Y1206" i="31"/>
  <c r="X1207" i="31"/>
  <c r="Y1207" i="31"/>
  <c r="X1208" i="31"/>
  <c r="X1209" i="31"/>
  <c r="Y1208" i="31"/>
  <c r="X1210" i="31"/>
  <c r="Y1209" i="31"/>
  <c r="Y1210" i="31"/>
  <c r="X1211" i="31"/>
  <c r="Y1211" i="31"/>
  <c r="X1212" i="31"/>
  <c r="X1213" i="31"/>
  <c r="Y1212" i="31"/>
  <c r="Y1213" i="31"/>
  <c r="X1214" i="31"/>
  <c r="Y1214" i="31"/>
  <c r="X1215" i="31"/>
  <c r="Y1215" i="31"/>
  <c r="X1216" i="31"/>
  <c r="Y1216" i="31"/>
  <c r="X1217" i="31"/>
  <c r="X1218" i="31"/>
  <c r="Y1217" i="31"/>
  <c r="X1219" i="31"/>
  <c r="Y1218" i="31"/>
  <c r="Y1219" i="31"/>
  <c r="X1220" i="31"/>
  <c r="X1221" i="31"/>
  <c r="Y1220" i="31"/>
  <c r="X1222" i="31"/>
  <c r="Y1221" i="31"/>
  <c r="Y1222" i="31"/>
  <c r="X1223" i="31"/>
  <c r="Y1223" i="31"/>
  <c r="X1224" i="31"/>
  <c r="Y1224" i="31"/>
  <c r="X1225" i="31"/>
  <c r="X1226" i="31"/>
  <c r="Y1225" i="31"/>
  <c r="Y1226" i="31"/>
  <c r="X1227" i="31"/>
  <c r="Y1227" i="31"/>
  <c r="X1228" i="31"/>
  <c r="Y1228" i="31"/>
  <c r="X1229" i="31"/>
  <c r="X1230" i="31"/>
  <c r="Y1229" i="31"/>
  <c r="X1231" i="31"/>
  <c r="Y1230" i="31"/>
  <c r="X1232" i="31"/>
  <c r="Y1231" i="31"/>
  <c r="Y1232" i="31"/>
  <c r="X1233" i="31"/>
  <c r="Y1233" i="31"/>
  <c r="X1234" i="31"/>
  <c r="Y1234" i="31"/>
  <c r="X1235" i="31"/>
  <c r="X1236" i="31"/>
  <c r="Y1235" i="31"/>
  <c r="Y1236" i="31"/>
  <c r="X1237" i="31"/>
  <c r="Y1237" i="31"/>
  <c r="X1238" i="31"/>
  <c r="X1239" i="31"/>
  <c r="Y1238" i="31"/>
  <c r="X1240" i="31"/>
  <c r="Y1239" i="31"/>
  <c r="X1241" i="31"/>
  <c r="Y1240" i="31"/>
  <c r="X1242" i="31"/>
  <c r="Y1241" i="31"/>
  <c r="X1243" i="31"/>
  <c r="Y1242" i="31"/>
  <c r="Y1243" i="31"/>
  <c r="X1244" i="31"/>
  <c r="X1245" i="31"/>
  <c r="Y1244" i="31"/>
  <c r="X1246" i="31"/>
  <c r="Y1245" i="31"/>
  <c r="X1247" i="31"/>
  <c r="Y1246" i="31"/>
  <c r="X1248" i="31"/>
  <c r="Y1247" i="31"/>
  <c r="Y1248" i="31"/>
  <c r="X1249" i="31"/>
  <c r="Y1249" i="31"/>
  <c r="X1250" i="31"/>
  <c r="X1251" i="31"/>
  <c r="Y1250" i="31"/>
  <c r="Y1251" i="31"/>
  <c r="X1252" i="31"/>
  <c r="Y1252" i="31"/>
  <c r="X1253" i="31"/>
  <c r="Y1253" i="31"/>
  <c r="X1254" i="31"/>
  <c r="X1255" i="31"/>
  <c r="Y1254" i="31"/>
  <c r="Y1255" i="31"/>
  <c r="X1256" i="31"/>
  <c r="X1257" i="31"/>
  <c r="Y1256" i="31"/>
  <c r="Y1257" i="31"/>
  <c r="X1258" i="31"/>
  <c r="Y1258" i="31"/>
  <c r="X1259" i="31"/>
  <c r="Y1259" i="31"/>
  <c r="X1260" i="31"/>
  <c r="Y1260" i="31"/>
  <c r="X1261" i="31"/>
  <c r="Y1261" i="31"/>
  <c r="X1262" i="31"/>
  <c r="Y1262" i="31"/>
  <c r="X1263" i="31"/>
  <c r="X1264" i="31"/>
  <c r="Y1263" i="31"/>
  <c r="Y1264" i="31"/>
  <c r="X1265" i="31"/>
  <c r="Y1265" i="31"/>
  <c r="X1266" i="31"/>
  <c r="Y1266" i="31"/>
  <c r="X1267" i="31"/>
  <c r="Y1267" i="31"/>
  <c r="X1268" i="31"/>
  <c r="Y1268" i="31"/>
  <c r="X1269" i="31"/>
  <c r="Y1269" i="31"/>
  <c r="X1270" i="31"/>
  <c r="X1271" i="31"/>
  <c r="Y1270" i="31"/>
  <c r="X1272" i="31"/>
  <c r="Y1271" i="31"/>
  <c r="X1273" i="31"/>
  <c r="Y1272" i="31"/>
  <c r="X1274" i="31"/>
  <c r="Y1273" i="31"/>
  <c r="X1275" i="31"/>
  <c r="Y1274" i="31"/>
  <c r="X1276" i="31"/>
  <c r="Y1275" i="31"/>
  <c r="X1277" i="31"/>
  <c r="Y1276" i="31"/>
  <c r="Y1277" i="31"/>
  <c r="X1278" i="31"/>
  <c r="X1279" i="31"/>
  <c r="Y1278" i="31"/>
  <c r="Y1279" i="31"/>
  <c r="X1280" i="31"/>
  <c r="Y1280" i="31"/>
  <c r="X1281" i="31"/>
  <c r="Y1281" i="31"/>
  <c r="X1282" i="31"/>
  <c r="X1283" i="31"/>
  <c r="Y1282" i="31"/>
  <c r="Y1283" i="31"/>
  <c r="X1284" i="31"/>
  <c r="Y1284" i="31"/>
  <c r="X1285" i="31"/>
  <c r="X1286" i="31"/>
  <c r="Y1285" i="31"/>
  <c r="Y1286" i="31"/>
  <c r="X1287" i="31"/>
  <c r="X1288" i="31"/>
  <c r="Y1287" i="31"/>
  <c r="Y1288" i="31"/>
  <c r="X1289" i="31"/>
  <c r="X1290" i="31"/>
  <c r="Y1289" i="31"/>
  <c r="X1291" i="31"/>
  <c r="Y1290" i="31"/>
  <c r="Y1291" i="31"/>
  <c r="X1292" i="31"/>
  <c r="Y1292" i="31"/>
  <c r="X1293" i="31"/>
  <c r="Y1293" i="31"/>
  <c r="X1294" i="31"/>
  <c r="Y1294" i="31"/>
  <c r="X1295" i="31"/>
  <c r="Y1295" i="31"/>
  <c r="X1296" i="31"/>
  <c r="X1297" i="31"/>
  <c r="Y1296" i="31"/>
  <c r="Y1297" i="31"/>
  <c r="X1298" i="31"/>
  <c r="X1299" i="31"/>
  <c r="Y1298" i="31"/>
  <c r="X1300" i="31"/>
  <c r="Y1299" i="31"/>
  <c r="Y1300" i="31"/>
  <c r="X1301" i="31"/>
  <c r="X1302" i="31"/>
  <c r="Y1301" i="31"/>
  <c r="X1303" i="31"/>
  <c r="Y1302" i="31"/>
  <c r="Y1303" i="31"/>
  <c r="X1304" i="31"/>
  <c r="X1305" i="31"/>
  <c r="Y1304" i="31"/>
  <c r="X1306" i="31"/>
  <c r="Y1305" i="31"/>
  <c r="Y1306" i="31"/>
  <c r="X1307" i="31"/>
  <c r="X1308" i="31"/>
  <c r="Y1307" i="31"/>
  <c r="Y1308" i="31"/>
  <c r="X1309" i="31"/>
  <c r="Y1309" i="31"/>
  <c r="X1310" i="31"/>
  <c r="X1311" i="31"/>
  <c r="Y1310" i="31"/>
  <c r="Y1311" i="31"/>
  <c r="X1312" i="31"/>
  <c r="X1313" i="31"/>
  <c r="Y1312" i="31"/>
  <c r="Y1313" i="31"/>
  <c r="X1314" i="31"/>
  <c r="Y1314" i="31"/>
  <c r="X1315" i="31"/>
  <c r="Y1315" i="31"/>
  <c r="X1316" i="31"/>
  <c r="X1317" i="31"/>
  <c r="Y1316" i="31"/>
  <c r="X1318" i="31"/>
  <c r="Y1317" i="31"/>
  <c r="X1319" i="31"/>
  <c r="Y1318" i="31"/>
  <c r="Y1319" i="31"/>
  <c r="X1320" i="31"/>
  <c r="Y1320" i="31"/>
  <c r="X1321" i="31"/>
  <c r="X1322" i="31"/>
  <c r="Y1321" i="31"/>
  <c r="X1323" i="31"/>
  <c r="Y1322" i="31"/>
  <c r="X1324" i="31"/>
  <c r="Y1323" i="31"/>
  <c r="X1325" i="31"/>
  <c r="Y1324" i="31"/>
  <c r="X1326" i="31"/>
  <c r="Y1325" i="31"/>
  <c r="X1327" i="31"/>
  <c r="Y1326" i="31"/>
  <c r="Y1327" i="31"/>
  <c r="X1328" i="31"/>
  <c r="X1329" i="31"/>
  <c r="Y1328" i="31"/>
  <c r="X1330" i="31"/>
  <c r="Y1329" i="31"/>
  <c r="X1331" i="31"/>
  <c r="Y1330" i="31"/>
  <c r="Y1331" i="31"/>
  <c r="X1332" i="31"/>
  <c r="Y1332" i="31"/>
  <c r="X1333" i="31"/>
  <c r="X1334" i="31"/>
  <c r="Y1333" i="31"/>
  <c r="Y1334" i="31"/>
  <c r="X1335" i="31"/>
  <c r="Y1335" i="31"/>
  <c r="X1336" i="31"/>
  <c r="Y1336" i="31"/>
  <c r="X1337" i="31"/>
  <c r="Y1337" i="31"/>
  <c r="X1338" i="31"/>
  <c r="X1339" i="31"/>
  <c r="Y1338" i="31"/>
  <c r="Y1339" i="31"/>
  <c r="X1340" i="31"/>
  <c r="X1341" i="31"/>
  <c r="Y1340" i="31"/>
  <c r="Y1341" i="31"/>
  <c r="X1342" i="31"/>
  <c r="X1343" i="31"/>
  <c r="Y1342" i="31"/>
  <c r="X1344" i="31"/>
  <c r="Y1343" i="31"/>
  <c r="X1345" i="31"/>
  <c r="Y1344" i="31"/>
  <c r="X1346" i="31"/>
  <c r="Y1345" i="31"/>
  <c r="X1347" i="31"/>
  <c r="Y1346" i="31"/>
  <c r="Y1347" i="31"/>
  <c r="X1348" i="31"/>
  <c r="X1349" i="31"/>
  <c r="Y1348" i="31"/>
  <c r="Y1349" i="31"/>
  <c r="X1350" i="31"/>
  <c r="X1351" i="31"/>
  <c r="Y1350" i="31"/>
  <c r="Y1351" i="31"/>
  <c r="X1352" i="31"/>
  <c r="X1353" i="31"/>
  <c r="Y1352" i="31"/>
  <c r="X1354" i="31"/>
  <c r="Y1353" i="31"/>
  <c r="X1355" i="31"/>
  <c r="Y1354" i="31"/>
  <c r="X1356" i="31"/>
  <c r="Y1355" i="31"/>
  <c r="X1357" i="31"/>
  <c r="Y1356" i="31"/>
  <c r="Y1357" i="31"/>
  <c r="X1358" i="31"/>
  <c r="Y1358" i="31"/>
  <c r="X1359" i="31"/>
  <c r="X1360" i="31"/>
  <c r="Y1359" i="31"/>
  <c r="Y1360" i="31"/>
  <c r="X1361" i="31"/>
  <c r="Y1361" i="31"/>
  <c r="X1362" i="31"/>
  <c r="X1363" i="31"/>
  <c r="Y1362" i="31"/>
  <c r="X1364" i="31"/>
  <c r="Y1363" i="31"/>
  <c r="X1365" i="31"/>
  <c r="Y1364" i="31"/>
  <c r="Y1365" i="31"/>
  <c r="X1366" i="31"/>
  <c r="Y1366" i="31"/>
  <c r="X1367" i="31"/>
  <c r="X1368" i="31"/>
  <c r="Y1367" i="31"/>
  <c r="Y1368" i="31"/>
  <c r="X1369" i="31"/>
  <c r="Y1369" i="31"/>
  <c r="X1370" i="31"/>
  <c r="X1371" i="31"/>
  <c r="Y1370" i="31"/>
  <c r="X1372" i="31"/>
  <c r="Y1371" i="31"/>
  <c r="Y1372" i="31"/>
  <c r="X1373" i="31"/>
  <c r="X1374" i="31"/>
  <c r="Y1373" i="31"/>
  <c r="Y1374" i="31"/>
  <c r="X1375" i="31"/>
  <c r="X1376" i="31"/>
  <c r="Y1375" i="31"/>
  <c r="Y1376" i="31"/>
  <c r="X1377" i="31"/>
  <c r="X1378" i="31"/>
  <c r="Y1377" i="31"/>
  <c r="Y1378" i="31"/>
  <c r="X1379" i="31"/>
  <c r="X1380" i="31"/>
  <c r="Y1379" i="31"/>
  <c r="Y1380" i="31"/>
  <c r="X1381" i="31"/>
  <c r="Y1381" i="31"/>
  <c r="X1382" i="31"/>
  <c r="X1383" i="31"/>
  <c r="Y1382" i="31"/>
  <c r="X1384" i="31"/>
  <c r="Y1383" i="31"/>
  <c r="Y1384" i="31"/>
  <c r="X1385" i="31"/>
  <c r="Y1385" i="31"/>
  <c r="X1386" i="31"/>
  <c r="X1387" i="31"/>
  <c r="Y1386" i="31"/>
  <c r="Y1387" i="31"/>
  <c r="X1388" i="31"/>
  <c r="Y1388" i="31"/>
  <c r="X1389" i="31"/>
  <c r="Y1389" i="31"/>
  <c r="X1390" i="31"/>
  <c r="Y1390" i="31"/>
  <c r="X1391" i="31"/>
  <c r="Y1391" i="31"/>
  <c r="X1392" i="31"/>
  <c r="X1393" i="31"/>
  <c r="Y1392" i="31"/>
  <c r="X1394" i="31"/>
  <c r="Y1393" i="31"/>
  <c r="Y1394" i="31"/>
  <c r="X1395" i="31"/>
  <c r="Y1395" i="31"/>
  <c r="X1396" i="31"/>
  <c r="X1397" i="31"/>
  <c r="Y1396" i="31"/>
  <c r="Y1397" i="31"/>
  <c r="X1398" i="31"/>
  <c r="X1399" i="31"/>
  <c r="Y1398" i="31"/>
  <c r="Y1399" i="31"/>
  <c r="X1400" i="31"/>
  <c r="X1401" i="31"/>
  <c r="Y1400" i="31"/>
  <c r="Y1401" i="31"/>
  <c r="X1402" i="31"/>
  <c r="X1403" i="31"/>
  <c r="Y1402" i="31"/>
  <c r="Y1403" i="31"/>
  <c r="X1404" i="31"/>
  <c r="X1405" i="31"/>
  <c r="Y1404" i="31"/>
  <c r="X1406" i="31"/>
  <c r="Y1405" i="31"/>
  <c r="X1407" i="31"/>
  <c r="Y1406" i="31"/>
  <c r="X1408" i="31"/>
  <c r="Y1407" i="31"/>
  <c r="Y1408" i="31"/>
  <c r="X1409" i="31"/>
  <c r="X1410" i="31"/>
  <c r="Y1409" i="31"/>
  <c r="Y1410" i="31"/>
  <c r="X1411" i="31"/>
  <c r="Y1411" i="31"/>
  <c r="X1412" i="31"/>
  <c r="Y1412" i="31"/>
  <c r="X1413" i="31"/>
  <c r="Y1413" i="31"/>
  <c r="X1414" i="31"/>
  <c r="Y1414" i="31"/>
  <c r="X1415" i="31"/>
  <c r="Y1415" i="31"/>
  <c r="X1416" i="31"/>
  <c r="Y1416" i="31"/>
  <c r="X1417" i="31"/>
  <c r="X1418" i="31"/>
  <c r="Y1417" i="31"/>
  <c r="Y1418" i="31"/>
  <c r="X1419" i="31"/>
  <c r="Y1419" i="31"/>
  <c r="X1420" i="31"/>
  <c r="Y1420" i="31"/>
  <c r="X1421" i="31"/>
  <c r="X1422" i="31"/>
  <c r="Y1421" i="31"/>
  <c r="Y1422" i="31"/>
  <c r="X1423" i="31"/>
  <c r="Y1423" i="31"/>
  <c r="X1424" i="31"/>
  <c r="Y1424" i="31"/>
  <c r="X1425" i="31"/>
  <c r="Y1425" i="31"/>
  <c r="X1426" i="31"/>
  <c r="X1427" i="31"/>
  <c r="Y1426" i="31"/>
  <c r="X1428" i="31"/>
  <c r="Y1427" i="31"/>
  <c r="X1429" i="31"/>
  <c r="Y1428" i="31"/>
  <c r="X1430" i="31"/>
  <c r="Y1429" i="31"/>
  <c r="X1431" i="31"/>
  <c r="Y1430" i="31"/>
  <c r="X1432" i="31"/>
  <c r="Y1431" i="31"/>
  <c r="X1433" i="31"/>
  <c r="Y1432" i="31"/>
  <c r="X1434" i="31"/>
  <c r="Y1433" i="31"/>
  <c r="Y1434" i="31"/>
  <c r="X1435" i="31"/>
  <c r="Y1435" i="31"/>
  <c r="X1436" i="31"/>
  <c r="X1437" i="31"/>
  <c r="Y1436" i="31"/>
  <c r="Y1437" i="31"/>
  <c r="X1438" i="31"/>
  <c r="X1439" i="31"/>
  <c r="Y1438" i="31"/>
  <c r="X1440" i="31"/>
  <c r="Y1439" i="31"/>
  <c r="Y1440" i="31"/>
  <c r="X1441" i="31"/>
  <c r="Y1441" i="31"/>
  <c r="X1442" i="31"/>
  <c r="Y1442" i="31"/>
  <c r="X1443" i="31"/>
  <c r="X1444" i="31"/>
  <c r="Y1443" i="31"/>
  <c r="X1445" i="31"/>
  <c r="Y1444" i="31"/>
  <c r="X1446" i="31"/>
  <c r="Y1445" i="31"/>
  <c r="X1447" i="31"/>
  <c r="Y1446" i="31"/>
  <c r="Y1447" i="31"/>
  <c r="X1448" i="31"/>
  <c r="Y1448" i="31"/>
  <c r="X1449" i="31"/>
  <c r="Y1449" i="31"/>
  <c r="X1450" i="31"/>
  <c r="X1451" i="31"/>
  <c r="Y1450" i="31"/>
  <c r="X1452" i="31"/>
  <c r="Y1451" i="31"/>
  <c r="Y1452" i="31"/>
  <c r="X1453" i="31"/>
  <c r="X1454" i="31"/>
  <c r="Y1453" i="31"/>
  <c r="X1455" i="31"/>
  <c r="Y1454" i="31"/>
  <c r="Y1455" i="31"/>
  <c r="X1456" i="31"/>
  <c r="Y1456" i="31"/>
  <c r="X1457" i="31"/>
  <c r="Y1457" i="31"/>
  <c r="X1458" i="31"/>
  <c r="X1459" i="31"/>
  <c r="Y1458" i="31"/>
  <c r="X1460" i="31"/>
  <c r="Y1459" i="31"/>
  <c r="Y1460" i="31"/>
  <c r="X1461" i="31"/>
  <c r="X1462" i="31"/>
  <c r="Y1461" i="31"/>
  <c r="X1463" i="31"/>
  <c r="Y1462" i="31"/>
  <c r="X1464" i="31"/>
  <c r="Y1463" i="31"/>
  <c r="Y1464" i="31"/>
  <c r="X1465" i="31"/>
  <c r="X1466" i="31"/>
  <c r="Y1465" i="31"/>
  <c r="X1467" i="31"/>
  <c r="Y1466" i="31"/>
  <c r="Y1467" i="31"/>
  <c r="X1468" i="31"/>
  <c r="X1469" i="31"/>
  <c r="Y1468" i="31"/>
  <c r="Y1469" i="31"/>
  <c r="X1470" i="31"/>
  <c r="Y1470" i="31"/>
  <c r="X1471" i="31"/>
  <c r="Y1471" i="31"/>
  <c r="X1472" i="31"/>
  <c r="Y1472" i="31"/>
  <c r="X1473" i="31"/>
  <c r="X1474" i="31"/>
  <c r="Y1473" i="31"/>
  <c r="X1475" i="31"/>
  <c r="Y1474" i="31"/>
  <c r="Y1475" i="31"/>
  <c r="X1476" i="31"/>
  <c r="Y1476" i="31"/>
  <c r="X1477" i="31"/>
  <c r="Y1477" i="31"/>
  <c r="X1478" i="31"/>
  <c r="Y1478" i="31"/>
  <c r="X1479" i="31"/>
  <c r="X1480" i="31"/>
  <c r="Y1479" i="31"/>
  <c r="Y1480" i="31"/>
  <c r="X1481" i="31"/>
  <c r="Y1481" i="31"/>
  <c r="X1482" i="31"/>
  <c r="Y1482" i="31"/>
  <c r="X1483" i="31"/>
  <c r="Y1483" i="31"/>
  <c r="X1484" i="31"/>
  <c r="Y1484" i="31"/>
  <c r="X1485" i="31"/>
  <c r="Y1485" i="31"/>
  <c r="X1486" i="31"/>
  <c r="Y1486" i="31"/>
  <c r="X1487" i="31"/>
  <c r="X1488" i="31"/>
  <c r="Y1487" i="31"/>
  <c r="Y1488" i="31"/>
  <c r="X1489" i="31"/>
  <c r="X1490" i="31"/>
  <c r="Y1489" i="31"/>
  <c r="X1491" i="31"/>
  <c r="Y1490" i="31"/>
  <c r="X1492" i="31"/>
  <c r="Y1491" i="31"/>
  <c r="X1493" i="31"/>
  <c r="Y1492" i="31"/>
  <c r="Y1493" i="31"/>
  <c r="X1494" i="31"/>
  <c r="X1495" i="31"/>
  <c r="Y1494" i="31"/>
  <c r="Y1495" i="31"/>
  <c r="X1496" i="31"/>
  <c r="Y1496" i="31"/>
  <c r="X1497" i="31"/>
  <c r="Y1497" i="31"/>
  <c r="X1498" i="31"/>
  <c r="X1499" i="31"/>
  <c r="Y1498" i="31"/>
  <c r="Y1499" i="31"/>
  <c r="X1500" i="31"/>
  <c r="Y1500" i="31"/>
  <c r="X1501" i="31"/>
  <c r="X1502" i="31"/>
  <c r="Y1501" i="31"/>
  <c r="X1503" i="31"/>
  <c r="Y1502" i="31"/>
  <c r="Y1503" i="31"/>
  <c r="X1504" i="31"/>
  <c r="X1505" i="31"/>
  <c r="Y1504" i="31"/>
  <c r="Y1505" i="31"/>
  <c r="X1506" i="31"/>
  <c r="Y1506" i="31"/>
  <c r="X1507" i="31"/>
  <c r="X1508" i="31"/>
  <c r="Y1507" i="31"/>
  <c r="Y1508" i="31"/>
  <c r="X1509" i="31"/>
  <c r="X1510" i="31"/>
  <c r="Y1509" i="31"/>
  <c r="Y1510" i="31"/>
  <c r="X1511" i="31"/>
  <c r="Y1511" i="31"/>
  <c r="X1512" i="31"/>
  <c r="Y1512" i="31"/>
  <c r="X1513" i="31"/>
  <c r="X1514" i="31"/>
  <c r="Y1513" i="31"/>
  <c r="Y1514" i="31"/>
  <c r="X1515" i="31"/>
  <c r="X1516" i="31"/>
  <c r="Y1515" i="31"/>
  <c r="X1517" i="31"/>
  <c r="Y1516" i="31"/>
  <c r="Y1517" i="31"/>
  <c r="X1518" i="31"/>
  <c r="X1519" i="31"/>
  <c r="Y1518" i="31"/>
  <c r="X1520" i="31"/>
  <c r="Y1519" i="31"/>
  <c r="X1521" i="31"/>
  <c r="Y1520" i="31"/>
  <c r="X1522" i="31"/>
  <c r="Y1521" i="31"/>
  <c r="X1523" i="31"/>
  <c r="Y1522" i="31"/>
  <c r="X1524" i="31"/>
  <c r="Y1523" i="31"/>
  <c r="X1525" i="31"/>
  <c r="Y1524" i="31"/>
  <c r="Y1525" i="31"/>
  <c r="X1526" i="31"/>
  <c r="Y1526" i="31"/>
  <c r="X1527" i="31"/>
  <c r="X1528" i="31"/>
  <c r="Y1527" i="31"/>
  <c r="Y1528" i="31"/>
  <c r="X1529" i="31"/>
  <c r="Y1529" i="31"/>
  <c r="X1530" i="31"/>
  <c r="X1531" i="31"/>
  <c r="Y1530" i="31"/>
  <c r="X1532" i="31"/>
  <c r="Y1531" i="31"/>
  <c r="X1533" i="31"/>
  <c r="Y1532" i="31"/>
  <c r="Y1533" i="31"/>
  <c r="X1534" i="31"/>
  <c r="Y1534" i="31"/>
  <c r="X1535" i="31"/>
  <c r="X1536" i="31"/>
  <c r="Y1535" i="31"/>
  <c r="X1537" i="31"/>
  <c r="Y1536" i="31"/>
  <c r="X1538" i="31"/>
  <c r="Y1537" i="31"/>
  <c r="X1539" i="31"/>
  <c r="Y1538" i="31"/>
  <c r="Y1539" i="31"/>
  <c r="X1540" i="31"/>
  <c r="X1541" i="31"/>
  <c r="Y1540" i="31"/>
  <c r="Y1541" i="31"/>
  <c r="X1542" i="31"/>
  <c r="X1543" i="31"/>
  <c r="Y1542" i="31"/>
  <c r="X1544" i="31"/>
  <c r="Y1543" i="31"/>
  <c r="Y1544" i="31"/>
  <c r="X1545" i="31"/>
  <c r="Y1545" i="31"/>
  <c r="X1546" i="31"/>
  <c r="X1547" i="31"/>
  <c r="Y1546" i="31"/>
  <c r="Y1547" i="31"/>
  <c r="X1548" i="31"/>
  <c r="X1549" i="31"/>
  <c r="Y1548" i="31"/>
  <c r="X1550" i="31"/>
  <c r="Y1549" i="31"/>
  <c r="X1551" i="31"/>
  <c r="Y1550" i="31"/>
  <c r="X1552" i="31"/>
  <c r="Y1551" i="31"/>
  <c r="Y1552" i="31"/>
  <c r="X1553" i="31"/>
  <c r="Y1553" i="31"/>
  <c r="X1554" i="31"/>
  <c r="X1555" i="31"/>
  <c r="Y1554" i="31"/>
  <c r="X1556" i="31"/>
  <c r="Y1555" i="31"/>
  <c r="X1557" i="31"/>
  <c r="Y1556" i="31"/>
  <c r="Y1557" i="31"/>
  <c r="X1558" i="31"/>
  <c r="Y1558" i="31"/>
  <c r="X1559" i="31"/>
  <c r="X1560" i="31"/>
  <c r="Y1559" i="31"/>
  <c r="Y1560" i="31"/>
  <c r="X1561" i="31"/>
  <c r="Y1561" i="31"/>
  <c r="X1562" i="31"/>
  <c r="X1563" i="31"/>
  <c r="Y1562" i="31"/>
  <c r="Y1563" i="31"/>
  <c r="X1564" i="31"/>
  <c r="X1565" i="31"/>
  <c r="Y1564" i="31"/>
  <c r="Y1565" i="31"/>
  <c r="X1566" i="31"/>
  <c r="X1567" i="31"/>
  <c r="Y1566" i="31"/>
  <c r="Y1567" i="31"/>
  <c r="X1568" i="31"/>
  <c r="X1569" i="31"/>
  <c r="Y1568" i="31"/>
  <c r="X1570" i="31"/>
  <c r="Y1569" i="31"/>
  <c r="X1571" i="31"/>
  <c r="Y1570" i="31"/>
  <c r="X1572" i="31"/>
  <c r="Y1571" i="31"/>
  <c r="X1573" i="31"/>
  <c r="Y1572" i="31"/>
  <c r="X1574" i="31"/>
  <c r="Y1573" i="31"/>
  <c r="Y1574" i="31"/>
  <c r="X1575" i="31"/>
  <c r="Y1575" i="31"/>
  <c r="X1576" i="31"/>
  <c r="Y1576" i="31"/>
  <c r="X1577" i="31"/>
  <c r="Y1577" i="31"/>
  <c r="X1578" i="31"/>
  <c r="X1579" i="31"/>
  <c r="Y1578" i="31"/>
  <c r="Y1579" i="31"/>
  <c r="X1580" i="31"/>
  <c r="Y1580" i="31"/>
  <c r="X1581" i="31"/>
  <c r="X1582" i="31"/>
  <c r="Y1581" i="31"/>
  <c r="X1583" i="31"/>
  <c r="Y1582" i="31"/>
  <c r="X1584" i="31"/>
  <c r="Y1583" i="31"/>
  <c r="Y1584" i="31"/>
  <c r="X1585" i="31"/>
  <c r="X1586" i="31"/>
  <c r="Y1585" i="31"/>
  <c r="Y1586" i="31"/>
  <c r="X1587" i="31"/>
  <c r="X1588" i="31"/>
  <c r="Y1587" i="31"/>
  <c r="X1589" i="31"/>
  <c r="Y1588" i="31"/>
  <c r="X1590" i="31"/>
  <c r="Y1589" i="31"/>
  <c r="Y1590" i="31"/>
  <c r="X1591" i="31"/>
  <c r="X1592" i="31"/>
  <c r="Y1591" i="31"/>
  <c r="Y1592" i="31"/>
  <c r="X1593" i="31"/>
  <c r="X1594" i="31"/>
  <c r="Y1593" i="31"/>
  <c r="Y1594" i="31"/>
  <c r="X1595" i="31"/>
  <c r="Y1595" i="31"/>
  <c r="X1596" i="31"/>
  <c r="X1597" i="31"/>
  <c r="Y1596" i="31"/>
  <c r="X1598" i="31"/>
  <c r="Y1597" i="31"/>
  <c r="Y1598" i="31"/>
  <c r="X1599" i="31"/>
  <c r="Y1599" i="31"/>
  <c r="X1600" i="31"/>
  <c r="Y1600" i="31"/>
  <c r="X1601" i="31"/>
  <c r="X1602" i="31"/>
  <c r="Y1601" i="31"/>
  <c r="Y1602" i="31"/>
  <c r="X1603" i="31"/>
  <c r="Y1603" i="31"/>
  <c r="X1604" i="31"/>
  <c r="X1605" i="31"/>
  <c r="Y1604" i="31"/>
  <c r="Y1605" i="31"/>
  <c r="X1606" i="31"/>
  <c r="Y1606" i="31"/>
  <c r="X1607" i="31"/>
  <c r="X1608" i="31"/>
  <c r="Y1607" i="31"/>
  <c r="X1609" i="31"/>
  <c r="Y1608" i="31"/>
  <c r="Y1609" i="31"/>
  <c r="X1610" i="31"/>
  <c r="X1611" i="31"/>
  <c r="Y1610" i="31"/>
  <c r="Y1611" i="31"/>
  <c r="X1612" i="31"/>
  <c r="Y1612" i="31"/>
  <c r="X1613" i="31"/>
  <c r="Y1613" i="31"/>
  <c r="X1614" i="31"/>
  <c r="X1615" i="31"/>
  <c r="Y1614" i="31"/>
  <c r="Y1615" i="31"/>
  <c r="X1616" i="31"/>
  <c r="X1617" i="31"/>
  <c r="Y1616" i="31"/>
  <c r="X1618" i="31"/>
  <c r="Y1617" i="31"/>
  <c r="X1619" i="31"/>
  <c r="Y1618" i="31"/>
  <c r="Y1619" i="31"/>
  <c r="X1620" i="31"/>
  <c r="Y1620" i="31"/>
  <c r="X1621" i="31"/>
  <c r="Y1621" i="31"/>
  <c r="X1622" i="31"/>
  <c r="X1623" i="31"/>
  <c r="Y1622" i="31"/>
  <c r="Y1623" i="31"/>
  <c r="X1624" i="31"/>
  <c r="X1625" i="31"/>
  <c r="Y1624" i="31"/>
  <c r="Y1625" i="31"/>
  <c r="X1626" i="31"/>
  <c r="Y1626" i="31"/>
  <c r="X1627" i="31"/>
  <c r="X1628" i="31"/>
  <c r="Y1627" i="31"/>
  <c r="Y1628" i="31"/>
  <c r="X1629" i="31"/>
  <c r="Y1629" i="31"/>
  <c r="X1630" i="31"/>
  <c r="X1631" i="31"/>
  <c r="Y1630" i="31"/>
  <c r="Y1631" i="31"/>
  <c r="X1632" i="31"/>
  <c r="Y1632" i="31"/>
  <c r="X1633" i="31"/>
  <c r="Y1633" i="31"/>
  <c r="X1634" i="31"/>
  <c r="X1635" i="31"/>
  <c r="Y1634" i="31"/>
  <c r="X1636" i="31"/>
  <c r="Y1635" i="31"/>
  <c r="Y1636" i="31"/>
  <c r="X1637" i="31"/>
  <c r="X1638" i="31"/>
  <c r="Y1637" i="31"/>
  <c r="X1639" i="31"/>
  <c r="Y1638" i="31"/>
  <c r="Y1639" i="31"/>
  <c r="X1640" i="31"/>
  <c r="Y1640" i="31"/>
  <c r="X1641" i="31"/>
  <c r="X1642" i="31"/>
  <c r="Y1641" i="31"/>
  <c r="X1643" i="31"/>
  <c r="Y1642" i="31"/>
  <c r="X1644" i="31"/>
  <c r="Y1643" i="31"/>
  <c r="Y1644" i="31"/>
  <c r="X1645" i="31"/>
  <c r="Y1645" i="31"/>
  <c r="X1646" i="31"/>
  <c r="X1647" i="31"/>
  <c r="Y1646" i="31"/>
  <c r="X1648" i="31"/>
  <c r="Y1647" i="31"/>
  <c r="Y1648" i="31"/>
  <c r="X1649" i="31"/>
  <c r="Y1649" i="31"/>
  <c r="X1650" i="31"/>
  <c r="Y1650" i="31"/>
  <c r="X1651" i="31"/>
  <c r="X1652" i="31"/>
  <c r="Y1651" i="31"/>
  <c r="X1653" i="31"/>
  <c r="Y1652" i="31"/>
  <c r="X1654" i="31"/>
  <c r="Y1653" i="31"/>
  <c r="X1655" i="31"/>
  <c r="Y1654" i="31"/>
  <c r="Y1655" i="31"/>
  <c r="X1656" i="31"/>
  <c r="X1657" i="31"/>
  <c r="Y1656" i="31"/>
  <c r="Y1657" i="31"/>
  <c r="X1658" i="31"/>
  <c r="Y1658" i="31"/>
  <c r="X1659" i="31"/>
  <c r="Y1659" i="31"/>
  <c r="X1660" i="31"/>
  <c r="Y1660" i="31"/>
  <c r="X1661" i="31"/>
  <c r="Y1661" i="31"/>
  <c r="X1662" i="31"/>
  <c r="Y1662" i="31"/>
  <c r="X1663" i="31"/>
  <c r="X1664" i="31"/>
  <c r="Y1663" i="31"/>
  <c r="Y1664" i="31"/>
  <c r="X1665" i="31"/>
  <c r="Y1665" i="31"/>
  <c r="X1666" i="31"/>
  <c r="Y1666" i="31"/>
  <c r="X1667" i="31"/>
  <c r="Y1667" i="31"/>
  <c r="X1668" i="31"/>
  <c r="X1669" i="31"/>
  <c r="Y1668" i="31"/>
  <c r="X1670" i="31"/>
  <c r="Y1669" i="31"/>
  <c r="X1671" i="31"/>
  <c r="Y1670" i="31"/>
  <c r="Y1671" i="31"/>
  <c r="X1672" i="31"/>
  <c r="X1673" i="31"/>
  <c r="Y1672" i="31"/>
  <c r="X1674" i="31"/>
  <c r="Y1673" i="31"/>
  <c r="X1675" i="31"/>
  <c r="Y1674" i="31"/>
  <c r="Y1675" i="31"/>
  <c r="X1676" i="31"/>
  <c r="Y1676" i="31"/>
  <c r="X1677" i="31"/>
  <c r="X1678" i="31"/>
  <c r="Y1677" i="31"/>
  <c r="Y1678" i="31"/>
  <c r="X1679" i="31"/>
  <c r="X1680" i="31"/>
  <c r="Y1679" i="31"/>
  <c r="X1681" i="31"/>
  <c r="Y1680" i="31"/>
  <c r="X1682" i="31"/>
  <c r="Y1681" i="31"/>
  <c r="X1683" i="31"/>
  <c r="Y1682" i="31"/>
  <c r="Y1683" i="31"/>
  <c r="X1684" i="31"/>
  <c r="X1685" i="31"/>
  <c r="Y1684" i="31"/>
  <c r="Y1685" i="31"/>
  <c r="X1686" i="31"/>
  <c r="Y1686" i="31"/>
  <c r="X1687" i="31"/>
  <c r="Y1687" i="31"/>
  <c r="X1688" i="31"/>
  <c r="Y1688" i="31"/>
  <c r="X1689" i="31"/>
  <c r="Y1689" i="31"/>
  <c r="X1690" i="31"/>
  <c r="Y1690" i="31"/>
  <c r="X1691" i="31"/>
  <c r="Y1691" i="31"/>
  <c r="X1692" i="31"/>
  <c r="X1693" i="31"/>
  <c r="Y1692" i="31"/>
  <c r="Y1693" i="31"/>
  <c r="X1694" i="31"/>
  <c r="Y1694" i="31"/>
  <c r="X1695" i="31"/>
  <c r="Y1695" i="31"/>
  <c r="X1696" i="31"/>
  <c r="Y1696" i="31"/>
  <c r="X1697" i="31"/>
  <c r="Y1697" i="31"/>
  <c r="X1698" i="31"/>
  <c r="Y1698" i="31"/>
  <c r="X1699" i="31"/>
  <c r="X1700" i="31"/>
  <c r="Y1699" i="31"/>
  <c r="Y1700" i="31"/>
  <c r="X1701" i="31"/>
  <c r="X1702" i="31"/>
  <c r="Y1701" i="31"/>
  <c r="X1703" i="31"/>
  <c r="Y1702" i="31"/>
  <c r="X1704" i="31"/>
  <c r="Y1703" i="31"/>
  <c r="X1705" i="31"/>
  <c r="Y1704" i="31"/>
  <c r="Y1705" i="31"/>
  <c r="X1706" i="31"/>
  <c r="X1707" i="31"/>
  <c r="Y1706" i="31"/>
  <c r="Y1707" i="31"/>
  <c r="X1708" i="31"/>
  <c r="X1709" i="31"/>
  <c r="Y1708" i="31"/>
  <c r="Y1709" i="31"/>
  <c r="X1710" i="31"/>
  <c r="Y1710" i="31"/>
  <c r="X1711" i="31"/>
  <c r="Y1711" i="31"/>
  <c r="X1712" i="31"/>
  <c r="X1713" i="31"/>
  <c r="Y1712" i="31"/>
  <c r="Y1713" i="31"/>
  <c r="X1714" i="31"/>
  <c r="Y1714" i="31"/>
  <c r="X1715" i="31"/>
  <c r="Y1715" i="31"/>
  <c r="X1716" i="31"/>
  <c r="Y1716" i="31"/>
  <c r="X1717" i="31"/>
  <c r="X1718" i="31"/>
  <c r="Y1717" i="31"/>
  <c r="X1719" i="31"/>
  <c r="Y1718" i="31"/>
  <c r="Y1719" i="31"/>
  <c r="X1720" i="31"/>
  <c r="Y1720" i="31"/>
  <c r="X1721" i="31"/>
  <c r="Y1721" i="31"/>
  <c r="X1722" i="31"/>
  <c r="Y1722" i="31"/>
  <c r="X1723" i="31"/>
  <c r="X1724" i="31"/>
  <c r="Y1723" i="31"/>
  <c r="X1725" i="31"/>
  <c r="Y1724" i="31"/>
  <c r="X1726" i="31"/>
  <c r="Y1725" i="31"/>
  <c r="Y1726" i="31"/>
  <c r="X1727" i="31"/>
  <c r="Y1727" i="31"/>
  <c r="X1728" i="31"/>
  <c r="Y1728" i="31"/>
  <c r="X1729" i="31"/>
  <c r="X1730" i="31"/>
  <c r="Y1729" i="31"/>
  <c r="Y1730" i="31"/>
  <c r="X1731" i="31"/>
  <c r="Y1731" i="31"/>
  <c r="X1732" i="31"/>
  <c r="Y1732" i="31"/>
  <c r="X1733" i="31"/>
  <c r="X1734" i="31"/>
  <c r="Y1733" i="31"/>
  <c r="X1735" i="31"/>
  <c r="Y1734" i="31"/>
  <c r="X1736" i="31"/>
  <c r="Y1735" i="31"/>
  <c r="X1737" i="31"/>
  <c r="Y1736" i="31"/>
  <c r="X1738" i="31"/>
  <c r="Y1737" i="31"/>
  <c r="X1739" i="31"/>
  <c r="Y1738" i="31"/>
  <c r="X1740" i="31"/>
  <c r="Y1739" i="31"/>
  <c r="Y1740" i="31"/>
  <c r="X1741" i="31"/>
  <c r="Y1741" i="31"/>
  <c r="X1742" i="31"/>
  <c r="X1743" i="31"/>
  <c r="Y1742" i="31"/>
  <c r="X1744" i="31"/>
  <c r="Y1743" i="31"/>
  <c r="X1745" i="31"/>
  <c r="Y1744" i="31"/>
  <c r="X1746" i="31"/>
  <c r="Y1745" i="31"/>
  <c r="Y1746" i="31"/>
  <c r="X1747" i="31"/>
  <c r="Y1747" i="31"/>
  <c r="X1748" i="31"/>
  <c r="X1749" i="31"/>
  <c r="Y1748" i="31"/>
  <c r="Y1749" i="31"/>
  <c r="X1750" i="31"/>
  <c r="Y1750" i="31"/>
  <c r="X1751" i="31"/>
  <c r="X1752" i="31"/>
  <c r="Y1751" i="31"/>
  <c r="X1753" i="31"/>
  <c r="Y1752" i="31"/>
  <c r="Y1753" i="31"/>
  <c r="X1754" i="31"/>
  <c r="Y1754" i="31"/>
  <c r="X1755" i="31"/>
  <c r="Y1755" i="31"/>
  <c r="X1756" i="31"/>
  <c r="X1757" i="31"/>
  <c r="Y1756" i="31"/>
  <c r="Y1757" i="31"/>
  <c r="X1758" i="31"/>
  <c r="Y1758" i="31"/>
  <c r="X1759" i="31"/>
  <c r="X1760" i="31"/>
  <c r="Y1759" i="31"/>
  <c r="X1761" i="31"/>
  <c r="Y1760" i="31"/>
  <c r="X1762" i="31"/>
  <c r="Y1761" i="31"/>
  <c r="Y1762" i="31"/>
  <c r="X1763" i="31"/>
  <c r="X1764" i="31"/>
  <c r="Y1763" i="31"/>
  <c r="Y1764" i="31"/>
  <c r="X1765" i="31"/>
  <c r="X1766" i="31"/>
  <c r="Y1765" i="31"/>
  <c r="Y1766" i="31"/>
  <c r="X1767" i="31"/>
  <c r="X1768" i="31"/>
  <c r="Y1767" i="31"/>
  <c r="Y1768" i="31"/>
  <c r="X1769" i="31"/>
  <c r="Y1769" i="31"/>
  <c r="X1770" i="31"/>
  <c r="Y1770" i="31"/>
  <c r="X1771" i="31"/>
  <c r="X1772" i="31"/>
  <c r="Y1771" i="31"/>
  <c r="Y1772" i="31"/>
  <c r="X1773" i="31"/>
  <c r="X1774" i="31"/>
  <c r="Y1773" i="31"/>
  <c r="Y1774" i="31"/>
  <c r="X1775" i="31"/>
  <c r="Y1775" i="31"/>
  <c r="X1776" i="31"/>
  <c r="X1777" i="31"/>
  <c r="Y1776" i="31"/>
  <c r="Y1777" i="31"/>
  <c r="X1778" i="31"/>
  <c r="Y1778" i="31"/>
  <c r="X1779" i="31"/>
  <c r="Y1779" i="31"/>
  <c r="X1780" i="31"/>
  <c r="Y1780" i="31"/>
  <c r="X1781" i="31"/>
  <c r="X1782" i="31"/>
  <c r="Y1781" i="31"/>
  <c r="X1783" i="31"/>
  <c r="Y1782" i="31"/>
  <c r="Y1783" i="31"/>
  <c r="X1784" i="31"/>
  <c r="X1785" i="31"/>
  <c r="Y1784" i="31"/>
  <c r="Y1785" i="31"/>
  <c r="X1786" i="31"/>
  <c r="X1787" i="31"/>
  <c r="Y1786" i="31"/>
  <c r="X1788" i="31"/>
  <c r="Y1787" i="31"/>
  <c r="Y1788" i="31"/>
  <c r="X1789" i="31"/>
  <c r="X1790" i="31"/>
  <c r="Y1789" i="31"/>
  <c r="Y1790" i="31"/>
  <c r="X1791" i="31"/>
  <c r="X1792" i="31"/>
  <c r="Y1791" i="31"/>
  <c r="X1793" i="31"/>
  <c r="Y1792" i="31"/>
  <c r="Y1793" i="31"/>
  <c r="X1794" i="31"/>
  <c r="Y1794" i="31"/>
  <c r="X1795" i="31"/>
  <c r="X1796" i="31"/>
  <c r="Y1795" i="31"/>
  <c r="X1797" i="31"/>
  <c r="Y1796" i="31"/>
  <c r="Y1797" i="31"/>
  <c r="X1798" i="31"/>
  <c r="X1799" i="31"/>
  <c r="Y1798" i="31"/>
  <c r="Y1799" i="31"/>
  <c r="X1800" i="31"/>
  <c r="Y1800" i="31"/>
  <c r="X1801" i="31"/>
  <c r="Y1801" i="31"/>
  <c r="X1802" i="31"/>
  <c r="Y1802" i="31"/>
  <c r="X1803" i="31"/>
  <c r="Y1803" i="31"/>
  <c r="X1804" i="31"/>
  <c r="X1805" i="31"/>
  <c r="Y1804" i="31"/>
  <c r="X1806" i="31"/>
  <c r="Y1805" i="31"/>
  <c r="Y1806" i="31"/>
  <c r="X1807" i="31"/>
  <c r="Y1807" i="31"/>
  <c r="X1808" i="31"/>
  <c r="Y1808" i="31"/>
  <c r="X1809" i="31"/>
  <c r="Y1809" i="31"/>
  <c r="X1810" i="31"/>
  <c r="X1811" i="31"/>
  <c r="Y1810" i="31"/>
  <c r="Y1811" i="31"/>
  <c r="X1812" i="31"/>
  <c r="Y1812" i="31"/>
  <c r="X1813" i="31"/>
  <c r="Y1813" i="31"/>
  <c r="X1814" i="31"/>
  <c r="X1815" i="31"/>
  <c r="Y1814" i="31"/>
  <c r="Y1815" i="31"/>
  <c r="X1816" i="31"/>
  <c r="Y1816" i="31"/>
  <c r="X1817" i="31"/>
  <c r="Y1817" i="31"/>
  <c r="X1818" i="31"/>
  <c r="Y1818" i="31"/>
  <c r="X1819" i="31"/>
  <c r="X1820" i="31"/>
  <c r="Y1819" i="31"/>
  <c r="X1821" i="31"/>
  <c r="Y1820" i="31"/>
  <c r="Y1821" i="31"/>
  <c r="X1822" i="31"/>
  <c r="Y1822" i="31"/>
  <c r="X1823" i="31"/>
  <c r="Y1823" i="31"/>
  <c r="X1824" i="31"/>
  <c r="Y1824" i="31"/>
  <c r="X1825" i="31"/>
  <c r="X1826" i="31"/>
  <c r="Y1825" i="31"/>
  <c r="Y1826" i="31"/>
  <c r="X1827" i="31"/>
  <c r="X1828" i="31"/>
  <c r="Y1827" i="31"/>
  <c r="Y1828" i="31"/>
  <c r="X1829" i="31"/>
  <c r="X1830" i="31"/>
  <c r="Y1829" i="31"/>
  <c r="Y1830" i="31"/>
  <c r="X1831" i="31"/>
  <c r="Y1831" i="31"/>
  <c r="X1832" i="31"/>
  <c r="Y1832" i="31"/>
  <c r="X1833" i="31"/>
  <c r="X1834" i="31"/>
  <c r="Y1833" i="31"/>
  <c r="Y1834" i="31"/>
  <c r="X1835" i="31"/>
  <c r="Y1835" i="31"/>
  <c r="X1836" i="31"/>
  <c r="X1837" i="31"/>
  <c r="Y1836" i="31"/>
  <c r="X1838" i="31"/>
  <c r="Y1837" i="31"/>
  <c r="Y1838" i="31"/>
  <c r="X1839" i="31"/>
  <c r="X1840" i="31"/>
  <c r="Y1839" i="31"/>
  <c r="X1841" i="31"/>
  <c r="Y1840" i="31"/>
  <c r="Y1841" i="31"/>
  <c r="X1842" i="31"/>
  <c r="X1843" i="31"/>
  <c r="Y1842" i="31"/>
  <c r="X1844" i="31"/>
  <c r="Y1843" i="31"/>
  <c r="Y1844" i="31"/>
  <c r="X1845" i="31"/>
  <c r="Y1845" i="31"/>
  <c r="X1846" i="31"/>
  <c r="X1847" i="31"/>
  <c r="Y1846" i="31"/>
  <c r="Y1847" i="31"/>
  <c r="X1848" i="31"/>
  <c r="X1849" i="31"/>
  <c r="Y1848" i="31"/>
  <c r="X1850" i="31"/>
  <c r="Y1849" i="31"/>
  <c r="Y1850" i="31"/>
  <c r="X1851" i="31"/>
  <c r="X1852" i="31"/>
  <c r="Y1851" i="31"/>
  <c r="X1853" i="31"/>
  <c r="Y1852" i="31"/>
  <c r="Y1853" i="31"/>
  <c r="X1854" i="31"/>
  <c r="Y1854" i="31"/>
  <c r="X1855" i="31"/>
  <c r="X1856" i="31"/>
  <c r="Y1855" i="31"/>
  <c r="X1857" i="31"/>
  <c r="Y1856" i="31"/>
  <c r="Y1857" i="31"/>
  <c r="X1858" i="31"/>
  <c r="Y1858" i="31"/>
  <c r="X1859" i="31"/>
  <c r="X1860" i="31"/>
  <c r="Y1859" i="31"/>
  <c r="Y1860" i="31"/>
  <c r="X1861" i="31"/>
  <c r="X1862" i="31"/>
  <c r="Y1861" i="31"/>
  <c r="X1863" i="31"/>
  <c r="Y1862" i="31"/>
  <c r="X1864" i="31"/>
  <c r="Y1863" i="31"/>
  <c r="Y1864" i="31"/>
  <c r="X1865" i="31"/>
  <c r="X1866" i="31"/>
  <c r="Y1865" i="31"/>
  <c r="X1867" i="31"/>
  <c r="Y1866" i="31"/>
  <c r="Y1867" i="31"/>
  <c r="X1868" i="31"/>
  <c r="X1869" i="31"/>
  <c r="Y1868" i="31"/>
  <c r="X1870" i="31"/>
  <c r="Y1869" i="31"/>
  <c r="X1871" i="31"/>
  <c r="Y1870" i="31"/>
  <c r="Y1871" i="31"/>
  <c r="X1872" i="31"/>
  <c r="X1873" i="31"/>
  <c r="Y1872" i="31"/>
  <c r="Y1873" i="31"/>
  <c r="X1874" i="31"/>
  <c r="Y1874" i="31"/>
  <c r="X1875" i="31"/>
  <c r="X1876" i="31"/>
  <c r="Y1875" i="31"/>
  <c r="X1877" i="31"/>
  <c r="Y1876" i="31"/>
  <c r="Y1877" i="31"/>
  <c r="X1878" i="31"/>
  <c r="Y1878" i="31"/>
  <c r="X1879" i="31"/>
  <c r="Y1879" i="31"/>
  <c r="X1880" i="31"/>
  <c r="X1881" i="31"/>
  <c r="Y1880" i="31"/>
  <c r="X1882" i="31"/>
  <c r="Y1881" i="31"/>
  <c r="X1883" i="31"/>
  <c r="Y1882" i="31"/>
  <c r="Y1883" i="31"/>
  <c r="X1884" i="31"/>
  <c r="Y1884" i="31"/>
  <c r="X1885" i="31"/>
  <c r="X1886" i="31"/>
  <c r="Y1885" i="31"/>
  <c r="X1887" i="31"/>
  <c r="Y1886" i="31"/>
  <c r="X1888" i="31"/>
  <c r="Y1887" i="31"/>
  <c r="Y1888" i="31"/>
  <c r="X1889" i="31"/>
  <c r="X1890" i="31"/>
  <c r="Y1889" i="31"/>
  <c r="X1891" i="31"/>
  <c r="Y1890" i="31"/>
  <c r="X1892" i="31"/>
  <c r="Y1891" i="31"/>
  <c r="X1893" i="31"/>
  <c r="Y1892" i="31"/>
  <c r="X1894" i="31"/>
  <c r="Y1893" i="31"/>
  <c r="X1895" i="31"/>
  <c r="Y1894" i="31"/>
  <c r="X1896" i="31"/>
  <c r="Y1895" i="31"/>
  <c r="X1897" i="31"/>
  <c r="Y1896" i="31"/>
  <c r="X1898" i="31"/>
  <c r="Y1897" i="31"/>
  <c r="Y1898" i="31"/>
  <c r="X1899" i="31"/>
  <c r="Y1899" i="31"/>
  <c r="X1900" i="31"/>
  <c r="X1901" i="31"/>
  <c r="Y1900" i="31"/>
  <c r="Y1901" i="31"/>
  <c r="X1902" i="31"/>
  <c r="Y1902" i="31"/>
  <c r="X1903" i="31"/>
  <c r="X1904" i="31"/>
  <c r="Y1903" i="31"/>
  <c r="X1905" i="31"/>
  <c r="Y1904" i="31"/>
  <c r="X1906" i="31"/>
  <c r="Y1905" i="31"/>
  <c r="X1907" i="31"/>
  <c r="Y1906" i="31"/>
  <c r="X1908" i="31"/>
  <c r="Y1907" i="31"/>
  <c r="Y1908" i="31"/>
  <c r="X1909" i="31"/>
  <c r="X1910" i="31"/>
  <c r="Y1909" i="31"/>
  <c r="Y1910" i="31"/>
  <c r="X1911" i="31"/>
  <c r="Y1911" i="31"/>
  <c r="X1912" i="31"/>
  <c r="X1913" i="31"/>
  <c r="Y1912" i="31"/>
  <c r="Y1913" i="31"/>
  <c r="X1914" i="31"/>
  <c r="X1915" i="31"/>
  <c r="Y1914" i="31"/>
  <c r="X1916" i="31"/>
  <c r="Y1915" i="31"/>
  <c r="X1917" i="31"/>
  <c r="Y1916" i="31"/>
  <c r="Y1917" i="31"/>
  <c r="X1918" i="31"/>
  <c r="Y1918" i="31"/>
  <c r="X1919" i="31"/>
  <c r="X1920" i="31"/>
  <c r="Y1919" i="31"/>
  <c r="X1921" i="31"/>
  <c r="Y1920" i="31"/>
  <c r="X1922" i="31"/>
  <c r="Y1921" i="31"/>
  <c r="X1923" i="31"/>
  <c r="Y1922" i="31"/>
  <c r="X1924" i="31"/>
  <c r="Y1923" i="31"/>
  <c r="X1925" i="31"/>
  <c r="Y1924" i="31"/>
  <c r="Y1925" i="31"/>
  <c r="X1926" i="31"/>
  <c r="Y1926" i="31"/>
  <c r="X1927" i="31"/>
  <c r="X1928" i="31"/>
  <c r="Y1927" i="31"/>
  <c r="X1929" i="31"/>
  <c r="Y1928" i="31"/>
  <c r="X1930" i="31"/>
  <c r="Y1929" i="31"/>
  <c r="Y1930" i="31"/>
  <c r="X1931" i="31"/>
  <c r="X1932" i="31"/>
  <c r="Y1931" i="31"/>
  <c r="X1933" i="31"/>
  <c r="Y1932" i="31"/>
  <c r="Y1933" i="31"/>
  <c r="X1934" i="31"/>
  <c r="Y1934" i="31"/>
  <c r="X1935" i="31"/>
  <c r="X1936" i="31"/>
  <c r="Y1935" i="31"/>
  <c r="X1937" i="31"/>
  <c r="Y1936" i="31"/>
  <c r="Y1937" i="31"/>
  <c r="X1938" i="31"/>
  <c r="Y1938" i="31"/>
  <c r="X1939" i="31"/>
  <c r="X1940" i="31"/>
  <c r="Y1939" i="31"/>
  <c r="Y1940" i="31"/>
  <c r="X1941" i="31"/>
  <c r="Y1941" i="31"/>
  <c r="X1942" i="31"/>
  <c r="X1943" i="31"/>
  <c r="Y1942" i="31"/>
  <c r="Y1943" i="31"/>
  <c r="X1944" i="31"/>
  <c r="X1945" i="31"/>
  <c r="Y1944" i="31"/>
  <c r="Y1945" i="31"/>
  <c r="X1946" i="31"/>
  <c r="X1947" i="31"/>
  <c r="Y1946" i="31"/>
  <c r="Y1947" i="31"/>
  <c r="X1948" i="31"/>
  <c r="X1949" i="31"/>
  <c r="Y1948" i="31"/>
  <c r="X1950" i="31"/>
  <c r="Y1949" i="31"/>
  <c r="X1951" i="31"/>
  <c r="Y1950" i="31"/>
  <c r="X1952" i="31"/>
  <c r="Y1951" i="31"/>
  <c r="X1953" i="31"/>
  <c r="Y1952" i="31"/>
  <c r="X1954" i="31"/>
  <c r="Y1953" i="31"/>
  <c r="X1955" i="31"/>
  <c r="Y1954" i="31"/>
  <c r="Y1955" i="31"/>
  <c r="X1956" i="31"/>
  <c r="Y1956" i="31"/>
  <c r="X1957" i="31"/>
  <c r="X1958" i="31"/>
  <c r="Y1957" i="31"/>
  <c r="X1959" i="31"/>
  <c r="Y1958" i="31"/>
  <c r="Y1959" i="31"/>
  <c r="X1960" i="31"/>
  <c r="Y1960" i="31"/>
  <c r="X1961" i="31"/>
  <c r="X1962" i="31"/>
  <c r="Y1961" i="31"/>
  <c r="X1963" i="31"/>
  <c r="Y1962" i="31"/>
  <c r="Y1963" i="31"/>
  <c r="X1964" i="31"/>
  <c r="Y1964" i="31"/>
  <c r="X1965" i="31"/>
  <c r="Y1965" i="31"/>
  <c r="X1966" i="31"/>
  <c r="X1967" i="31"/>
  <c r="Y1966" i="31"/>
  <c r="X1968" i="31"/>
  <c r="Y1967" i="31"/>
  <c r="Y1968" i="31"/>
  <c r="X1969" i="31"/>
  <c r="Y1969" i="31"/>
  <c r="X1970" i="31"/>
  <c r="X1971" i="31"/>
  <c r="Y1970" i="31"/>
  <c r="Y1971" i="31"/>
  <c r="X1972" i="31"/>
  <c r="X1973" i="31"/>
  <c r="Y1972" i="31"/>
  <c r="Y1973" i="31"/>
  <c r="X1974" i="31"/>
  <c r="Y1974" i="31"/>
  <c r="X1975" i="31"/>
  <c r="Y1975" i="31"/>
  <c r="X1976" i="31"/>
  <c r="Y1976" i="31"/>
  <c r="X1977" i="31"/>
  <c r="X1978" i="31"/>
  <c r="Y1977" i="31"/>
  <c r="Y1978" i="31"/>
  <c r="X1979" i="31"/>
  <c r="X1980" i="31"/>
  <c r="Y1979" i="31"/>
  <c r="Y1980" i="31"/>
  <c r="X1981" i="31"/>
  <c r="Y1981" i="31"/>
  <c r="X1982" i="31"/>
  <c r="X1983" i="31"/>
  <c r="Y1982" i="31"/>
  <c r="Y1983" i="31"/>
  <c r="X1984" i="31"/>
  <c r="X1985" i="31"/>
  <c r="Y1984" i="31"/>
  <c r="X1986" i="31"/>
  <c r="Y1985" i="31"/>
  <c r="Y1986" i="31"/>
  <c r="X1987" i="31"/>
  <c r="X1988" i="31"/>
  <c r="Y1987" i="31"/>
  <c r="X1989" i="31"/>
  <c r="Y1988" i="31"/>
  <c r="X1990" i="31"/>
  <c r="Y1989" i="31"/>
  <c r="Y1990" i="31"/>
  <c r="X1991" i="31"/>
  <c r="X1992" i="31"/>
  <c r="Y1991" i="31"/>
  <c r="X1993" i="31"/>
  <c r="Y1992" i="31"/>
  <c r="X1994" i="31"/>
  <c r="Y1993" i="31"/>
  <c r="Y1994" i="31"/>
  <c r="X1995" i="31"/>
  <c r="X1996" i="31"/>
  <c r="Y1995" i="31"/>
  <c r="X1997" i="31"/>
  <c r="Y1996" i="31"/>
  <c r="X1998" i="31"/>
  <c r="Y1997" i="31"/>
  <c r="Y1998" i="31"/>
  <c r="X1999" i="31"/>
  <c r="X2000" i="31"/>
  <c r="Y1999" i="31"/>
  <c r="X2001" i="31"/>
  <c r="Y2000" i="31"/>
  <c r="X2002" i="31"/>
  <c r="Y2001" i="31"/>
  <c r="Y2002" i="31"/>
  <c r="X2003" i="31"/>
  <c r="Y2003" i="31"/>
  <c r="X2004" i="31"/>
  <c r="X2005" i="31"/>
  <c r="Y2004" i="31"/>
  <c r="X2006" i="31"/>
  <c r="Y2005" i="31"/>
  <c r="Y2006" i="31"/>
  <c r="X2007" i="31"/>
  <c r="X2008" i="31"/>
  <c r="Y2007" i="31"/>
  <c r="X2009" i="31"/>
  <c r="Y2008" i="31"/>
  <c r="X2010" i="31"/>
  <c r="Y2009" i="31"/>
  <c r="X2011" i="31"/>
  <c r="Y2010" i="31"/>
  <c r="X2012" i="31"/>
  <c r="Y2011" i="31"/>
  <c r="Y2012" i="31"/>
  <c r="X2013" i="31"/>
  <c r="X2014" i="31"/>
  <c r="Y2013" i="31"/>
  <c r="Y2014" i="31"/>
  <c r="X2015" i="31"/>
  <c r="Y2015" i="31"/>
  <c r="X2016" i="31"/>
  <c r="X2017" i="31"/>
  <c r="Y2016" i="31"/>
  <c r="Y2017" i="31"/>
  <c r="X2018" i="31"/>
  <c r="X2019" i="31"/>
  <c r="Y2018" i="31"/>
  <c r="X2020" i="31"/>
  <c r="Y2019" i="31"/>
  <c r="Y2020" i="31"/>
  <c r="X2021" i="31"/>
  <c r="X2022" i="31"/>
  <c r="Y2021" i="31"/>
  <c r="Y2022" i="31"/>
  <c r="X2023" i="31"/>
  <c r="Y2023" i="31"/>
  <c r="X2024" i="31"/>
  <c r="X2025" i="31"/>
  <c r="Y2024" i="31"/>
  <c r="X2026" i="31"/>
  <c r="Y2025" i="31"/>
  <c r="X2027" i="31"/>
  <c r="Y2026" i="31"/>
  <c r="X2028" i="31"/>
  <c r="Y2027" i="31"/>
  <c r="X2029" i="31"/>
  <c r="Y2028" i="31"/>
  <c r="X2030" i="31"/>
  <c r="Y2029" i="31"/>
  <c r="X2031" i="31"/>
  <c r="Y2030" i="31"/>
  <c r="Y2031" i="31"/>
  <c r="X2032" i="31"/>
  <c r="X2033" i="31"/>
  <c r="Y2032" i="31"/>
  <c r="X2034" i="31"/>
  <c r="Y2033" i="31"/>
  <c r="Y2034" i="31"/>
  <c r="X2035" i="31"/>
  <c r="Y2035" i="31"/>
  <c r="X2036" i="31"/>
  <c r="Y2036" i="31"/>
  <c r="X2037" i="31"/>
  <c r="Y2037" i="31"/>
  <c r="X2038" i="31"/>
  <c r="Y2038" i="31"/>
  <c r="X2039" i="31"/>
  <c r="X2040" i="31"/>
  <c r="Y2039" i="31"/>
  <c r="Y2040" i="31"/>
  <c r="X2041" i="31"/>
  <c r="X2042" i="31"/>
  <c r="Y2041" i="31"/>
  <c r="X2043" i="31"/>
  <c r="Y2042" i="31"/>
  <c r="Y2043" i="31"/>
  <c r="X2044" i="31"/>
  <c r="Y2044" i="31"/>
  <c r="X2045" i="31"/>
  <c r="X2046" i="31"/>
  <c r="Y2045" i="31"/>
  <c r="Y2046" i="31"/>
  <c r="X2047" i="31"/>
  <c r="Y2047" i="31"/>
  <c r="X2048" i="31"/>
  <c r="Y2048" i="31"/>
  <c r="X2049" i="31"/>
  <c r="X2050" i="31"/>
  <c r="Y2049" i="31"/>
  <c r="X2051" i="31"/>
  <c r="Y2050" i="31"/>
  <c r="X2052" i="31"/>
  <c r="Y2051" i="31"/>
  <c r="X2053" i="31"/>
  <c r="Y2052" i="31"/>
  <c r="Y2053" i="31"/>
  <c r="X2054" i="31"/>
  <c r="X2055" i="31"/>
  <c r="Y2054" i="31"/>
  <c r="X2056" i="31"/>
  <c r="Y2055" i="31"/>
  <c r="Y2056" i="31"/>
  <c r="X2057" i="31"/>
  <c r="X2058" i="31"/>
  <c r="Y2057" i="31"/>
  <c r="X2059" i="31"/>
  <c r="Y2058" i="31"/>
  <c r="Y2059" i="31"/>
  <c r="X2060" i="31"/>
  <c r="X2061" i="31"/>
  <c r="Y2060" i="31"/>
  <c r="Y2061" i="31"/>
  <c r="X2062" i="31"/>
  <c r="X2063" i="31"/>
  <c r="Y2062" i="31"/>
  <c r="X2064" i="31"/>
  <c r="Y2063" i="31"/>
  <c r="X2065" i="31"/>
  <c r="Y2064" i="31"/>
  <c r="Y2065" i="31"/>
  <c r="X2066" i="31"/>
  <c r="Y2066" i="31"/>
  <c r="X2067" i="31"/>
  <c r="X2068" i="31"/>
  <c r="Y2067" i="31"/>
  <c r="Y2068" i="31"/>
  <c r="X2069" i="31"/>
  <c r="Y2069" i="31"/>
  <c r="X2070" i="31"/>
  <c r="X2071" i="31"/>
  <c r="Y2070" i="31"/>
  <c r="Y2071" i="31"/>
  <c r="X2072" i="31"/>
  <c r="X2073" i="31"/>
  <c r="Y2072" i="31"/>
  <c r="Y2073" i="31"/>
  <c r="X2074" i="31"/>
  <c r="Y2074" i="31"/>
  <c r="X2075" i="31"/>
  <c r="X2076" i="31"/>
  <c r="Y2075" i="31"/>
  <c r="X2077" i="31"/>
  <c r="Y2076" i="31"/>
  <c r="Y2077" i="31"/>
  <c r="X2078" i="31"/>
  <c r="X2079" i="31"/>
  <c r="Y2078" i="31"/>
  <c r="X2080" i="31"/>
  <c r="Y2079" i="31"/>
  <c r="Y2080" i="31"/>
  <c r="X2081" i="31"/>
  <c r="Y2081" i="31"/>
  <c r="X2082" i="31"/>
  <c r="Y2082" i="31"/>
  <c r="X2083" i="31"/>
  <c r="Y2083" i="31"/>
  <c r="X2084" i="31"/>
  <c r="Y2084" i="31"/>
  <c r="X2085" i="31"/>
  <c r="Y2085" i="31"/>
  <c r="X2086" i="31"/>
  <c r="Y2086" i="31"/>
  <c r="X2087" i="31"/>
  <c r="X2088" i="31"/>
  <c r="Y2087" i="31"/>
  <c r="X2089" i="31"/>
  <c r="Y2088" i="31"/>
  <c r="Y2089" i="31"/>
  <c r="X2090" i="31"/>
  <c r="X2091" i="31"/>
  <c r="Y2090" i="31"/>
  <c r="Y2091" i="31"/>
  <c r="X2092" i="31"/>
  <c r="Y2092" i="31"/>
  <c r="X2093" i="31"/>
  <c r="X2094" i="31"/>
  <c r="Y2093" i="31"/>
  <c r="Y2094" i="31"/>
  <c r="X2095" i="31"/>
  <c r="X2096" i="31"/>
  <c r="Y2095" i="31"/>
  <c r="X2097" i="31"/>
  <c r="Y2096" i="31"/>
  <c r="X2098" i="31"/>
  <c r="Y2097" i="31"/>
  <c r="Y2098" i="31"/>
  <c r="X2099" i="31"/>
  <c r="X2100" i="31"/>
  <c r="Y2099" i="31"/>
  <c r="X2101" i="31"/>
  <c r="Y2100" i="31"/>
  <c r="Y2101" i="31"/>
  <c r="X2102" i="31"/>
  <c r="Y2102" i="31"/>
  <c r="X2103" i="31"/>
  <c r="Y2103" i="31"/>
  <c r="X2104" i="31"/>
  <c r="Y2104" i="31"/>
  <c r="X2105" i="31"/>
  <c r="X2106" i="31"/>
  <c r="Y2105" i="31"/>
  <c r="Y2106" i="31"/>
  <c r="X2107" i="31"/>
  <c r="X2108" i="31"/>
  <c r="Y2107" i="31"/>
  <c r="Y2108" i="31"/>
  <c r="X2109" i="31"/>
  <c r="Y2109" i="31"/>
  <c r="X2110" i="31"/>
  <c r="X2111" i="31"/>
  <c r="Y2110" i="31"/>
  <c r="Y2111" i="31"/>
  <c r="X2112" i="31"/>
  <c r="X2113" i="31"/>
  <c r="Y2112" i="31"/>
  <c r="Y2113" i="31"/>
  <c r="X2114" i="31"/>
  <c r="Y2114" i="31"/>
  <c r="X2115" i="31"/>
  <c r="Y2115" i="31"/>
  <c r="X2116" i="31"/>
  <c r="X2117" i="31"/>
  <c r="Y2116" i="31"/>
  <c r="Y2117" i="31"/>
  <c r="X2118" i="31"/>
  <c r="X2119" i="31"/>
  <c r="Y2118" i="31"/>
  <c r="Y2119" i="31"/>
  <c r="X2120" i="31"/>
  <c r="Y2120" i="31"/>
  <c r="X2121" i="31"/>
  <c r="X2122" i="31"/>
  <c r="Y2121" i="31"/>
  <c r="X2123" i="31"/>
  <c r="Y2122" i="31"/>
  <c r="Y2123" i="31"/>
  <c r="X2124" i="31"/>
  <c r="X2125" i="31"/>
  <c r="Y2124" i="31"/>
  <c r="X2126" i="31"/>
  <c r="Y2125" i="31"/>
  <c r="X2127" i="31"/>
  <c r="Y2126" i="31"/>
  <c r="X2128" i="31"/>
  <c r="Y2127" i="31"/>
  <c r="X2129" i="31"/>
  <c r="Y2128" i="31"/>
  <c r="Y2129" i="31"/>
  <c r="X2130" i="31"/>
  <c r="X2131" i="31"/>
  <c r="Y2130" i="31"/>
  <c r="Y2131" i="31"/>
  <c r="X2132" i="31"/>
  <c r="Y2132" i="31"/>
  <c r="X2133" i="31"/>
  <c r="X2134" i="31"/>
  <c r="Y2133" i="31"/>
  <c r="X2135" i="31"/>
  <c r="Y2134" i="31"/>
  <c r="Y2135" i="31"/>
  <c r="X2136" i="31"/>
  <c r="X2137" i="31"/>
  <c r="Y2136" i="31"/>
  <c r="Y2137" i="31"/>
  <c r="X2138" i="31"/>
  <c r="X2139" i="31"/>
  <c r="Y2138" i="31"/>
  <c r="X2140" i="31"/>
  <c r="Y2139" i="31"/>
  <c r="Y2140" i="31"/>
  <c r="X2141" i="31"/>
  <c r="X2142" i="31"/>
  <c r="Y2141" i="31"/>
  <c r="X2143" i="31"/>
  <c r="Y2142" i="31"/>
  <c r="Y2143" i="31"/>
  <c r="X2144" i="31"/>
  <c r="X2145" i="31"/>
  <c r="Y2144" i="31"/>
  <c r="X2146" i="31"/>
  <c r="Y2145" i="31"/>
  <c r="X2147" i="31"/>
  <c r="Y2146" i="31"/>
  <c r="Y2147" i="31"/>
  <c r="X2148" i="31"/>
  <c r="Y2148" i="31"/>
  <c r="X2149" i="31"/>
  <c r="X2150" i="31"/>
  <c r="Y2149" i="31"/>
  <c r="X2151" i="31"/>
  <c r="Y2150" i="31"/>
  <c r="Y2151" i="31"/>
  <c r="X2152" i="31"/>
  <c r="Y2152" i="31"/>
  <c r="X2153" i="31"/>
  <c r="X2154" i="31"/>
  <c r="Y2153" i="31"/>
  <c r="X2155" i="31"/>
  <c r="Y2154" i="31"/>
  <c r="X2156" i="31"/>
  <c r="Y2155" i="31"/>
  <c r="X2157" i="31"/>
  <c r="Y2156" i="31"/>
  <c r="Y2157" i="31"/>
  <c r="X2158" i="31"/>
  <c r="Y2158" i="31"/>
  <c r="X2159" i="31"/>
  <c r="X2160" i="31"/>
  <c r="Y2159" i="31"/>
  <c r="Y2160" i="31"/>
  <c r="X2161" i="31"/>
  <c r="X2162" i="31"/>
  <c r="Y2161" i="31"/>
  <c r="X2163" i="31"/>
  <c r="Y2162" i="31"/>
  <c r="Y2163" i="31"/>
  <c r="X2164" i="31"/>
  <c r="Y2164" i="31"/>
  <c r="X2165" i="31"/>
  <c r="X2166" i="31"/>
  <c r="Y2165" i="31"/>
  <c r="X2167" i="31"/>
  <c r="Y2166" i="31"/>
  <c r="Y2167" i="31"/>
  <c r="X2168" i="31"/>
  <c r="X2169" i="31"/>
  <c r="Y2168" i="31"/>
  <c r="X2170" i="31"/>
  <c r="Y2169" i="31"/>
  <c r="Y2170" i="31"/>
  <c r="X2171" i="31"/>
  <c r="X2172" i="31"/>
  <c r="Y2171" i="31"/>
  <c r="Y2172" i="31"/>
  <c r="X2173" i="31"/>
  <c r="Y2173" i="31"/>
  <c r="X2174" i="31"/>
  <c r="X2175" i="31"/>
  <c r="Y2174" i="31"/>
  <c r="X2176" i="31"/>
  <c r="Y2175" i="31"/>
  <c r="Y2176" i="31"/>
  <c r="X2177" i="31"/>
  <c r="X2178" i="31"/>
  <c r="Y2177" i="31"/>
  <c r="Y2178" i="31"/>
  <c r="X2179" i="31"/>
  <c r="X2180" i="31"/>
  <c r="Y2179" i="31"/>
  <c r="Y2180" i="31"/>
  <c r="X2181" i="31"/>
  <c r="Y2181" i="31"/>
  <c r="X2182" i="31"/>
  <c r="X2183" i="31"/>
  <c r="Y2182" i="31"/>
  <c r="Y2183" i="31"/>
  <c r="X2184" i="31"/>
  <c r="X2185" i="31"/>
  <c r="Y2184" i="31"/>
  <c r="X2186" i="31"/>
  <c r="Y2185" i="31"/>
  <c r="X2187" i="31"/>
  <c r="Y2186" i="31"/>
  <c r="Y2187" i="31"/>
  <c r="X2188" i="31"/>
  <c r="X2189" i="31"/>
  <c r="Y2188" i="31"/>
  <c r="X2190" i="31"/>
  <c r="Y2189" i="31"/>
  <c r="X2191" i="31"/>
  <c r="Y2190" i="31"/>
  <c r="X2192" i="31"/>
  <c r="Y2191" i="31"/>
  <c r="X2193" i="31"/>
  <c r="Y2192" i="31"/>
  <c r="X2194" i="31"/>
  <c r="Y2193" i="31"/>
  <c r="Y2194" i="31"/>
  <c r="X2195" i="31"/>
  <c r="X2196" i="31"/>
  <c r="Y2195" i="31"/>
  <c r="X2197" i="31"/>
  <c r="Y2196" i="31"/>
  <c r="X2198" i="31"/>
  <c r="Y2197" i="31"/>
  <c r="X2199" i="31"/>
  <c r="Y2198" i="31"/>
  <c r="X2200" i="31"/>
  <c r="Y2199" i="31"/>
  <c r="X2201" i="31"/>
  <c r="Y2200" i="31"/>
  <c r="Y2201" i="31"/>
  <c r="X2202" i="31"/>
  <c r="Y2202" i="31"/>
  <c r="X2203" i="31"/>
  <c r="X2204" i="31"/>
  <c r="Y2203" i="31"/>
  <c r="X2205" i="31"/>
  <c r="Y2204" i="31"/>
  <c r="X2206" i="31"/>
  <c r="Y2205" i="31"/>
  <c r="Y2206" i="31"/>
  <c r="X2207" i="31"/>
  <c r="X2208" i="31"/>
  <c r="Y2207" i="31"/>
  <c r="X2209" i="31"/>
  <c r="Y2208" i="31"/>
  <c r="Y2209" i="31"/>
  <c r="X2210" i="31"/>
  <c r="X2211" i="31"/>
  <c r="Y2210" i="31"/>
  <c r="Y2211" i="31"/>
  <c r="X2212" i="31"/>
  <c r="Y2212" i="31"/>
  <c r="X2213" i="31"/>
  <c r="X2214" i="31"/>
  <c r="Y2213" i="31"/>
  <c r="X2215" i="31"/>
  <c r="Y2214" i="31"/>
  <c r="Y2215" i="31"/>
  <c r="X2216" i="31"/>
  <c r="Y2216" i="31"/>
  <c r="X2217" i="31"/>
  <c r="Y2217" i="31"/>
  <c r="X2218" i="31"/>
  <c r="Y2218" i="31"/>
  <c r="X2219" i="31"/>
  <c r="Y2219" i="31"/>
  <c r="X2220" i="31"/>
  <c r="Y2220" i="31"/>
  <c r="X2221" i="31"/>
  <c r="X2222" i="31"/>
  <c r="Y2221" i="31"/>
  <c r="X2223" i="31"/>
  <c r="Y2222" i="31"/>
  <c r="Y2223" i="31"/>
  <c r="X2224" i="31"/>
  <c r="Y2224" i="31"/>
  <c r="X2225" i="31"/>
  <c r="X2226" i="31"/>
  <c r="Y2225" i="31"/>
  <c r="Y2226" i="31"/>
  <c r="X2227" i="31"/>
  <c r="Y2227" i="31"/>
  <c r="X2228" i="31"/>
  <c r="X2229" i="31"/>
  <c r="Y2228" i="31"/>
  <c r="X2230" i="31"/>
  <c r="Y2229" i="31"/>
  <c r="Y2230" i="31"/>
  <c r="X2231" i="31"/>
  <c r="Y2231" i="31"/>
  <c r="X2232" i="31"/>
  <c r="X2233" i="31"/>
  <c r="Y2232" i="31"/>
  <c r="X2234" i="31"/>
  <c r="Y2233" i="31"/>
  <c r="Y2234" i="31"/>
  <c r="X2235" i="31"/>
  <c r="Y2235" i="31"/>
  <c r="X2236" i="31"/>
  <c r="Y2236" i="31"/>
  <c r="X2237" i="31"/>
  <c r="Y2237" i="31"/>
  <c r="X2238" i="31"/>
  <c r="X2239" i="31"/>
  <c r="Y2238" i="31"/>
  <c r="X2240" i="31"/>
  <c r="Y2239" i="31"/>
  <c r="X2241" i="31"/>
  <c r="Y2240" i="31"/>
  <c r="X2242" i="31"/>
  <c r="Y2241" i="31"/>
  <c r="Y2242" i="31"/>
  <c r="X2243" i="31"/>
  <c r="X2244" i="31"/>
  <c r="Y2243" i="31"/>
  <c r="X2245" i="31"/>
  <c r="Y2244" i="31"/>
  <c r="Y2245" i="31"/>
  <c r="X2246" i="31"/>
  <c r="X2247" i="31"/>
  <c r="Y2246" i="31"/>
  <c r="Y2247" i="31"/>
  <c r="X2248" i="31"/>
  <c r="Y2248" i="31"/>
  <c r="X2249" i="31"/>
  <c r="Y2249" i="31"/>
  <c r="X2250" i="31"/>
  <c r="X2251" i="31"/>
  <c r="Y2250" i="31"/>
  <c r="X2252" i="31"/>
  <c r="Y2251" i="31"/>
  <c r="X2253" i="31"/>
  <c r="Y2252" i="31"/>
  <c r="Y2253" i="31"/>
  <c r="X2254" i="31"/>
  <c r="X2255" i="31"/>
  <c r="Y2254" i="31"/>
  <c r="X2256" i="31"/>
  <c r="Y2255" i="31"/>
  <c r="Y2256" i="31"/>
  <c r="X2257" i="31"/>
  <c r="X2258" i="31"/>
  <c r="Y2257" i="31"/>
  <c r="Y2258" i="31"/>
  <c r="X2259" i="31"/>
  <c r="X2260" i="31"/>
  <c r="Y2259" i="31"/>
  <c r="X2261" i="31"/>
  <c r="Y2260" i="31"/>
  <c r="Y2261" i="31"/>
  <c r="X2262" i="31"/>
  <c r="X2263" i="31"/>
  <c r="Y2262" i="31"/>
  <c r="Y2263" i="31"/>
  <c r="X2264" i="31"/>
  <c r="X2265" i="31"/>
  <c r="Y2264" i="31"/>
  <c r="X2266" i="31"/>
  <c r="Y2265" i="31"/>
  <c r="X2267" i="31"/>
  <c r="Y2266" i="31"/>
  <c r="Y2267" i="31"/>
  <c r="X2268" i="31"/>
  <c r="X2269" i="31"/>
  <c r="Y2268" i="31"/>
  <c r="X2270" i="31"/>
  <c r="Y2269" i="31"/>
  <c r="Y2270" i="31"/>
  <c r="X2271" i="31"/>
  <c r="Y2271" i="31"/>
  <c r="X2272" i="31"/>
  <c r="Y2272" i="31"/>
  <c r="X2273" i="31"/>
  <c r="Y2273" i="31"/>
  <c r="X2274" i="31"/>
  <c r="X2275" i="31"/>
  <c r="Y2274" i="31"/>
  <c r="X2276" i="31"/>
  <c r="Y2275" i="31"/>
  <c r="X2277" i="31"/>
  <c r="Y2276" i="31"/>
  <c r="X2278" i="31"/>
  <c r="Y2277" i="31"/>
  <c r="X2279" i="31"/>
  <c r="Y2278" i="31"/>
  <c r="Y2279" i="31"/>
  <c r="X2280" i="31"/>
  <c r="Y2280" i="31"/>
  <c r="X2281" i="31"/>
  <c r="Y2281" i="31"/>
  <c r="X2282" i="31"/>
  <c r="Y2282" i="31"/>
  <c r="X2283" i="31"/>
  <c r="Y2283" i="31"/>
  <c r="X2284" i="31"/>
  <c r="X2285" i="31"/>
  <c r="Y2284" i="31"/>
  <c r="Y2285" i="31"/>
  <c r="X2286" i="31"/>
  <c r="Y2286" i="31"/>
  <c r="X2287" i="31"/>
  <c r="Y2287" i="31"/>
  <c r="X2288" i="31"/>
  <c r="Y2288" i="31"/>
  <c r="X2289" i="31"/>
  <c r="X2290" i="31"/>
  <c r="Y2289" i="31"/>
  <c r="X2291" i="31"/>
  <c r="Y2290" i="31"/>
  <c r="Y2291" i="31"/>
  <c r="X2292" i="31"/>
  <c r="X2293" i="31"/>
  <c r="Y2292" i="31"/>
  <c r="Y2293" i="31"/>
  <c r="X2294" i="31"/>
  <c r="X2295" i="31"/>
  <c r="Y2294" i="31"/>
  <c r="X2296" i="31"/>
  <c r="Y2295" i="31"/>
  <c r="X2297" i="31"/>
  <c r="Y2296" i="31"/>
  <c r="Y2297" i="31"/>
  <c r="X2298" i="31"/>
  <c r="X2299" i="31"/>
  <c r="Y2298" i="31"/>
  <c r="X2300" i="31"/>
  <c r="Y2299" i="31"/>
  <c r="X2301" i="31"/>
  <c r="Y2300" i="31"/>
  <c r="Y2301" i="31"/>
  <c r="X2302" i="31"/>
  <c r="X2303" i="31"/>
  <c r="Y2302" i="31"/>
  <c r="X2304" i="31"/>
  <c r="Y2303" i="31"/>
  <c r="Y2304" i="31"/>
  <c r="X2305" i="31"/>
  <c r="Y2305" i="31"/>
  <c r="X2306" i="31"/>
  <c r="Y2306" i="31"/>
  <c r="X2307" i="31"/>
  <c r="Y2307" i="31"/>
  <c r="X2308" i="31"/>
  <c r="X2309" i="31"/>
  <c r="Y2308" i="31"/>
  <c r="Y2309" i="31"/>
  <c r="X2310" i="31"/>
  <c r="Y2310" i="31"/>
  <c r="X2311" i="31"/>
  <c r="X2312" i="31"/>
  <c r="Y2311" i="31"/>
  <c r="X2313" i="31"/>
  <c r="Y2312" i="31"/>
  <c r="Y2313" i="31"/>
  <c r="X2314" i="31"/>
  <c r="X2315" i="31"/>
  <c r="Y2314" i="31"/>
  <c r="X2316" i="31"/>
  <c r="Y2315" i="31"/>
  <c r="Y2316" i="31"/>
  <c r="X2317" i="31"/>
  <c r="Y2317" i="31"/>
  <c r="X2318" i="31"/>
  <c r="X2319" i="31"/>
  <c r="Y2318" i="31"/>
  <c r="X2320" i="31"/>
  <c r="Y2319" i="31"/>
  <c r="Y2320" i="31"/>
  <c r="X2321" i="31"/>
  <c r="X2322" i="31"/>
  <c r="Y2321" i="31"/>
  <c r="Y2322" i="31"/>
  <c r="X2323" i="31"/>
  <c r="X2324" i="31"/>
  <c r="Y2323" i="31"/>
  <c r="X2325" i="31"/>
  <c r="Y2324" i="31"/>
  <c r="X2326" i="31"/>
  <c r="Y2325" i="31"/>
  <c r="Y2326" i="31"/>
  <c r="X2327" i="31"/>
  <c r="Y2327" i="31"/>
  <c r="X2328" i="31"/>
  <c r="X2329" i="31"/>
  <c r="Y2328" i="31"/>
  <c r="Y2329" i="31"/>
  <c r="X2330" i="31"/>
  <c r="X2331" i="31"/>
  <c r="Y2330" i="31"/>
  <c r="X2332" i="31"/>
  <c r="Y2331" i="31"/>
  <c r="Y2332" i="31"/>
  <c r="X2333" i="31"/>
  <c r="Y2333" i="31"/>
  <c r="X2334" i="31"/>
  <c r="Y2334" i="31"/>
  <c r="X2335" i="31"/>
  <c r="X2336" i="31"/>
  <c r="Y2335" i="31"/>
  <c r="X2337" i="31"/>
  <c r="Y2336" i="31"/>
  <c r="X2338" i="31"/>
  <c r="Y2337" i="31"/>
  <c r="X2339" i="31"/>
  <c r="Y2338" i="31"/>
  <c r="Y2339" i="31"/>
  <c r="X2340" i="31"/>
  <c r="X2341" i="31"/>
  <c r="Y2340" i="31"/>
  <c r="X2342" i="31"/>
  <c r="Y2341" i="31"/>
  <c r="X2343" i="31"/>
  <c r="Y2342" i="31"/>
  <c r="X2344" i="31"/>
  <c r="Y2343" i="31"/>
  <c r="X2345" i="31"/>
  <c r="Y2344" i="31"/>
  <c r="X2346" i="31"/>
  <c r="Y2345" i="31"/>
  <c r="Y2346" i="31"/>
  <c r="X2347" i="31"/>
  <c r="Y2347" i="31"/>
  <c r="X2348" i="31"/>
  <c r="Y2348" i="31"/>
  <c r="X2349" i="31"/>
  <c r="Y2349" i="31"/>
  <c r="X2350" i="31"/>
  <c r="X2351" i="31"/>
  <c r="Y2350" i="31"/>
  <c r="X2352" i="31"/>
  <c r="Y2351" i="31"/>
  <c r="X2353" i="31"/>
  <c r="Y2352" i="31"/>
  <c r="Y2353" i="31"/>
  <c r="X2354" i="31"/>
  <c r="Y2354" i="31"/>
  <c r="X2355" i="31"/>
  <c r="X2356" i="31"/>
  <c r="Y2355" i="31"/>
  <c r="X2357" i="31"/>
  <c r="Y2356" i="31"/>
  <c r="X2358" i="31"/>
  <c r="Y2357" i="31"/>
  <c r="X2359" i="31"/>
  <c r="Y2358" i="31"/>
  <c r="Y2359" i="31"/>
  <c r="X2360" i="31"/>
  <c r="Y2360" i="31"/>
  <c r="X2361" i="31"/>
  <c r="X2362" i="31"/>
  <c r="Y2361" i="31"/>
  <c r="X2363" i="31"/>
  <c r="Y2362" i="31"/>
  <c r="Y2363" i="31"/>
  <c r="X2364" i="31"/>
  <c r="Y2364" i="31"/>
  <c r="X2365" i="31"/>
  <c r="Y2365" i="31"/>
  <c r="X2366" i="31"/>
  <c r="Y2366" i="31"/>
  <c r="X2367" i="31"/>
  <c r="X2368" i="31"/>
  <c r="Y2367" i="31"/>
  <c r="Y2368" i="31"/>
  <c r="X2369" i="31"/>
  <c r="Y2369" i="31"/>
  <c r="X2370" i="31"/>
  <c r="Y2370" i="31"/>
  <c r="X2371" i="31"/>
  <c r="X2372" i="31"/>
  <c r="Y2371" i="31"/>
  <c r="X2373" i="31"/>
  <c r="Y2372" i="31"/>
  <c r="Y2373" i="31"/>
  <c r="X2374" i="31"/>
  <c r="X2375" i="31"/>
  <c r="Y2374" i="31"/>
  <c r="X2376" i="31"/>
  <c r="Y2375" i="31"/>
  <c r="Y2376" i="31"/>
  <c r="X2377" i="31"/>
  <c r="X2378" i="31"/>
  <c r="Y2377" i="31"/>
  <c r="Y2378" i="31"/>
  <c r="X2379" i="31"/>
  <c r="X2380" i="31"/>
  <c r="Y2379" i="31"/>
  <c r="Y2380" i="31"/>
  <c r="X2381" i="31"/>
  <c r="X2382" i="31"/>
  <c r="Y2381" i="31"/>
  <c r="Y2382" i="31"/>
  <c r="X2383" i="31"/>
  <c r="X2384" i="31"/>
  <c r="Y2383" i="31"/>
  <c r="Y2384" i="31"/>
  <c r="X2385" i="31"/>
  <c r="X2386" i="31"/>
  <c r="Y2385" i="31"/>
  <c r="X2387" i="31"/>
  <c r="Y2386" i="31"/>
  <c r="X2388" i="31"/>
  <c r="Y2387" i="31"/>
  <c r="Y2388" i="31"/>
  <c r="X2389" i="31"/>
  <c r="Y2389" i="31"/>
  <c r="X2390" i="31"/>
  <c r="Y2390" i="31"/>
  <c r="X2391" i="31"/>
  <c r="Y2391" i="31"/>
  <c r="X2392" i="31"/>
  <c r="Y2392" i="31"/>
  <c r="X2393" i="31"/>
  <c r="Y2393" i="31"/>
  <c r="X2394" i="31"/>
  <c r="X2395" i="31"/>
  <c r="Y2394" i="31"/>
  <c r="Y2395" i="31"/>
  <c r="X2396" i="31"/>
  <c r="X2397" i="31"/>
  <c r="Y2396" i="31"/>
  <c r="Y2397" i="31"/>
  <c r="X2398" i="31"/>
  <c r="X2399" i="31"/>
  <c r="Y2398" i="31"/>
  <c r="Y2399" i="31"/>
  <c r="X2400" i="31"/>
  <c r="X2401" i="31"/>
  <c r="Y2400" i="31"/>
  <c r="Y2401" i="31"/>
  <c r="X2402" i="31"/>
  <c r="X2403" i="31"/>
  <c r="Y2402" i="31"/>
  <c r="X2404" i="31"/>
  <c r="Y2403" i="31"/>
  <c r="X2405" i="31"/>
  <c r="Y2404" i="31"/>
  <c r="Y2405" i="31"/>
  <c r="X2406" i="31"/>
  <c r="X2407" i="31"/>
  <c r="Y2406" i="31"/>
  <c r="Y2407" i="31"/>
  <c r="X2408" i="31"/>
  <c r="X2409" i="31"/>
  <c r="Y2408" i="31"/>
  <c r="X2410" i="31"/>
  <c r="Y2409" i="31"/>
  <c r="X2411" i="31"/>
  <c r="Y2410" i="31"/>
  <c r="X2412" i="31"/>
  <c r="Y2411" i="31"/>
  <c r="Y2412" i="31"/>
  <c r="X2413" i="31"/>
  <c r="X2414" i="31"/>
  <c r="Y2413" i="31"/>
  <c r="Y2414" i="31"/>
  <c r="X2415" i="31"/>
  <c r="X2416" i="31"/>
  <c r="Y2415" i="31"/>
  <c r="Y2416" i="31"/>
  <c r="X2417" i="31"/>
  <c r="X2418" i="31"/>
  <c r="Y2417" i="31"/>
  <c r="Y2418" i="31"/>
  <c r="X2419" i="31"/>
  <c r="X2420" i="31"/>
  <c r="Y2419" i="31"/>
  <c r="X2421" i="31"/>
  <c r="Y2420" i="31"/>
  <c r="Y2421" i="31"/>
  <c r="X2422" i="31"/>
  <c r="Y2422" i="31"/>
  <c r="X2423" i="31"/>
  <c r="X2424" i="31"/>
  <c r="Y2423" i="31"/>
  <c r="Y2424" i="31"/>
  <c r="X2425" i="31"/>
  <c r="Y2425" i="31"/>
  <c r="X2426" i="31"/>
  <c r="X2427" i="31"/>
  <c r="Y2426" i="31"/>
  <c r="X2428" i="31"/>
  <c r="Y2427" i="31"/>
  <c r="X2429" i="31"/>
  <c r="Y2428" i="31"/>
  <c r="X2430" i="31"/>
  <c r="Y2429" i="31"/>
  <c r="Y2430" i="31"/>
  <c r="X2431" i="31"/>
  <c r="X2432" i="31"/>
  <c r="Y2431" i="31"/>
  <c r="Y2432" i="31"/>
  <c r="X2433" i="31"/>
  <c r="X2434" i="31"/>
  <c r="Y2433" i="31"/>
  <c r="Y2434" i="31"/>
  <c r="X2435" i="31"/>
  <c r="X2436" i="31"/>
  <c r="Y2435" i="31"/>
  <c r="X2437" i="31"/>
  <c r="Y2436" i="31"/>
  <c r="X2438" i="31"/>
  <c r="Y2437" i="31"/>
  <c r="Y2438" i="31"/>
  <c r="X2439" i="31"/>
  <c r="Y2439" i="31"/>
  <c r="X2440" i="31"/>
  <c r="Y2440" i="31"/>
  <c r="X2441" i="31"/>
  <c r="X2442" i="31"/>
  <c r="Y2441" i="31"/>
  <c r="Y2442" i="31"/>
  <c r="X2443" i="31"/>
  <c r="X2444" i="31"/>
  <c r="Y2443" i="31"/>
  <c r="X2445" i="31"/>
  <c r="Y2444" i="31"/>
  <c r="Y2445" i="31"/>
  <c r="X2446" i="31"/>
  <c r="Y2446" i="31"/>
  <c r="X2447" i="31"/>
  <c r="Y2447" i="31"/>
  <c r="X2448" i="31"/>
  <c r="Y2448" i="31"/>
  <c r="X2449" i="31"/>
  <c r="X2450" i="31"/>
  <c r="Y2449" i="31"/>
  <c r="X2451" i="31"/>
  <c r="Y2450" i="31"/>
  <c r="Y2451" i="31"/>
  <c r="X2452" i="31"/>
  <c r="X2453" i="31"/>
  <c r="Y2452" i="31"/>
  <c r="Y2453" i="31"/>
  <c r="X2454" i="31"/>
  <c r="X2455" i="31"/>
  <c r="Y2454" i="31"/>
  <c r="Y2455" i="31"/>
  <c r="X2456" i="31"/>
  <c r="X2457" i="31"/>
  <c r="Y2456" i="31"/>
  <c r="X2458" i="31"/>
  <c r="Y2457" i="31"/>
  <c r="Y2458" i="31"/>
  <c r="X2459" i="31"/>
  <c r="X2460" i="31"/>
  <c r="Y2459" i="31"/>
  <c r="Y2460" i="31"/>
  <c r="X2461" i="31"/>
  <c r="Y2461" i="31"/>
  <c r="X2462" i="31"/>
  <c r="Y2462" i="31"/>
  <c r="X2463" i="31"/>
  <c r="Y2463" i="31"/>
  <c r="X2464" i="31"/>
  <c r="X2465" i="31"/>
  <c r="Y2464" i="31"/>
  <c r="X2466" i="31"/>
  <c r="Y2465" i="31"/>
  <c r="X2467" i="31"/>
  <c r="Y2466" i="31"/>
  <c r="X2468" i="31"/>
  <c r="Y2467" i="31"/>
  <c r="Y2468" i="31"/>
  <c r="X2469" i="31"/>
  <c r="Y2469" i="31"/>
  <c r="X2470" i="31"/>
  <c r="Y2470" i="31"/>
  <c r="X2471" i="31"/>
  <c r="Y2471" i="31"/>
  <c r="X2472" i="31"/>
  <c r="X2473" i="31"/>
  <c r="Y2472" i="31"/>
  <c r="X2474" i="31"/>
  <c r="Y2473" i="31"/>
  <c r="Y2474" i="31"/>
  <c r="X2475" i="31"/>
  <c r="X2476" i="31"/>
  <c r="Y2475" i="31"/>
  <c r="Y2476" i="31"/>
  <c r="X2477" i="31"/>
  <c r="X2478" i="31"/>
  <c r="Y2477" i="31"/>
  <c r="Y2478" i="31"/>
  <c r="X2479" i="31"/>
  <c r="X2480" i="31"/>
  <c r="Y2479" i="31"/>
  <c r="Y2480" i="31"/>
  <c r="X2481" i="31"/>
  <c r="X2482" i="31"/>
  <c r="Y2481" i="31"/>
  <c r="Y2482" i="31"/>
  <c r="X2483" i="31"/>
  <c r="Y2483" i="31"/>
  <c r="X2484" i="31"/>
  <c r="X2485" i="31"/>
  <c r="Y2484" i="31"/>
  <c r="X2486" i="31"/>
  <c r="Y2485" i="31"/>
  <c r="Y2486" i="31"/>
  <c r="X2487" i="31"/>
  <c r="Y2487" i="31"/>
  <c r="X2488" i="31"/>
  <c r="X2489" i="31"/>
  <c r="Y2488" i="31"/>
  <c r="X2490" i="31"/>
  <c r="Y2489" i="31"/>
  <c r="Y2490" i="31"/>
  <c r="X2491" i="31"/>
  <c r="Y2491" i="31"/>
  <c r="X2492" i="31"/>
  <c r="Y2492" i="31"/>
  <c r="X2493" i="31"/>
  <c r="Y2493" i="31"/>
  <c r="X2494" i="31"/>
  <c r="Y2494" i="31"/>
  <c r="X2495" i="31"/>
  <c r="X2496" i="31"/>
  <c r="Y2495" i="31"/>
  <c r="X2497" i="31"/>
  <c r="Y2496" i="31"/>
  <c r="X2498" i="31"/>
  <c r="Y2497" i="31"/>
  <c r="X2499" i="31"/>
  <c r="Y2498" i="31"/>
  <c r="Y2499" i="31"/>
  <c r="X2500" i="31"/>
  <c r="X2501" i="31"/>
  <c r="Y2500" i="31"/>
  <c r="Y2501" i="31"/>
  <c r="X2502" i="31"/>
  <c r="X2503" i="31"/>
  <c r="Y2502" i="31"/>
  <c r="X2504" i="31"/>
  <c r="Y2503" i="31"/>
  <c r="X2505" i="31"/>
  <c r="Y2504" i="31"/>
  <c r="X2506" i="31"/>
  <c r="Y2505" i="31"/>
  <c r="Y2506" i="31"/>
  <c r="X2507" i="31"/>
  <c r="Y2507" i="31"/>
  <c r="X2508" i="31"/>
  <c r="Y2508" i="31"/>
  <c r="X2509" i="31"/>
  <c r="Y2509" i="31"/>
  <c r="X2510" i="31"/>
  <c r="Y2510" i="31"/>
  <c r="X2511" i="31"/>
  <c r="Y2511" i="31"/>
  <c r="X2512" i="31"/>
  <c r="Y2512" i="31"/>
  <c r="X2513" i="31"/>
  <c r="X2514" i="31"/>
  <c r="Y2513" i="31"/>
  <c r="Y2514" i="31"/>
  <c r="X2515" i="31"/>
  <c r="X2516" i="31"/>
  <c r="Y2515" i="31"/>
  <c r="X2517" i="31"/>
  <c r="Y2516" i="31"/>
  <c r="Y2517" i="31"/>
  <c r="X2518" i="31"/>
  <c r="X2519" i="31"/>
  <c r="Y2518" i="31"/>
  <c r="X2520" i="31"/>
  <c r="Y2519" i="31"/>
  <c r="X2521" i="31"/>
  <c r="Y2520" i="31"/>
  <c r="X2522" i="31"/>
  <c r="Y2521" i="31"/>
  <c r="Y2522" i="31"/>
  <c r="X2523" i="31"/>
  <c r="X2524" i="31"/>
  <c r="Y2523" i="31"/>
  <c r="Y2524" i="31"/>
  <c r="X2525" i="31"/>
  <c r="X2526" i="31"/>
  <c r="Y2525" i="31"/>
  <c r="X2527" i="31"/>
  <c r="Y2526" i="31"/>
  <c r="Y2527" i="31"/>
  <c r="X2528" i="31"/>
  <c r="X2529" i="31"/>
  <c r="Y2528" i="31"/>
  <c r="Y2529" i="31"/>
  <c r="X2530" i="31"/>
  <c r="Y2530" i="31"/>
  <c r="X2531" i="31"/>
  <c r="Y2531" i="31"/>
  <c r="X2532" i="31"/>
  <c r="Y2532" i="31"/>
  <c r="X2533" i="31"/>
  <c r="Y2533" i="31"/>
  <c r="X2534" i="31"/>
  <c r="Y2534" i="31"/>
  <c r="X2535" i="31"/>
  <c r="X2536" i="31"/>
  <c r="Y2535" i="31"/>
  <c r="Y2536" i="31"/>
  <c r="X2537" i="31"/>
  <c r="X2538" i="31"/>
  <c r="Y2537" i="31"/>
  <c r="X2539" i="31"/>
  <c r="Y2538" i="31"/>
  <c r="Y2539" i="31"/>
  <c r="X2540" i="31"/>
  <c r="X2541" i="31"/>
  <c r="Y2540" i="31"/>
  <c r="X2542" i="31"/>
  <c r="Y2541" i="31"/>
  <c r="X2543" i="31"/>
  <c r="Y2542" i="31"/>
  <c r="Y2543" i="31"/>
  <c r="X2544" i="31"/>
  <c r="X2545" i="31"/>
  <c r="Y2544" i="31"/>
  <c r="X2546" i="31"/>
  <c r="Y2545" i="31"/>
  <c r="X2547" i="31"/>
  <c r="Y2546" i="31"/>
  <c r="Y2547" i="31"/>
  <c r="X2548" i="31"/>
  <c r="Y2548" i="31"/>
  <c r="X2549" i="31"/>
  <c r="X2550" i="31"/>
  <c r="Y2549" i="31"/>
  <c r="X2551" i="31"/>
  <c r="Y2550" i="31"/>
  <c r="Y2551" i="31"/>
  <c r="X2552" i="31"/>
  <c r="Y2552" i="31"/>
  <c r="X2553" i="31"/>
  <c r="X2554" i="31"/>
  <c r="Y2553" i="31"/>
  <c r="Y2554" i="31"/>
  <c r="X2555" i="31"/>
  <c r="Y2555" i="31"/>
  <c r="X2556" i="31"/>
  <c r="Y2556" i="31"/>
  <c r="X2557" i="31"/>
  <c r="X2558" i="31"/>
  <c r="Y2557" i="31"/>
  <c r="X2559" i="31"/>
  <c r="Y2558" i="31"/>
  <c r="X2560" i="31"/>
  <c r="Y2559" i="31"/>
  <c r="X2561" i="31"/>
  <c r="Y2560" i="31"/>
  <c r="X2562" i="31"/>
  <c r="Y2561" i="31"/>
  <c r="Y2562" i="31"/>
  <c r="X2563" i="31"/>
  <c r="X2564" i="31"/>
  <c r="Y2563" i="31"/>
  <c r="X2565" i="31"/>
  <c r="Y2564" i="31"/>
  <c r="X2566" i="31"/>
  <c r="Y2565" i="31"/>
  <c r="Y2566" i="31"/>
  <c r="X2567" i="31"/>
  <c r="X2568" i="31"/>
  <c r="Y2567" i="31"/>
  <c r="Y2568" i="31"/>
  <c r="X2569" i="31"/>
  <c r="X2570" i="31"/>
  <c r="Y2569" i="31"/>
  <c r="Y2570" i="31"/>
  <c r="X2571" i="31"/>
  <c r="X2572" i="31"/>
  <c r="Y2571" i="31"/>
  <c r="Y2572" i="31"/>
  <c r="X2573" i="31"/>
  <c r="Y2573" i="31"/>
  <c r="X2574" i="31"/>
  <c r="X2575" i="31"/>
  <c r="Y2574" i="31"/>
  <c r="Y2575" i="31"/>
  <c r="X2576" i="31"/>
  <c r="Y2576" i="31"/>
  <c r="X2577" i="31"/>
  <c r="Y2577" i="31"/>
  <c r="X2578" i="31"/>
  <c r="X2579" i="31"/>
  <c r="Y2578" i="31"/>
  <c r="Y2579" i="31"/>
  <c r="X2580" i="31"/>
  <c r="X2581" i="31"/>
  <c r="Y2580" i="31"/>
  <c r="Y2581" i="31"/>
  <c r="X2582" i="31"/>
  <c r="X2583" i="31"/>
  <c r="Y2582" i="31"/>
  <c r="Y2583" i="31"/>
  <c r="X2584" i="31"/>
  <c r="X2585" i="31"/>
  <c r="Y2584" i="31"/>
  <c r="X2586" i="31"/>
  <c r="Y2585" i="31"/>
  <c r="X2587" i="31"/>
  <c r="Y2586" i="31"/>
  <c r="X2588" i="31"/>
  <c r="Y2587" i="31"/>
  <c r="Y2588" i="31"/>
  <c r="X2589" i="31"/>
  <c r="Y2589" i="31"/>
  <c r="X2590" i="31"/>
  <c r="X2591" i="31"/>
  <c r="Y2590" i="31"/>
  <c r="X2592" i="31"/>
  <c r="Y2591" i="31"/>
  <c r="X2593" i="31"/>
  <c r="Y2592" i="31"/>
  <c r="X2594" i="31"/>
  <c r="Y2593" i="31"/>
  <c r="X2595" i="31"/>
  <c r="Y2594" i="31"/>
  <c r="Y2595" i="31"/>
  <c r="X2596" i="31"/>
  <c r="X2597" i="31"/>
  <c r="Y2596" i="31"/>
  <c r="X2598" i="31"/>
  <c r="Y2597" i="31"/>
  <c r="Y2598" i="31"/>
  <c r="X2599" i="31"/>
  <c r="Y2599" i="31"/>
  <c r="X2600" i="31"/>
  <c r="X2601" i="31"/>
  <c r="Y2600" i="31"/>
  <c r="Y2601" i="31"/>
  <c r="X2602" i="31"/>
  <c r="X2603" i="31"/>
  <c r="Y2602" i="31"/>
  <c r="X2604" i="31"/>
  <c r="Y2603" i="31"/>
  <c r="X2605" i="31"/>
  <c r="Y2604" i="31"/>
  <c r="Y2605" i="31"/>
  <c r="X2606" i="31"/>
  <c r="X2607" i="31"/>
  <c r="Y2606" i="31"/>
  <c r="Y2607" i="31"/>
  <c r="X2608" i="31"/>
  <c r="Y2608" i="31"/>
  <c r="X2609" i="31"/>
  <c r="Y2609" i="31"/>
  <c r="X2610" i="31"/>
  <c r="Y2610" i="31"/>
  <c r="X2611" i="31"/>
  <c r="X2612" i="31"/>
  <c r="Y2611" i="31"/>
  <c r="Y2612" i="31"/>
  <c r="X2613" i="31"/>
  <c r="Y2613" i="31"/>
  <c r="X2614" i="31"/>
  <c r="Y2614" i="31"/>
  <c r="X2615" i="31"/>
  <c r="Y2615" i="31"/>
  <c r="X2616" i="31"/>
  <c r="X2617" i="31"/>
  <c r="Y2616" i="31"/>
  <c r="Y2617" i="31"/>
  <c r="X2618" i="31"/>
  <c r="X2619" i="31"/>
  <c r="Y2618" i="31"/>
  <c r="Y2619" i="31"/>
  <c r="X2620" i="31"/>
  <c r="Y2620" i="31"/>
  <c r="X2621" i="31"/>
  <c r="X2622" i="31"/>
  <c r="Y2621" i="31"/>
  <c r="Y2622" i="31"/>
  <c r="X2623" i="31"/>
  <c r="X2624" i="31"/>
  <c r="Y2623" i="31"/>
  <c r="Y2624" i="31"/>
  <c r="X2625" i="31"/>
  <c r="X2626" i="31"/>
  <c r="Y2625" i="31"/>
  <c r="Y2626" i="31"/>
  <c r="X2627" i="31"/>
  <c r="Y2627" i="31"/>
  <c r="X2628" i="31"/>
  <c r="Y2628" i="31"/>
  <c r="X2629" i="31"/>
  <c r="X2630" i="31"/>
  <c r="Y2629" i="31"/>
  <c r="Y2630" i="31"/>
  <c r="X2631" i="31"/>
  <c r="X2632" i="31"/>
  <c r="Y2631" i="31"/>
  <c r="Y2632" i="31"/>
  <c r="X2633" i="31"/>
  <c r="X2634" i="31"/>
  <c r="Y2633" i="31"/>
  <c r="Y2634" i="31"/>
  <c r="X2635" i="31"/>
  <c r="Y2635" i="31"/>
  <c r="X2636" i="31"/>
  <c r="X2637" i="31"/>
  <c r="Y2636" i="31"/>
  <c r="X2638" i="31"/>
  <c r="Y2637" i="31"/>
  <c r="X2639" i="31"/>
  <c r="Y2638" i="31"/>
  <c r="Y2639" i="31"/>
  <c r="X2640" i="31"/>
  <c r="X2641" i="31"/>
  <c r="Y2640" i="31"/>
  <c r="X2642" i="31"/>
  <c r="Y2641" i="31"/>
  <c r="X2643" i="31"/>
  <c r="Y2642" i="31"/>
  <c r="Y2643" i="31"/>
  <c r="X2644" i="31"/>
  <c r="Y2644" i="31"/>
  <c r="X2645" i="31"/>
  <c r="X2646" i="31"/>
  <c r="Y2645" i="31"/>
  <c r="Y2646" i="31"/>
  <c r="X2647" i="31"/>
  <c r="X2648" i="31"/>
  <c r="Y2647" i="31"/>
  <c r="Y2648" i="31"/>
  <c r="X2649" i="31"/>
  <c r="X2650" i="31"/>
  <c r="Y2649" i="31"/>
  <c r="Y2650" i="31"/>
  <c r="X2651" i="31"/>
  <c r="X2652" i="31"/>
  <c r="Y2651" i="31"/>
  <c r="X2653" i="31"/>
  <c r="Y2652" i="31"/>
  <c r="Y2653" i="31"/>
  <c r="X2654" i="31"/>
  <c r="Y2654" i="31"/>
  <c r="X2655" i="31"/>
  <c r="X2656" i="31"/>
  <c r="Y2655" i="31"/>
  <c r="Y2656" i="31"/>
  <c r="X2657" i="31"/>
  <c r="Y2657" i="31"/>
  <c r="X2658" i="31"/>
  <c r="X2659" i="31"/>
  <c r="Y2658" i="31"/>
  <c r="X2660" i="31"/>
  <c r="Y2659" i="31"/>
  <c r="Y2660" i="31"/>
  <c r="X2661" i="31"/>
  <c r="X2662" i="31"/>
  <c r="Y2661" i="31"/>
  <c r="X2663" i="31"/>
  <c r="Y2662" i="31"/>
  <c r="X2664" i="31"/>
  <c r="Y2663" i="31"/>
  <c r="Y2664" i="31"/>
  <c r="X2665" i="31"/>
  <c r="X2666" i="31"/>
  <c r="Y2665" i="31"/>
  <c r="Y2666" i="31"/>
  <c r="X2667" i="31"/>
  <c r="X2668" i="31"/>
  <c r="Y2667" i="31"/>
  <c r="Y2668" i="31"/>
  <c r="X2669" i="31"/>
  <c r="X2670" i="31"/>
  <c r="Y2669" i="31"/>
  <c r="Y2670" i="31"/>
  <c r="X2671" i="31"/>
  <c r="Y2671" i="31"/>
  <c r="X2672" i="31"/>
  <c r="Y2672" i="31"/>
  <c r="X2673" i="31"/>
  <c r="Y2673" i="31"/>
  <c r="X2674" i="31"/>
  <c r="X2675" i="31"/>
  <c r="Y2674" i="31"/>
  <c r="X2676" i="31"/>
  <c r="Y2675" i="31"/>
  <c r="Y2676" i="31"/>
  <c r="X2677" i="31"/>
  <c r="X2678" i="31"/>
  <c r="Y2677" i="31"/>
  <c r="Y2678" i="31"/>
  <c r="X2679" i="31"/>
  <c r="X2680" i="31"/>
  <c r="Y2679" i="31"/>
  <c r="X2681" i="31"/>
  <c r="Y2680" i="31"/>
  <c r="X2682" i="31"/>
  <c r="Y2681" i="31"/>
  <c r="Y2682" i="31"/>
  <c r="X2683" i="31"/>
  <c r="X2684" i="31"/>
  <c r="Y2683" i="31"/>
  <c r="X2685" i="31"/>
  <c r="Y2684" i="31"/>
  <c r="Y2685" i="31"/>
  <c r="X2686" i="31"/>
  <c r="X2687" i="31"/>
  <c r="Y2686" i="31"/>
  <c r="X2688" i="31"/>
  <c r="Y2687" i="31"/>
  <c r="X2689" i="31"/>
  <c r="Y2688" i="31"/>
  <c r="X2690" i="31"/>
  <c r="Y2689" i="31"/>
  <c r="Y2690" i="31"/>
  <c r="X2691" i="31"/>
  <c r="X2692" i="31"/>
  <c r="Y2691" i="31"/>
  <c r="X2693" i="31"/>
  <c r="Y2692" i="31"/>
  <c r="Y2693" i="31"/>
  <c r="X2694" i="31"/>
  <c r="Y2694" i="31"/>
  <c r="X2695" i="31"/>
  <c r="X2696" i="31"/>
  <c r="Y2695" i="31"/>
  <c r="Y2696" i="31"/>
  <c r="X2697" i="31"/>
  <c r="Y2697" i="31"/>
  <c r="X2698" i="31"/>
  <c r="Y2698" i="31"/>
  <c r="X2699" i="31"/>
  <c r="Y2699" i="31"/>
  <c r="X2700" i="31"/>
  <c r="X2701" i="31"/>
  <c r="Y2700" i="31"/>
  <c r="Y2701" i="31"/>
  <c r="X2702" i="31"/>
  <c r="Y2702" i="31"/>
  <c r="X2703" i="31"/>
  <c r="Y2703" i="31"/>
  <c r="X2704" i="31"/>
  <c r="X2705" i="31"/>
  <c r="Y2704" i="31"/>
  <c r="Y2705" i="31"/>
  <c r="X2706" i="31"/>
  <c r="X2707" i="31"/>
  <c r="Y2706" i="31"/>
  <c r="Y2707" i="31"/>
  <c r="X2708" i="31"/>
  <c r="Y2708" i="31"/>
  <c r="X2709" i="31"/>
  <c r="X2710" i="31"/>
  <c r="Y2709" i="31"/>
  <c r="Y2710" i="31"/>
  <c r="X2711" i="31"/>
  <c r="Y2711" i="31"/>
  <c r="X2712" i="31"/>
  <c r="X2713" i="31"/>
  <c r="Y2712" i="31"/>
  <c r="X2714" i="31"/>
  <c r="Y2713" i="31"/>
  <c r="Y2714" i="31"/>
  <c r="X2715" i="31"/>
  <c r="Y2715" i="31"/>
  <c r="X2716" i="31"/>
  <c r="Y2716" i="31"/>
  <c r="X2717" i="31"/>
  <c r="Y2717" i="31"/>
  <c r="X2718" i="31"/>
  <c r="Y2718" i="31"/>
  <c r="X2719" i="31"/>
  <c r="Y2719" i="31"/>
  <c r="X2720" i="31"/>
  <c r="X2721" i="31"/>
  <c r="Y2720" i="31"/>
  <c r="Y2721" i="31"/>
  <c r="X2722" i="31"/>
  <c r="X2723" i="31"/>
  <c r="Y2722" i="31"/>
  <c r="X2724" i="31"/>
  <c r="Y2723" i="31"/>
  <c r="X2725" i="31"/>
  <c r="Y2724" i="31"/>
  <c r="X2726" i="31"/>
  <c r="Y2725" i="31"/>
  <c r="Y2726" i="31"/>
  <c r="X2727" i="31"/>
  <c r="X2728" i="31"/>
  <c r="Y2727" i="31"/>
  <c r="X2729" i="31"/>
  <c r="Y2728" i="31"/>
  <c r="X2730" i="31"/>
  <c r="Y2729" i="31"/>
  <c r="X2731" i="31"/>
  <c r="Y2730" i="31"/>
  <c r="Y2731" i="31"/>
  <c r="X2732" i="31"/>
  <c r="Y2732" i="31"/>
  <c r="X2733" i="31"/>
  <c r="X2734" i="31"/>
  <c r="Y2733" i="31"/>
  <c r="X2735" i="31"/>
  <c r="Y2734" i="31"/>
  <c r="X2736" i="31"/>
  <c r="Y2735" i="31"/>
  <c r="X2737" i="31"/>
  <c r="Y2736" i="31"/>
  <c r="Y2737" i="31"/>
  <c r="X2738" i="31"/>
  <c r="X2739" i="31"/>
  <c r="Y2738" i="31"/>
  <c r="X2740" i="31"/>
  <c r="Y2739" i="31"/>
  <c r="X2741" i="31"/>
  <c r="Y2740" i="31"/>
  <c r="X2742" i="31"/>
  <c r="Y2741" i="31"/>
  <c r="X2743" i="31"/>
  <c r="Y2742" i="31"/>
  <c r="Y2743" i="31"/>
  <c r="X2744" i="31"/>
  <c r="Y2744" i="31"/>
  <c r="X2745" i="31"/>
  <c r="X2746" i="31"/>
  <c r="Y2745" i="31"/>
  <c r="X2747" i="31"/>
  <c r="Y2746" i="31"/>
  <c r="Y2747" i="31"/>
  <c r="X2748" i="31"/>
  <c r="X2749" i="31"/>
  <c r="Y2748" i="31"/>
  <c r="Y2749" i="31"/>
  <c r="X2750" i="31"/>
  <c r="X2751" i="31"/>
  <c r="Y2750" i="31"/>
  <c r="X2752" i="31"/>
  <c r="Y2751" i="31"/>
  <c r="X2753" i="31"/>
  <c r="Y2752" i="31"/>
  <c r="Y2753" i="31"/>
  <c r="X2754" i="31"/>
  <c r="X2755" i="31"/>
  <c r="Y2754" i="31"/>
  <c r="X2756" i="31"/>
  <c r="Y2755" i="31"/>
  <c r="Y2756" i="31"/>
  <c r="X2757" i="31"/>
  <c r="Y2757" i="31"/>
  <c r="X2758" i="31"/>
  <c r="X2759" i="31"/>
  <c r="Y2758" i="31"/>
  <c r="X2760" i="31"/>
  <c r="Y2759" i="31"/>
  <c r="Y2760" i="31"/>
  <c r="X2761" i="31"/>
  <c r="X2762" i="31"/>
  <c r="Y2761" i="31"/>
  <c r="Y2762" i="31"/>
  <c r="X2763" i="31"/>
  <c r="Y2763" i="31"/>
  <c r="X2764" i="31"/>
  <c r="Y2764" i="31"/>
  <c r="X2765" i="31"/>
  <c r="Y2765" i="31"/>
  <c r="X2766" i="31"/>
  <c r="X2767" i="31"/>
  <c r="Y2766" i="31"/>
  <c r="Y2767" i="31"/>
  <c r="X2768" i="31"/>
  <c r="Y2768" i="31"/>
  <c r="X2769" i="31"/>
  <c r="X2770" i="31"/>
  <c r="Y2769" i="31"/>
  <c r="X2771" i="31"/>
  <c r="Y2770" i="31"/>
  <c r="X2772" i="31"/>
  <c r="Y2771" i="31"/>
  <c r="X2773" i="31"/>
  <c r="Y2772" i="31"/>
  <c r="X2774" i="31"/>
  <c r="Y2773" i="31"/>
  <c r="Y2774" i="31"/>
  <c r="X2775" i="31"/>
  <c r="X2776" i="31"/>
  <c r="Y2775" i="31"/>
  <c r="Y2776" i="31"/>
  <c r="X2777" i="31"/>
  <c r="Y2777" i="31"/>
  <c r="X2778" i="31"/>
  <c r="X2779" i="31"/>
  <c r="Y2778" i="31"/>
  <c r="X2780" i="31"/>
  <c r="Y2779" i="31"/>
  <c r="Y2780" i="31"/>
  <c r="X2781" i="31"/>
  <c r="X2782" i="31"/>
  <c r="Y2781" i="31"/>
  <c r="Y2782" i="31"/>
  <c r="X2783" i="31"/>
  <c r="Y2783" i="31"/>
  <c r="X2784" i="31"/>
  <c r="X2785" i="31"/>
  <c r="Y2784" i="31"/>
  <c r="X2786" i="31"/>
  <c r="Y2785" i="31"/>
  <c r="Y2786" i="31"/>
  <c r="X2787" i="31"/>
  <c r="Y2787" i="31"/>
  <c r="X2788" i="31"/>
  <c r="X2789" i="31"/>
  <c r="Y2788" i="31"/>
  <c r="X2790" i="31"/>
  <c r="Y2789" i="31"/>
  <c r="Y2790" i="31"/>
  <c r="X2791" i="31"/>
  <c r="Y2791" i="31"/>
  <c r="X2792" i="31"/>
  <c r="Y2792" i="31"/>
  <c r="X2793" i="31"/>
  <c r="X2794" i="31"/>
  <c r="Y2793" i="31"/>
  <c r="Y2794" i="31"/>
  <c r="X2795" i="31"/>
  <c r="X2796" i="31"/>
  <c r="Y2795" i="31"/>
  <c r="Y2796" i="31"/>
  <c r="X2797" i="31"/>
  <c r="X2798" i="31"/>
  <c r="Y2797" i="31"/>
  <c r="X2799" i="31"/>
  <c r="Y2798" i="31"/>
  <c r="X2800" i="31"/>
  <c r="Y2799" i="31"/>
  <c r="X2801" i="31"/>
  <c r="Y2800" i="31"/>
  <c r="Y2801" i="31"/>
  <c r="X2802" i="31"/>
  <c r="X2803" i="31"/>
  <c r="Y2802" i="31"/>
  <c r="Y2803" i="31"/>
  <c r="X2804" i="31"/>
  <c r="Y2804" i="31"/>
  <c r="X2805" i="31"/>
  <c r="X2806" i="31"/>
  <c r="Y2805" i="31"/>
  <c r="Y2806" i="31"/>
  <c r="X2807" i="31"/>
  <c r="X2808" i="31"/>
  <c r="Y2807" i="31"/>
  <c r="X2809" i="31"/>
  <c r="Y2808" i="31"/>
  <c r="X2810" i="31"/>
  <c r="Y2809" i="31"/>
  <c r="Y2810" i="31"/>
  <c r="X2811" i="31"/>
  <c r="X2812" i="31"/>
  <c r="Y2811" i="31"/>
  <c r="X2813" i="31"/>
  <c r="Y2812" i="31"/>
  <c r="Y2813" i="31"/>
  <c r="X2814" i="31"/>
  <c r="Y2814" i="31"/>
  <c r="X2815" i="31"/>
  <c r="Y2815" i="31"/>
  <c r="X2816" i="31"/>
  <c r="X2817" i="31"/>
  <c r="Y2816" i="31"/>
  <c r="Y2817" i="31"/>
  <c r="X2818" i="31"/>
  <c r="X2819" i="31"/>
  <c r="Y2818" i="31"/>
  <c r="X2820" i="31"/>
  <c r="Y2819" i="31"/>
  <c r="Y2820" i="31"/>
  <c r="X2821" i="31"/>
  <c r="X2822" i="31"/>
  <c r="Y2821" i="31"/>
  <c r="X2823" i="31"/>
  <c r="Y2822" i="31"/>
  <c r="X2824" i="31"/>
  <c r="Y2823" i="31"/>
  <c r="Y2824" i="31"/>
  <c r="X2825" i="31"/>
  <c r="Y2825" i="31"/>
  <c r="X2826" i="31"/>
  <c r="X2827" i="31"/>
  <c r="Y2826" i="31"/>
  <c r="Y2827" i="31"/>
  <c r="X2828" i="31"/>
  <c r="X2829" i="31"/>
  <c r="Y2828" i="31"/>
  <c r="X2830" i="31"/>
  <c r="Y2829" i="31"/>
  <c r="Y2830" i="31"/>
  <c r="X2831" i="31"/>
  <c r="Y2831" i="31"/>
  <c r="X2832" i="31"/>
  <c r="X2833" i="31"/>
  <c r="Y2832" i="31"/>
  <c r="X2834" i="31"/>
  <c r="Y2833" i="31"/>
  <c r="Y2834" i="31"/>
  <c r="X2835" i="31"/>
  <c r="Y2835" i="31"/>
  <c r="X2836" i="31"/>
  <c r="Y2836" i="31"/>
  <c r="X2837" i="31"/>
  <c r="Y2837" i="31"/>
  <c r="X2838" i="31"/>
  <c r="Y2838" i="31"/>
  <c r="X2839" i="31"/>
  <c r="X2840" i="31"/>
  <c r="Y2839" i="31"/>
  <c r="X2841" i="31"/>
  <c r="Y2840" i="31"/>
  <c r="Y2841" i="31"/>
  <c r="X2842" i="31"/>
  <c r="X2843" i="31"/>
  <c r="Y2842" i="31"/>
  <c r="X2844" i="31"/>
  <c r="Y2843" i="31"/>
  <c r="Y2844" i="31"/>
  <c r="X2845" i="31"/>
  <c r="X2846" i="31"/>
  <c r="Y2845" i="31"/>
  <c r="Y2846" i="31"/>
  <c r="X2847" i="31"/>
  <c r="Y2847" i="31"/>
  <c r="X2848" i="31"/>
  <c r="X2849" i="31"/>
  <c r="Y2848" i="31"/>
  <c r="Y2849" i="31"/>
  <c r="X2850" i="31"/>
  <c r="Y2850" i="31"/>
  <c r="X2851" i="31"/>
  <c r="X2852" i="31"/>
  <c r="Y2851" i="31"/>
  <c r="X2853" i="31"/>
  <c r="Y2852" i="31"/>
  <c r="Y2853" i="31"/>
  <c r="X2854" i="31"/>
  <c r="X2855" i="31"/>
  <c r="Y2854" i="31"/>
  <c r="Y2855" i="31"/>
  <c r="X2856" i="31"/>
  <c r="Y2856" i="31"/>
  <c r="X2857" i="31"/>
  <c r="X2858" i="31"/>
  <c r="Y2857" i="31"/>
  <c r="X2859" i="31"/>
  <c r="Y2858" i="31"/>
  <c r="X2860" i="31"/>
  <c r="Y2859" i="31"/>
  <c r="X2861" i="31"/>
  <c r="Y2860" i="31"/>
  <c r="Y2861" i="31"/>
  <c r="X2862" i="31"/>
  <c r="Y2862" i="31"/>
  <c r="X2863" i="31"/>
  <c r="X2864" i="31"/>
  <c r="Y2863" i="31"/>
  <c r="Y2864" i="31"/>
  <c r="X2865" i="31"/>
  <c r="X2866" i="31"/>
  <c r="Y2865" i="31"/>
  <c r="Y2866" i="31"/>
  <c r="X2867" i="31"/>
  <c r="Y2867" i="31"/>
  <c r="X2868" i="31"/>
  <c r="X2869" i="31"/>
  <c r="Y2868" i="31"/>
  <c r="X2870" i="31"/>
  <c r="Y2869" i="31"/>
  <c r="X2871" i="31"/>
  <c r="Y2870" i="31"/>
  <c r="Y2871" i="31"/>
  <c r="X2872" i="31"/>
  <c r="Y2872" i="31"/>
  <c r="X2873" i="31"/>
  <c r="X2874" i="31"/>
  <c r="Y2873" i="31"/>
  <c r="X2875" i="31"/>
  <c r="Y2874" i="31"/>
  <c r="Y2875" i="31"/>
  <c r="X2876" i="31"/>
  <c r="X2877" i="31"/>
  <c r="Y2876" i="31"/>
  <c r="Y2877" i="31"/>
  <c r="X2878" i="31"/>
  <c r="X2879" i="31"/>
  <c r="Y2878" i="31"/>
  <c r="Y2879" i="31"/>
  <c r="X2880" i="31"/>
  <c r="X2881" i="31"/>
  <c r="Y2880" i="31"/>
  <c r="X2882" i="31"/>
  <c r="Y2881" i="31"/>
  <c r="Y2882" i="31"/>
  <c r="X2883" i="31"/>
  <c r="Y2883" i="31"/>
  <c r="X2884" i="31"/>
  <c r="X2885" i="31"/>
  <c r="Y2884" i="31"/>
  <c r="X2886" i="31"/>
  <c r="Y2885" i="31"/>
  <c r="X2887" i="31"/>
  <c r="Y2886" i="31"/>
  <c r="Y2887" i="31"/>
  <c r="X2888" i="31"/>
  <c r="Y2888" i="31"/>
  <c r="X2889" i="31"/>
  <c r="X2890" i="31"/>
  <c r="Y2889" i="31"/>
  <c r="X2891" i="31"/>
  <c r="Y2890" i="31"/>
  <c r="X2892" i="31"/>
  <c r="Y2891" i="31"/>
  <c r="Y2892" i="31"/>
  <c r="X2893" i="31"/>
  <c r="X2894" i="31"/>
  <c r="Y2893" i="31"/>
  <c r="X2895" i="31"/>
  <c r="Y2894" i="31"/>
  <c r="Y2895" i="31"/>
  <c r="X2896" i="31"/>
  <c r="Y2896" i="31"/>
  <c r="X2897" i="31"/>
  <c r="X2898" i="31"/>
  <c r="Y2897" i="31"/>
  <c r="X2899" i="31"/>
  <c r="Y2898" i="31"/>
  <c r="Y2899" i="31"/>
  <c r="X2900" i="31"/>
  <c r="Y2900" i="31"/>
  <c r="X2901" i="31"/>
  <c r="X2902" i="31"/>
  <c r="Y2901" i="31"/>
  <c r="X2903" i="31"/>
  <c r="Y2902" i="31"/>
  <c r="Y2903" i="31"/>
  <c r="X2904" i="31"/>
  <c r="X2905" i="31"/>
  <c r="Y2904" i="31"/>
  <c r="Y2905" i="31"/>
  <c r="X2906" i="31"/>
  <c r="Y2906" i="31"/>
  <c r="X2907" i="31"/>
  <c r="Y2907" i="31"/>
  <c r="X2908" i="31"/>
  <c r="X2909" i="31"/>
  <c r="Y2908" i="31"/>
  <c r="X2910" i="31"/>
  <c r="Y2909" i="31"/>
  <c r="Y2910" i="31"/>
  <c r="X2911" i="31"/>
  <c r="X2912" i="31"/>
  <c r="Y2911" i="31"/>
  <c r="Y2912" i="31"/>
  <c r="X2913" i="31"/>
  <c r="X2914" i="31"/>
  <c r="Y2913" i="31"/>
  <c r="X2915" i="31"/>
  <c r="Y2914" i="31"/>
  <c r="Y2915" i="31"/>
  <c r="X2916" i="31"/>
  <c r="X2917" i="31"/>
  <c r="Y2916" i="31"/>
  <c r="X2918" i="31"/>
  <c r="Y2917" i="31"/>
  <c r="X2919" i="31"/>
  <c r="Y2918" i="31"/>
  <c r="Y2919" i="31"/>
  <c r="X2920" i="31"/>
  <c r="X2921" i="31"/>
  <c r="Y2920" i="31"/>
  <c r="X2922" i="31"/>
  <c r="Y2921" i="31"/>
  <c r="Y2922" i="31"/>
  <c r="X2923" i="31"/>
  <c r="Y2923" i="31"/>
  <c r="X2924" i="31"/>
  <c r="X2925" i="31"/>
  <c r="Y2924" i="31"/>
  <c r="X2926" i="31"/>
  <c r="Y2925" i="31"/>
  <c r="Y2926" i="31"/>
  <c r="X2927" i="31"/>
  <c r="X2928" i="31"/>
  <c r="Y2927" i="31"/>
  <c r="Y2928" i="31"/>
  <c r="X2929" i="31"/>
  <c r="Y2929" i="31"/>
  <c r="X2930" i="31"/>
  <c r="X2931" i="31"/>
  <c r="Y2930" i="31"/>
  <c r="X2932" i="31"/>
  <c r="Y2931" i="31"/>
  <c r="X2933" i="31"/>
  <c r="Y2932" i="31"/>
  <c r="Y2933" i="31"/>
  <c r="X2934" i="31"/>
  <c r="Y2934" i="31"/>
  <c r="X2935" i="31"/>
  <c r="Y2935" i="31"/>
  <c r="X2936" i="31"/>
  <c r="Y2936" i="31"/>
  <c r="X2937" i="31"/>
  <c r="X2938" i="31"/>
  <c r="Y2937" i="31"/>
  <c r="X2939" i="31"/>
  <c r="Y2938" i="31"/>
  <c r="X2940" i="31"/>
  <c r="Y2939" i="31"/>
  <c r="Y2940" i="31"/>
  <c r="X2941" i="31"/>
  <c r="X2942" i="31"/>
  <c r="Y2941" i="31"/>
  <c r="X2943" i="31"/>
  <c r="Y2942" i="31"/>
  <c r="X2944" i="31"/>
  <c r="Y2943" i="31"/>
  <c r="Y2944" i="31"/>
  <c r="X2945" i="31"/>
  <c r="X2946" i="31"/>
  <c r="Y2945" i="31"/>
  <c r="X2947" i="31"/>
  <c r="Y2946" i="31"/>
  <c r="Y2947" i="31"/>
  <c r="X2948" i="31"/>
  <c r="X2949" i="31"/>
  <c r="Y2948" i="31"/>
  <c r="X2950" i="31"/>
  <c r="Y2949" i="31"/>
  <c r="Y2950" i="31"/>
  <c r="X2951" i="31"/>
  <c r="Y2951" i="31"/>
  <c r="X2952" i="31"/>
  <c r="X2953" i="31"/>
  <c r="Y2952" i="31"/>
  <c r="Y2953" i="31"/>
  <c r="X2954" i="31"/>
  <c r="Y2954" i="31"/>
  <c r="X2955" i="31"/>
  <c r="Y2955" i="31"/>
  <c r="X2956" i="31"/>
  <c r="X2957" i="31"/>
  <c r="Y2956" i="31"/>
  <c r="Y2957" i="31"/>
  <c r="X2958" i="31"/>
  <c r="Y2958" i="31"/>
  <c r="X2959" i="31"/>
  <c r="Y2959" i="31"/>
  <c r="X2960" i="31"/>
  <c r="X2961" i="31"/>
  <c r="Y2960" i="31"/>
  <c r="X2962" i="31"/>
  <c r="Y2961" i="31"/>
  <c r="X2963" i="31"/>
  <c r="Y2962" i="31"/>
  <c r="Y2963" i="31"/>
  <c r="X2964" i="31"/>
  <c r="X2965" i="31"/>
  <c r="Y2964" i="31"/>
  <c r="Y2965" i="31"/>
  <c r="X2966" i="31"/>
  <c r="X2967" i="31"/>
  <c r="Y2966" i="31"/>
  <c r="X2968" i="31"/>
  <c r="Y2967" i="31"/>
  <c r="X2969" i="31"/>
  <c r="Y2968" i="31"/>
  <c r="X2970" i="31"/>
  <c r="Y2969" i="31"/>
  <c r="Y2970" i="31"/>
  <c r="X2971" i="31"/>
  <c r="X2972" i="31"/>
  <c r="Y2971" i="31"/>
  <c r="X2973" i="31"/>
  <c r="Y2972" i="31"/>
  <c r="Y2973" i="31"/>
  <c r="X2974" i="31"/>
  <c r="X2975" i="31"/>
  <c r="Y2974" i="31"/>
  <c r="Y2975" i="31"/>
  <c r="X2976" i="31"/>
  <c r="Y2976" i="31"/>
  <c r="X2977" i="31"/>
  <c r="Y2977" i="31"/>
  <c r="X2978" i="31"/>
  <c r="Y2978" i="31"/>
  <c r="X2979" i="31"/>
  <c r="X2980" i="31"/>
  <c r="Y2979" i="31"/>
  <c r="X2981" i="31"/>
  <c r="Y2980" i="31"/>
  <c r="X2982" i="31"/>
  <c r="Y2981" i="31"/>
  <c r="Y2982" i="31"/>
  <c r="X2983" i="31"/>
  <c r="Y2983" i="31"/>
  <c r="X2984" i="31"/>
  <c r="Y2984" i="31"/>
  <c r="X2985" i="31"/>
  <c r="Y2985" i="31"/>
  <c r="X2986" i="31"/>
  <c r="X2987" i="31"/>
  <c r="Y2986" i="31"/>
  <c r="Y2987" i="31"/>
  <c r="X2988" i="31"/>
  <c r="X2989" i="31"/>
  <c r="Y2988" i="31"/>
  <c r="Y2989" i="31"/>
  <c r="X2990" i="31"/>
  <c r="X2991" i="31"/>
  <c r="Y2990" i="31"/>
  <c r="X2992" i="31"/>
  <c r="Y2991" i="31"/>
  <c r="Y2992" i="31"/>
  <c r="X2993" i="31"/>
  <c r="Y2993" i="31"/>
  <c r="X2994" i="31"/>
  <c r="X2995" i="31"/>
  <c r="Y2994" i="31"/>
  <c r="Y2995" i="31"/>
  <c r="X2996" i="31"/>
  <c r="X2997" i="31"/>
  <c r="Y2996" i="31"/>
  <c r="X2998" i="31"/>
  <c r="Y2997" i="31"/>
  <c r="Y2998" i="31"/>
  <c r="X2999" i="31"/>
  <c r="X3000" i="31"/>
  <c r="Y2999" i="31"/>
  <c r="X3001" i="31"/>
  <c r="Y3000" i="31"/>
  <c r="X3002" i="31"/>
  <c r="Y3001" i="31"/>
  <c r="Y3002" i="31"/>
  <c r="X3003" i="31"/>
  <c r="Y3003" i="31"/>
  <c r="X3004" i="31"/>
  <c r="Y3004" i="31"/>
  <c r="X3005" i="31"/>
  <c r="Y3005" i="31"/>
  <c r="X3006" i="31"/>
  <c r="Y3006" i="31"/>
  <c r="X3007" i="31"/>
  <c r="Y3007" i="31"/>
  <c r="X3008" i="31"/>
  <c r="X3009" i="31"/>
  <c r="Y3008" i="31"/>
  <c r="Y3009" i="31"/>
  <c r="X3010" i="31"/>
  <c r="X3011" i="31"/>
  <c r="Y3010" i="31"/>
  <c r="X3012" i="31"/>
  <c r="Y3011" i="31"/>
  <c r="Y3012" i="31"/>
  <c r="X3013" i="31"/>
  <c r="Y3013" i="31"/>
  <c r="X3014" i="31"/>
  <c r="Y3014" i="31"/>
  <c r="X3015" i="31"/>
  <c r="X3016" i="31"/>
  <c r="Y3015" i="31"/>
  <c r="X3017" i="31"/>
  <c r="Y3016" i="31"/>
  <c r="Y3017" i="31"/>
  <c r="X3018" i="31"/>
  <c r="Y3018" i="31"/>
  <c r="X3019" i="31"/>
  <c r="Y3019" i="31"/>
  <c r="X3020" i="31"/>
  <c r="Y3020" i="31"/>
  <c r="X3021" i="31"/>
  <c r="X3022" i="31"/>
  <c r="Y3021" i="31"/>
  <c r="Y3022" i="31"/>
  <c r="X3023" i="31"/>
  <c r="Y3023" i="31"/>
  <c r="X3024" i="31"/>
  <c r="Y3024" i="31"/>
  <c r="X3025" i="31"/>
  <c r="X3026" i="31"/>
  <c r="Y3025" i="31"/>
  <c r="X3027" i="31"/>
  <c r="Y3026" i="31"/>
  <c r="Y3027" i="31"/>
  <c r="X3028" i="31"/>
  <c r="Y3028" i="31"/>
  <c r="X3029" i="31"/>
  <c r="Y3029" i="31"/>
  <c r="X3030" i="31"/>
  <c r="X3031" i="31"/>
  <c r="Y3030" i="31"/>
  <c r="Y3031" i="31"/>
  <c r="X3032" i="31"/>
  <c r="X3033" i="31"/>
  <c r="Y3032" i="31"/>
  <c r="X3034" i="31"/>
  <c r="Y3033" i="31"/>
  <c r="Y3034" i="31"/>
  <c r="X3035" i="31"/>
  <c r="X3036" i="31"/>
  <c r="Y3035" i="31"/>
  <c r="Y3036" i="31"/>
  <c r="X3037" i="31"/>
  <c r="Y3037" i="31"/>
  <c r="X3038" i="31"/>
  <c r="X3039" i="31"/>
  <c r="Y3038" i="31"/>
  <c r="Y3039" i="31"/>
  <c r="X3040" i="31"/>
  <c r="Y3040" i="31"/>
  <c r="X3041" i="31"/>
  <c r="X3042" i="31"/>
  <c r="Y3041" i="31"/>
  <c r="Y3042" i="31"/>
  <c r="X3043" i="31"/>
  <c r="X3044" i="31"/>
  <c r="Y3043" i="31"/>
  <c r="X3045" i="31"/>
  <c r="Y3044" i="31"/>
  <c r="Y3045" i="31"/>
  <c r="X3046" i="31"/>
  <c r="Y3046" i="31"/>
  <c r="X3047" i="31"/>
  <c r="X3048" i="31"/>
  <c r="Y3047" i="31"/>
  <c r="Y3048" i="31"/>
  <c r="X3049" i="31"/>
  <c r="Y3049" i="31"/>
  <c r="X3050" i="31"/>
  <c r="Y3050" i="31"/>
  <c r="X3051" i="31"/>
  <c r="X3052" i="31"/>
  <c r="Y3051" i="31"/>
  <c r="Y3052" i="31"/>
  <c r="X3053" i="31"/>
  <c r="Y3053" i="31"/>
  <c r="X3054" i="31"/>
  <c r="X3055" i="31"/>
  <c r="Y3054" i="31"/>
  <c r="Y3055" i="31"/>
  <c r="X3056" i="31"/>
  <c r="Y3056" i="31"/>
  <c r="X3057" i="31"/>
  <c r="X3058" i="31"/>
  <c r="Y3057" i="31"/>
  <c r="X3059" i="31"/>
  <c r="Y3058" i="31"/>
  <c r="Y3059" i="31"/>
  <c r="X3060" i="31"/>
  <c r="Y3060" i="31"/>
  <c r="X3061" i="31"/>
  <c r="Y3061" i="31"/>
  <c r="X3062" i="31"/>
  <c r="X3063" i="31"/>
  <c r="Y3062" i="31"/>
  <c r="Y3063" i="31"/>
  <c r="X3064" i="31"/>
  <c r="X3065" i="31"/>
  <c r="Y3064" i="31"/>
  <c r="Y3065" i="31"/>
  <c r="X3066" i="31"/>
  <c r="Y3066" i="31"/>
  <c r="X3067" i="31"/>
  <c r="X3068" i="31"/>
  <c r="Y3067" i="31"/>
  <c r="Y3068" i="31"/>
  <c r="X3069" i="31"/>
  <c r="Y3069" i="31"/>
  <c r="X3070" i="31"/>
  <c r="Y3070" i="31"/>
  <c r="X3071" i="31"/>
  <c r="X3072" i="31"/>
  <c r="Y3071" i="31"/>
  <c r="X3073" i="31"/>
  <c r="Y3072" i="31"/>
  <c r="Y3073" i="31"/>
  <c r="X3074" i="31"/>
  <c r="X3075" i="31"/>
  <c r="Y3074" i="31"/>
  <c r="Y3075" i="31"/>
  <c r="X3076" i="31"/>
  <c r="X3077" i="31"/>
  <c r="Y3076" i="31"/>
  <c r="Y3077" i="31"/>
  <c r="X3078" i="31"/>
  <c r="Y3078" i="31"/>
  <c r="X3079" i="31"/>
  <c r="Y3079" i="31"/>
  <c r="X3080" i="31"/>
  <c r="Y3080" i="31"/>
  <c r="X3081" i="31"/>
  <c r="Y3081" i="31"/>
  <c r="X3082" i="31"/>
  <c r="X3083" i="31"/>
  <c r="Y3082" i="31"/>
  <c r="X3084" i="31"/>
  <c r="Y3083" i="31"/>
  <c r="X3085" i="31"/>
  <c r="Y3084" i="31"/>
  <c r="Y3085" i="31"/>
  <c r="X3086" i="31"/>
  <c r="Y3086" i="31"/>
  <c r="X3087" i="31"/>
  <c r="X3088" i="31"/>
  <c r="Y3087" i="31"/>
  <c r="Y3088" i="31"/>
  <c r="X3089" i="31"/>
  <c r="Y3089" i="31"/>
  <c r="X3090" i="31"/>
  <c r="X3091" i="31"/>
  <c r="Y3090" i="31"/>
  <c r="X3092" i="31"/>
  <c r="Y3091" i="31"/>
  <c r="Y3092" i="31"/>
  <c r="X3093" i="31"/>
  <c r="Y3093" i="31"/>
  <c r="X3094" i="31"/>
  <c r="X3095" i="31"/>
  <c r="Y3094" i="31"/>
  <c r="Y3095" i="31"/>
  <c r="X3096" i="31"/>
  <c r="X3097" i="31"/>
  <c r="Y3096" i="31"/>
  <c r="X3098" i="31"/>
  <c r="Y3097" i="31"/>
  <c r="X3099" i="31"/>
  <c r="Y3098" i="31"/>
  <c r="Y3099" i="31"/>
  <c r="X3100" i="31"/>
  <c r="Y3100" i="31"/>
  <c r="X3101" i="31"/>
  <c r="Y3101" i="31"/>
  <c r="X3102" i="31"/>
  <c r="X3103" i="31"/>
  <c r="Y3102" i="31"/>
  <c r="X3104" i="31"/>
  <c r="Y3103" i="31"/>
  <c r="X3105" i="31"/>
  <c r="Y3104" i="31"/>
  <c r="X3106" i="31"/>
  <c r="Y3105" i="31"/>
  <c r="X3107" i="31"/>
  <c r="Y3106" i="31"/>
  <c r="Y3107" i="31"/>
  <c r="X3108" i="31"/>
  <c r="Y3108" i="31"/>
  <c r="X3109" i="31"/>
  <c r="Y3109" i="31"/>
  <c r="X3110" i="31"/>
  <c r="X3111" i="31"/>
  <c r="Y3110" i="31"/>
  <c r="Y3111" i="31"/>
  <c r="X3112" i="31"/>
  <c r="Y3112" i="31"/>
  <c r="X3113" i="31"/>
  <c r="X3114" i="31"/>
  <c r="Y3113" i="31"/>
  <c r="X3115" i="31"/>
  <c r="Y3114" i="31"/>
  <c r="Y3115" i="31"/>
  <c r="X3116" i="31"/>
  <c r="X3117" i="31"/>
  <c r="Y3116" i="31"/>
  <c r="X3118" i="31"/>
  <c r="Y3117" i="31"/>
  <c r="X3119" i="31"/>
  <c r="Y3118" i="31"/>
  <c r="X3120" i="31"/>
  <c r="Y3119" i="31"/>
  <c r="X3121" i="31"/>
  <c r="Y3120" i="31"/>
  <c r="Y3121" i="31"/>
  <c r="X3122" i="31"/>
  <c r="X3123" i="31"/>
  <c r="Y3122" i="31"/>
  <c r="Y3123" i="31"/>
  <c r="X3124" i="31"/>
  <c r="Y3124" i="31"/>
  <c r="X3125" i="31"/>
  <c r="X3126" i="31"/>
  <c r="Y3125" i="31"/>
  <c r="Y3126" i="31"/>
  <c r="X3127" i="31"/>
  <c r="X3128" i="31"/>
  <c r="Y3127" i="31"/>
  <c r="X3129" i="31"/>
  <c r="Y3128" i="31"/>
  <c r="X3130" i="31"/>
  <c r="Y3129" i="31"/>
  <c r="Y3130" i="31"/>
  <c r="X3131" i="31"/>
  <c r="Y3131" i="31"/>
  <c r="X3132" i="31"/>
  <c r="Y3132" i="31"/>
  <c r="X3133" i="31"/>
  <c r="Y3133" i="31"/>
  <c r="X3134" i="31"/>
  <c r="X3135" i="31"/>
  <c r="Y3134" i="31"/>
  <c r="X3136" i="31"/>
  <c r="Y3135" i="31"/>
  <c r="X3137" i="31"/>
  <c r="Y3136" i="31"/>
  <c r="Y3137" i="31"/>
  <c r="X3138" i="31"/>
  <c r="Y3138" i="31"/>
  <c r="X3139" i="31"/>
  <c r="X3140" i="31"/>
  <c r="Y3139" i="31"/>
  <c r="Y3140" i="31"/>
  <c r="X3141" i="31"/>
  <c r="X3142" i="31"/>
  <c r="Y3141" i="31"/>
  <c r="X3143" i="31"/>
  <c r="Y3142" i="31"/>
  <c r="Y3143" i="31"/>
  <c r="X3144" i="31"/>
  <c r="X3145" i="31"/>
  <c r="Y3144" i="31"/>
  <c r="Y3145" i="31"/>
  <c r="X3146" i="31"/>
  <c r="Y3146" i="31"/>
  <c r="X3147" i="31"/>
  <c r="X3148" i="31"/>
  <c r="Y3147" i="31"/>
  <c r="X3149" i="31"/>
  <c r="Y3148" i="31"/>
  <c r="X3150" i="31"/>
  <c r="Y3149" i="31"/>
  <c r="Y3150" i="31"/>
  <c r="X3151" i="31"/>
  <c r="Y3151" i="31"/>
  <c r="X3152" i="31"/>
  <c r="X3153" i="31"/>
  <c r="Y3152" i="31"/>
  <c r="Y3153" i="31"/>
  <c r="X3154" i="31"/>
  <c r="X3155" i="31"/>
  <c r="Y3154" i="31"/>
  <c r="X3156" i="31"/>
  <c r="Y3155" i="31"/>
  <c r="X3157" i="31"/>
  <c r="Y3156" i="31"/>
  <c r="Y3157" i="31"/>
  <c r="X3158" i="31"/>
  <c r="Y3158" i="31"/>
  <c r="X3159" i="31"/>
  <c r="X3160" i="31"/>
  <c r="Y3159" i="31"/>
  <c r="X3161" i="31"/>
  <c r="Y3160" i="31"/>
  <c r="X3162" i="31"/>
  <c r="Y3161" i="31"/>
  <c r="X3163" i="31"/>
  <c r="Y3162" i="31"/>
  <c r="Y3163" i="31"/>
  <c r="X3164" i="31"/>
  <c r="X3165" i="31"/>
  <c r="Y3164" i="31"/>
  <c r="Y3165" i="31"/>
  <c r="X3166" i="31"/>
  <c r="X3167" i="31"/>
  <c r="Y3166" i="31"/>
  <c r="X3168" i="31"/>
  <c r="Y3167" i="31"/>
  <c r="X3169" i="31"/>
  <c r="Y3168" i="31"/>
  <c r="X3170" i="31"/>
  <c r="Y3169" i="31"/>
  <c r="Y3170" i="31"/>
  <c r="X3171" i="31"/>
  <c r="X3172" i="31"/>
  <c r="Y3171" i="31"/>
  <c r="Y3172" i="31"/>
  <c r="X3173" i="31"/>
  <c r="Y3173" i="31"/>
  <c r="X3174" i="31"/>
  <c r="Y3174" i="31"/>
  <c r="X3175" i="31"/>
  <c r="X3176" i="31"/>
  <c r="Y3175" i="31"/>
  <c r="Y3176" i="31"/>
  <c r="X3177" i="31"/>
  <c r="X3178" i="31"/>
  <c r="Y3177" i="31"/>
  <c r="X3179" i="31"/>
  <c r="Y3178" i="31"/>
  <c r="X3180" i="31"/>
  <c r="Y3179" i="31"/>
  <c r="Y3180" i="31"/>
  <c r="X3181" i="31"/>
  <c r="Y3181" i="31"/>
  <c r="X3182" i="31"/>
  <c r="X3183" i="31"/>
  <c r="Y3182" i="31"/>
  <c r="X3184" i="31"/>
  <c r="Y3183" i="31"/>
  <c r="X3185" i="31"/>
  <c r="Y3184" i="31"/>
  <c r="Y3185" i="31"/>
  <c r="X3186" i="31"/>
  <c r="Y3186" i="31"/>
  <c r="X3187" i="31"/>
  <c r="Y3187" i="31"/>
  <c r="X3188" i="31"/>
  <c r="Y3188" i="31"/>
  <c r="X3189" i="31"/>
  <c r="X3190" i="31"/>
  <c r="Y3189" i="31"/>
  <c r="X3191" i="31"/>
  <c r="Y3190" i="31"/>
  <c r="X3192" i="31"/>
  <c r="Y3191" i="31"/>
  <c r="X3193" i="31"/>
  <c r="Y3192" i="31"/>
  <c r="X3194" i="31"/>
  <c r="Y3193" i="31"/>
  <c r="Y3194" i="31"/>
  <c r="X3195" i="31"/>
  <c r="Y3195" i="31"/>
  <c r="X3196" i="31"/>
  <c r="Y3196" i="31"/>
  <c r="X3197" i="31"/>
  <c r="Y3197" i="31"/>
  <c r="X3198" i="31"/>
  <c r="Y3198" i="31"/>
  <c r="X3199" i="31"/>
  <c r="X3200" i="31"/>
  <c r="Y3199" i="31"/>
  <c r="Y3200" i="31"/>
  <c r="X3201" i="31"/>
  <c r="Y3201" i="31"/>
  <c r="X3202" i="31"/>
  <c r="Y3202" i="31"/>
  <c r="X3203" i="31"/>
  <c r="Y3203" i="31"/>
  <c r="X3204" i="31"/>
  <c r="Y3204" i="31"/>
  <c r="X3205" i="31"/>
  <c r="Y3205" i="31"/>
  <c r="X3206" i="31"/>
  <c r="Y3206" i="31"/>
  <c r="X3207" i="31"/>
  <c r="Y3207" i="31"/>
  <c r="X3208" i="31"/>
  <c r="X3209" i="31"/>
  <c r="Y3208" i="31"/>
  <c r="Y3209" i="31"/>
  <c r="X3210" i="31"/>
  <c r="Y3210" i="31"/>
  <c r="X3211" i="31"/>
  <c r="X3212" i="31"/>
  <c r="Y3211" i="31"/>
  <c r="Y3212" i="31"/>
  <c r="X3213" i="31"/>
  <c r="Y3213" i="31"/>
  <c r="X3214" i="31"/>
  <c r="Y3214" i="31"/>
  <c r="X3215" i="31"/>
  <c r="X3216" i="31"/>
  <c r="Y3215" i="31"/>
  <c r="Y3216" i="31"/>
  <c r="X3217" i="31"/>
  <c r="Y3217" i="31"/>
  <c r="X3218" i="31"/>
  <c r="Y3218" i="31"/>
  <c r="X3219" i="31"/>
  <c r="Y3219" i="31"/>
  <c r="X3220" i="31"/>
  <c r="X3221" i="31"/>
  <c r="Y3220" i="31"/>
  <c r="X3222" i="31"/>
  <c r="Y3221" i="31"/>
  <c r="Y3222" i="31"/>
  <c r="X3223" i="31"/>
  <c r="X3224" i="31"/>
  <c r="Y3223" i="31"/>
  <c r="X3225" i="31"/>
  <c r="Y3224" i="31"/>
  <c r="Y3225" i="31"/>
  <c r="X3226" i="31"/>
  <c r="Y3226" i="31"/>
  <c r="X3227" i="31"/>
  <c r="X3228" i="31"/>
  <c r="Y3227" i="31"/>
  <c r="X3229" i="31"/>
  <c r="Y3228" i="31"/>
  <c r="X3230" i="31"/>
  <c r="Y3229" i="31"/>
  <c r="Y3230" i="31"/>
  <c r="X3231" i="31"/>
  <c r="X3232" i="31"/>
  <c r="Y3231" i="31"/>
  <c r="Y3232" i="31"/>
  <c r="X3233" i="31"/>
  <c r="Y3233" i="31"/>
  <c r="X3234" i="31"/>
  <c r="Y3234" i="31"/>
  <c r="X3235" i="31"/>
  <c r="Y3235" i="31"/>
  <c r="X3236" i="31"/>
  <c r="X3237" i="31"/>
  <c r="Y3236" i="31"/>
  <c r="X3238" i="31"/>
  <c r="Y3237" i="31"/>
  <c r="Y3238" i="31"/>
  <c r="X3239" i="31"/>
  <c r="X3240" i="31"/>
  <c r="Y3239" i="31"/>
  <c r="X3241" i="31"/>
  <c r="Y3240" i="31"/>
  <c r="Y3241" i="31"/>
  <c r="X3242" i="31"/>
  <c r="X3243" i="31"/>
  <c r="Y3242" i="31"/>
  <c r="X3244" i="31"/>
  <c r="Y3243" i="31"/>
  <c r="Y3244" i="31"/>
  <c r="X3245" i="31"/>
  <c r="Y3245" i="31"/>
  <c r="X3246" i="31"/>
  <c r="Y3246" i="31"/>
  <c r="X3247" i="31"/>
  <c r="X3248" i="31"/>
  <c r="Y3247" i="31"/>
  <c r="Y3248" i="31"/>
  <c r="X3249" i="31"/>
  <c r="X3250" i="31"/>
  <c r="Y3249" i="31"/>
  <c r="X3251" i="31"/>
  <c r="Y3250" i="31"/>
  <c r="Y3251" i="31"/>
  <c r="X3252" i="31"/>
  <c r="X3253" i="31"/>
  <c r="Y3252" i="31"/>
  <c r="Y3253" i="31"/>
  <c r="X3254" i="31"/>
  <c r="Y3254" i="31"/>
  <c r="X3255" i="31"/>
  <c r="X3256" i="31"/>
  <c r="Y3255" i="31"/>
  <c r="X3257" i="31"/>
  <c r="Y3256" i="31"/>
  <c r="Y3257" i="31"/>
  <c r="X3258" i="31"/>
  <c r="Y3258" i="31"/>
  <c r="X3259" i="31"/>
  <c r="X3260" i="31"/>
  <c r="Y3259" i="31"/>
  <c r="Y3260" i="31"/>
  <c r="X3261" i="31"/>
  <c r="Y3261" i="31"/>
  <c r="X3262" i="31"/>
  <c r="X3263" i="31"/>
  <c r="Y3262" i="31"/>
  <c r="Y3263" i="31"/>
  <c r="X3264" i="31"/>
  <c r="X3265" i="31"/>
  <c r="Y3264" i="31"/>
  <c r="Y3265" i="31"/>
  <c r="X3266" i="31"/>
  <c r="X3267" i="31"/>
  <c r="Y3266" i="31"/>
  <c r="Y3267" i="31"/>
  <c r="X3268" i="31"/>
  <c r="Y3268" i="31"/>
  <c r="X3269" i="31"/>
  <c r="Y3269" i="31"/>
  <c r="X3270" i="31"/>
  <c r="Y3270" i="31"/>
  <c r="X3271" i="31"/>
  <c r="X3272" i="31"/>
  <c r="Y3271" i="31"/>
  <c r="X3273" i="31"/>
  <c r="Y3272" i="31"/>
  <c r="Y3273" i="31"/>
  <c r="X3274" i="31"/>
  <c r="Y3274" i="31"/>
  <c r="X3275" i="31"/>
  <c r="Y3275" i="31"/>
  <c r="X3276" i="31"/>
  <c r="Y3276" i="31"/>
  <c r="X3277" i="31"/>
  <c r="Y3277" i="31"/>
  <c r="X3278" i="31"/>
  <c r="Y3278" i="31"/>
  <c r="X3279" i="31"/>
  <c r="Y3279" i="31"/>
  <c r="X3280" i="31"/>
  <c r="X3281" i="31"/>
  <c r="Y3280" i="31"/>
  <c r="X3282" i="31"/>
  <c r="Y3281" i="31"/>
  <c r="Y3282" i="31"/>
  <c r="X3283" i="31"/>
  <c r="X3284" i="31"/>
  <c r="Y3283" i="31"/>
  <c r="X3285" i="31"/>
  <c r="Y3284" i="31"/>
  <c r="X3286" i="31"/>
  <c r="Y3285" i="31"/>
  <c r="X3287" i="31"/>
  <c r="Y3286" i="31"/>
  <c r="Y3287" i="31"/>
  <c r="X3288" i="31"/>
  <c r="Y3288" i="31"/>
  <c r="X3289" i="31"/>
  <c r="X3290" i="31"/>
  <c r="Y3289" i="31"/>
  <c r="Y3290" i="31"/>
  <c r="X3291" i="31"/>
  <c r="X3292" i="31"/>
  <c r="Y3291" i="31"/>
  <c r="Y3292" i="31"/>
  <c r="X3293" i="31"/>
  <c r="X3294" i="31"/>
  <c r="Y3293" i="31"/>
  <c r="Y3294" i="31"/>
  <c r="X3295" i="31"/>
  <c r="X3296" i="31"/>
  <c r="Y3295" i="31"/>
  <c r="Y3296" i="31"/>
  <c r="X3297" i="31"/>
  <c r="X3298" i="31"/>
  <c r="Y3297" i="31"/>
  <c r="X3299" i="31"/>
  <c r="Y3298" i="31"/>
  <c r="Y3299" i="31"/>
  <c r="X3300" i="31"/>
  <c r="Y3300" i="31"/>
  <c r="X3301" i="31"/>
  <c r="Y3301" i="31"/>
  <c r="X3302" i="31"/>
  <c r="X3303" i="31"/>
  <c r="Y3302" i="31"/>
  <c r="Y3303" i="31"/>
  <c r="X3304" i="31"/>
  <c r="Y3304" i="31"/>
  <c r="X3305" i="31"/>
  <c r="X3306" i="31"/>
  <c r="Y3305" i="31"/>
  <c r="X3307" i="31"/>
  <c r="Y3306" i="31"/>
  <c r="X3308" i="31"/>
  <c r="Y3307" i="31"/>
  <c r="X3309" i="31"/>
  <c r="Y3308" i="31"/>
  <c r="Y3309" i="31"/>
  <c r="X3310" i="31"/>
  <c r="X3311" i="31"/>
  <c r="Y3310" i="31"/>
  <c r="Y3311" i="31"/>
  <c r="X3312" i="31"/>
  <c r="X3313" i="31"/>
  <c r="Y3312" i="31"/>
  <c r="X3314" i="31"/>
  <c r="Y3313" i="31"/>
  <c r="Y3314" i="31"/>
  <c r="X3315" i="31"/>
  <c r="Y3315" i="31"/>
  <c r="X3316" i="31"/>
  <c r="X3317" i="31"/>
  <c r="Y3316" i="31"/>
  <c r="Y3317" i="31"/>
  <c r="X3318" i="31"/>
  <c r="Y3318" i="31"/>
  <c r="X3319" i="31"/>
  <c r="X3320" i="31"/>
  <c r="Y3319" i="31"/>
  <c r="Y3320" i="31"/>
  <c r="X3321" i="31"/>
  <c r="Y3321" i="31"/>
  <c r="X3322" i="31"/>
  <c r="Y3322" i="31"/>
  <c r="X3323" i="31"/>
  <c r="Y3323" i="31"/>
  <c r="X3324" i="31"/>
  <c r="Y3324" i="31"/>
  <c r="X3325" i="31"/>
  <c r="Y3325" i="31"/>
  <c r="X3326" i="31"/>
  <c r="X3327" i="31"/>
  <c r="Y3326" i="31"/>
  <c r="X3328" i="31"/>
  <c r="Y3327" i="31"/>
  <c r="X3329" i="31"/>
  <c r="Y3328" i="31"/>
  <c r="Y3329" i="31"/>
  <c r="X3330" i="31"/>
  <c r="X3331" i="31"/>
  <c r="Y3330" i="31"/>
  <c r="Y3331" i="31"/>
  <c r="X3332" i="31"/>
  <c r="X3333" i="31"/>
  <c r="Y3332" i="31"/>
  <c r="X3334" i="31"/>
  <c r="Y3333" i="31"/>
  <c r="Y3334" i="31"/>
  <c r="X3335" i="31"/>
  <c r="X3336" i="31"/>
  <c r="Y3335" i="31"/>
  <c r="Y3336" i="31"/>
  <c r="X3337" i="31"/>
  <c r="Y3337" i="31"/>
  <c r="X3338" i="31"/>
  <c r="X3339" i="31"/>
  <c r="Y3338" i="31"/>
  <c r="X3340" i="31"/>
  <c r="Y3339" i="31"/>
  <c r="X3341" i="31"/>
  <c r="Y3340" i="31"/>
  <c r="X3342" i="31"/>
  <c r="Y3341" i="31"/>
  <c r="Y3342" i="31"/>
  <c r="X3343" i="31"/>
  <c r="X3344" i="31"/>
  <c r="Y3343" i="31"/>
  <c r="X3345" i="31"/>
  <c r="Y3344" i="31"/>
  <c r="Y3345" i="31"/>
  <c r="X3346" i="31"/>
  <c r="X3347" i="31"/>
  <c r="Y3346" i="31"/>
  <c r="Y3347" i="31"/>
  <c r="X3348" i="31"/>
  <c r="X3349" i="31"/>
  <c r="Y3348" i="31"/>
  <c r="Y3349" i="31"/>
  <c r="X3350" i="31"/>
  <c r="Y3350" i="31"/>
  <c r="X3351" i="31"/>
  <c r="Y3351" i="31"/>
  <c r="X3352" i="31"/>
  <c r="X3353" i="31"/>
  <c r="Y3352" i="31"/>
  <c r="X3354" i="31"/>
  <c r="Y3353" i="31"/>
  <c r="X3355" i="31"/>
  <c r="Y3354" i="31"/>
  <c r="X3356" i="31"/>
  <c r="Y3355" i="31"/>
  <c r="Y3356" i="31"/>
  <c r="X3357" i="31"/>
  <c r="X3358" i="31"/>
  <c r="Y3357" i="31"/>
  <c r="Y3358" i="31"/>
  <c r="X3359" i="31"/>
  <c r="Y3359" i="31"/>
  <c r="X3360" i="31"/>
  <c r="Y3360" i="31"/>
  <c r="X3361" i="31"/>
  <c r="X3362" i="31"/>
  <c r="Y3361" i="31"/>
  <c r="X3363" i="31"/>
  <c r="Y3362" i="31"/>
  <c r="X3364" i="31"/>
  <c r="Y3363" i="31"/>
  <c r="X3365" i="31"/>
  <c r="Y3364" i="31"/>
  <c r="Y3365" i="31"/>
  <c r="X3366" i="31"/>
  <c r="X3367" i="31"/>
  <c r="Y3366" i="31"/>
  <c r="X3368" i="31"/>
  <c r="Y3367" i="31"/>
  <c r="X3369" i="31"/>
  <c r="Y3368" i="31"/>
  <c r="X3370" i="31"/>
  <c r="Y3369" i="31"/>
  <c r="Y3370" i="31"/>
  <c r="X3371" i="31"/>
  <c r="X3372" i="31"/>
  <c r="Y3371" i="31"/>
  <c r="X3373" i="31"/>
  <c r="Y3372" i="31"/>
  <c r="Y3373" i="31"/>
  <c r="X3374" i="31"/>
  <c r="Y3374" i="31"/>
  <c r="X3375" i="31"/>
  <c r="Y3375" i="31"/>
  <c r="X3376" i="31"/>
  <c r="Y3376" i="31"/>
  <c r="X3377" i="31"/>
  <c r="X3378" i="31"/>
  <c r="Y3377" i="31"/>
  <c r="X3379" i="31"/>
  <c r="Y3378" i="31"/>
  <c r="X3380" i="31"/>
  <c r="Y3379" i="31"/>
  <c r="X3381" i="31"/>
  <c r="Y3380" i="31"/>
  <c r="Y3381" i="31"/>
  <c r="X3382" i="31"/>
  <c r="Y3382" i="31"/>
  <c r="X3383" i="31"/>
  <c r="X3384" i="31"/>
  <c r="Y3383" i="31"/>
  <c r="X3385" i="31"/>
  <c r="Y3384" i="31"/>
  <c r="X3386" i="31"/>
  <c r="Y3385" i="31"/>
  <c r="Y3386" i="31"/>
  <c r="X3387" i="31"/>
  <c r="X3388" i="31"/>
  <c r="Y3387" i="31"/>
  <c r="Y3388" i="31"/>
  <c r="X3389" i="31"/>
  <c r="X3390" i="31"/>
  <c r="Y3389" i="31"/>
  <c r="X3391" i="31"/>
  <c r="Y3390" i="31"/>
  <c r="X3392" i="31"/>
  <c r="Y3391" i="31"/>
  <c r="X3393" i="31"/>
  <c r="Y3392" i="31"/>
  <c r="Y3393" i="31"/>
  <c r="X3394" i="31"/>
  <c r="Y3394" i="31"/>
  <c r="X3395" i="31"/>
  <c r="Y3395" i="31"/>
  <c r="X3396" i="31"/>
  <c r="X3397" i="31"/>
  <c r="Y3396" i="31"/>
  <c r="Y3397" i="31"/>
  <c r="X3398" i="31"/>
  <c r="Y3398" i="31"/>
  <c r="X3399" i="31"/>
  <c r="X3400" i="31"/>
  <c r="Y3399" i="31"/>
  <c r="Y3400" i="31"/>
  <c r="X3401" i="31"/>
  <c r="Y3401" i="31"/>
  <c r="X3402" i="31"/>
  <c r="X3403" i="31"/>
  <c r="Y3402" i="31"/>
  <c r="X3404" i="31"/>
  <c r="Y3403" i="31"/>
  <c r="X3405" i="31"/>
  <c r="Y3404" i="31"/>
  <c r="Y3405" i="31"/>
  <c r="X3406" i="31"/>
  <c r="X3407" i="31"/>
  <c r="Y3406" i="31"/>
  <c r="X3408" i="31"/>
  <c r="Y3407" i="31"/>
  <c r="Y3408" i="31"/>
  <c r="X3409" i="31"/>
  <c r="X3410" i="31"/>
  <c r="Y3409" i="31"/>
  <c r="Y3410" i="31"/>
  <c r="X3411" i="31"/>
  <c r="Y3411" i="31"/>
  <c r="X3412" i="31"/>
  <c r="X3413" i="31"/>
  <c r="Y3412" i="31"/>
  <c r="Y3413" i="31"/>
  <c r="X3414" i="31"/>
  <c r="X3415" i="31"/>
  <c r="Y3414" i="31"/>
  <c r="Y3415" i="31"/>
  <c r="X3416" i="31"/>
  <c r="X3417" i="31"/>
  <c r="Y3416" i="31"/>
  <c r="Y3417" i="31"/>
  <c r="X3418" i="31"/>
  <c r="X3419" i="31"/>
  <c r="Y3418" i="31"/>
  <c r="X3420" i="31"/>
  <c r="Y3419" i="31"/>
  <c r="Y3420" i="31"/>
  <c r="X3421" i="31"/>
  <c r="X3422" i="31"/>
  <c r="Y3421" i="31"/>
  <c r="Y3422" i="31"/>
  <c r="X3423" i="31"/>
  <c r="Y3423" i="31"/>
  <c r="X3424" i="31"/>
  <c r="Y3424" i="31"/>
  <c r="X3425" i="31"/>
  <c r="Y3425" i="31"/>
  <c r="X3426" i="31"/>
  <c r="Y3426" i="31"/>
  <c r="X3427" i="31"/>
  <c r="X3428" i="31"/>
  <c r="Y3427" i="31"/>
  <c r="X3429" i="31"/>
  <c r="Y3428" i="31"/>
  <c r="Y3429" i="31"/>
  <c r="X3430" i="31"/>
  <c r="X3431" i="31"/>
  <c r="Y3430" i="31"/>
  <c r="Y3431" i="31"/>
  <c r="X3432" i="31"/>
  <c r="Y3432" i="31"/>
  <c r="X3433" i="31"/>
  <c r="Y3433" i="31"/>
  <c r="X3434" i="31"/>
  <c r="X3435" i="31"/>
  <c r="Y3434" i="31"/>
  <c r="Y3435" i="31"/>
  <c r="X3436" i="31"/>
  <c r="X3437" i="31"/>
  <c r="Y3436" i="31"/>
  <c r="Y3437" i="31"/>
  <c r="X3438" i="31"/>
  <c r="X3439" i="31"/>
  <c r="Y3438" i="31"/>
  <c r="Y3439" i="31"/>
  <c r="X3440" i="31"/>
  <c r="X3441" i="31"/>
  <c r="Y3440" i="31"/>
  <c r="Y3441" i="31"/>
  <c r="X3442" i="31"/>
  <c r="Y3442" i="31"/>
  <c r="X3443" i="31"/>
  <c r="Y3443" i="31"/>
  <c r="X3444" i="31"/>
  <c r="X3445" i="31"/>
  <c r="Y3444" i="31"/>
  <c r="X3446" i="31"/>
  <c r="Y3445" i="31"/>
  <c r="X3447" i="31"/>
  <c r="Y3446" i="31"/>
  <c r="X3448" i="31"/>
  <c r="Y3447" i="31"/>
  <c r="Y3448" i="31"/>
  <c r="X3449" i="31"/>
  <c r="Y3449" i="31"/>
  <c r="X3450" i="31"/>
  <c r="Y3450" i="31"/>
  <c r="X3451" i="31"/>
  <c r="X3452" i="31"/>
  <c r="Y3451" i="31"/>
  <c r="Y3452" i="31"/>
  <c r="X3453" i="31"/>
  <c r="X3454" i="31"/>
  <c r="Y3453" i="31"/>
  <c r="X3455" i="31"/>
  <c r="Y3454" i="31"/>
  <c r="X3456" i="31"/>
  <c r="Y3455" i="31"/>
  <c r="X3457" i="31"/>
  <c r="Y3456" i="31"/>
  <c r="X3458" i="31"/>
  <c r="Y3457" i="31"/>
  <c r="Y3458" i="31"/>
  <c r="X3459" i="31"/>
  <c r="Y3459" i="31"/>
  <c r="X3460" i="31"/>
  <c r="Y3460" i="31"/>
  <c r="X3461" i="31"/>
  <c r="X3462" i="31"/>
  <c r="Y3461" i="31"/>
  <c r="Y3462" i="31"/>
  <c r="X3463" i="31"/>
  <c r="X3464" i="31"/>
  <c r="Y3463" i="31"/>
  <c r="X3465" i="31"/>
  <c r="Y3464" i="31"/>
  <c r="X3466" i="31"/>
  <c r="Y3465" i="31"/>
  <c r="Y3466" i="31"/>
  <c r="X3467" i="31"/>
  <c r="Y3467" i="31"/>
  <c r="X3468" i="31"/>
  <c r="Y3468" i="31"/>
  <c r="X3469" i="31"/>
  <c r="Y3469" i="31"/>
  <c r="X3470" i="31"/>
  <c r="Y3470" i="31"/>
  <c r="X3471" i="31"/>
  <c r="X3472" i="31"/>
  <c r="Y3471" i="31"/>
  <c r="X3473" i="31"/>
  <c r="Y3472" i="31"/>
  <c r="X3474" i="31"/>
  <c r="Y3473" i="31"/>
  <c r="X3475" i="31"/>
  <c r="Y3474" i="31"/>
  <c r="X3476" i="31"/>
  <c r="Y3475" i="31"/>
  <c r="X3477" i="31"/>
  <c r="Y3476" i="31"/>
  <c r="Y3477" i="31"/>
  <c r="X3478" i="31"/>
  <c r="Y3478" i="31"/>
  <c r="X3479" i="31"/>
  <c r="Y3479" i="31"/>
  <c r="X3480" i="31"/>
  <c r="X3481" i="31"/>
  <c r="Y3480" i="31"/>
  <c r="X3482" i="31"/>
  <c r="Y3481" i="31"/>
  <c r="Y3482" i="31"/>
  <c r="X3483" i="31"/>
  <c r="Y3483" i="31"/>
  <c r="X3484" i="31"/>
  <c r="Y3484" i="31"/>
  <c r="X3485" i="31"/>
  <c r="Y3485" i="31"/>
  <c r="X3486" i="31"/>
  <c r="Y3486" i="31"/>
  <c r="X3487" i="31"/>
  <c r="Y3487" i="31"/>
  <c r="X3488" i="31"/>
  <c r="X3489" i="31"/>
  <c r="Y3488" i="31"/>
  <c r="Y3489" i="31"/>
  <c r="X3490" i="31"/>
  <c r="X3491" i="31"/>
  <c r="Y3490" i="31"/>
  <c r="X3492" i="31"/>
  <c r="Y3491" i="31"/>
  <c r="Y3492" i="31"/>
  <c r="X3493" i="31"/>
  <c r="Y3493" i="31"/>
  <c r="X3494" i="31"/>
  <c r="X3495" i="31"/>
  <c r="Y3494" i="31"/>
  <c r="Y3495" i="31"/>
  <c r="X3496" i="31"/>
  <c r="Y3496" i="31"/>
  <c r="X3497" i="31"/>
  <c r="X3498" i="31"/>
  <c r="Y3497" i="31"/>
  <c r="Y3498" i="31"/>
  <c r="X3499" i="31"/>
  <c r="Y3499" i="31"/>
  <c r="X3500" i="31"/>
  <c r="Y3500" i="31"/>
  <c r="X3501" i="31"/>
  <c r="X3502" i="31"/>
  <c r="Y3501" i="31"/>
  <c r="X3503" i="31"/>
  <c r="Y3502" i="31"/>
  <c r="Y3503" i="31"/>
  <c r="X3504" i="31"/>
  <c r="X3505" i="31"/>
  <c r="Y3504" i="31"/>
  <c r="Y3505" i="31"/>
  <c r="X3506" i="31"/>
  <c r="Y3506" i="31"/>
  <c r="X3507" i="31"/>
  <c r="Y3507" i="31"/>
  <c r="X3508" i="31"/>
  <c r="X3509" i="31"/>
  <c r="Y3508" i="31"/>
  <c r="X3510" i="31"/>
  <c r="Y3509" i="31"/>
  <c r="X3511" i="31"/>
  <c r="Y3510" i="31"/>
  <c r="Y3511" i="31"/>
  <c r="X3512" i="31"/>
  <c r="Y3512" i="31"/>
  <c r="X3513" i="31"/>
  <c r="Y3513" i="31"/>
  <c r="X3514" i="31"/>
  <c r="Y3514" i="31"/>
  <c r="X3515" i="31"/>
  <c r="Y3515" i="31"/>
  <c r="X3516" i="31"/>
  <c r="X3517" i="31"/>
  <c r="Y3516" i="31"/>
  <c r="X3518" i="31"/>
  <c r="Y3517" i="31"/>
  <c r="Y3518" i="31"/>
  <c r="X3519" i="31"/>
  <c r="Y3519" i="31"/>
  <c r="X3520" i="31"/>
  <c r="Y3520" i="31"/>
  <c r="X3521" i="31"/>
  <c r="Y3521" i="31"/>
  <c r="X3522" i="31"/>
  <c r="Y3522" i="31"/>
  <c r="X3523" i="31"/>
  <c r="Y3523" i="31"/>
  <c r="X3524" i="31"/>
  <c r="Y3524" i="31"/>
  <c r="X3525" i="31"/>
  <c r="X3526" i="31"/>
  <c r="Y3525" i="31"/>
  <c r="Y3526" i="31"/>
  <c r="X3527" i="31"/>
  <c r="X3528" i="31"/>
  <c r="Y3527" i="31"/>
  <c r="Y3528" i="31"/>
  <c r="X3529" i="31"/>
  <c r="Y3529" i="31"/>
  <c r="X3530" i="31"/>
  <c r="Y3530" i="31"/>
  <c r="X3531" i="31"/>
  <c r="X3532" i="31"/>
  <c r="Y3531" i="31"/>
  <c r="Y3532" i="31"/>
  <c r="X3533" i="31"/>
  <c r="X3534" i="31"/>
  <c r="Y3533" i="31"/>
  <c r="X3535" i="31"/>
  <c r="Y3534" i="31"/>
  <c r="X3536" i="31"/>
  <c r="Y3535" i="31"/>
  <c r="Y3536" i="31"/>
  <c r="X3537" i="31"/>
  <c r="Y3537" i="31"/>
  <c r="X3538" i="31"/>
  <c r="Y3538" i="31"/>
  <c r="X3539" i="31"/>
  <c r="Y3539" i="31"/>
  <c r="X3540" i="31"/>
  <c r="X3541" i="31"/>
  <c r="Y3540" i="31"/>
  <c r="X3542" i="31"/>
  <c r="Y3541" i="31"/>
  <c r="X3543" i="31"/>
  <c r="Y3542" i="31"/>
  <c r="X3544" i="31"/>
  <c r="Y3543" i="31"/>
  <c r="D108" i="5" l="1"/>
  <c r="D26" i="5"/>
  <c r="D57" i="5"/>
  <c r="D87" i="5"/>
  <c r="D53" i="5"/>
  <c r="D69" i="5"/>
  <c r="D98" i="5"/>
  <c r="D123" i="5"/>
  <c r="D120" i="5"/>
  <c r="D34" i="5"/>
  <c r="D33" i="5"/>
  <c r="D15" i="5"/>
  <c r="D91" i="5"/>
  <c r="D65" i="5"/>
  <c r="D96" i="5"/>
  <c r="D62" i="5"/>
  <c r="D6" i="5"/>
  <c r="D103" i="5"/>
  <c r="D77" i="5"/>
  <c r="D32" i="5"/>
  <c r="D78" i="5"/>
  <c r="D109" i="5"/>
  <c r="D16" i="5"/>
  <c r="D93" i="5"/>
  <c r="D47" i="5"/>
  <c r="D89" i="5"/>
  <c r="D90" i="5"/>
  <c r="D117" i="5"/>
  <c r="D39" i="5"/>
  <c r="D124" i="5"/>
  <c r="D80" i="5"/>
  <c r="D64" i="5"/>
  <c r="D41" i="5"/>
  <c r="D56" i="5"/>
  <c r="D23" i="5"/>
  <c r="D42" i="5"/>
  <c r="D107" i="5"/>
  <c r="D73" i="5"/>
  <c r="D2" i="5"/>
  <c r="D71" i="5"/>
  <c r="D29" i="5"/>
  <c r="D59" i="5"/>
  <c r="D101" i="5"/>
  <c r="D95" i="5"/>
  <c r="D11" i="5"/>
  <c r="D116" i="5"/>
  <c r="D46" i="5"/>
  <c r="D75" i="5"/>
  <c r="D106" i="5"/>
  <c r="D68" i="5"/>
  <c r="D125" i="5"/>
  <c r="D99" i="5"/>
  <c r="D43" i="5"/>
  <c r="D105" i="5"/>
  <c r="D54" i="5"/>
  <c r="D21" i="5"/>
  <c r="D70" i="5"/>
  <c r="D63" i="5"/>
  <c r="D118" i="5"/>
  <c r="D9" i="5"/>
  <c r="D82" i="5"/>
  <c r="D5" i="5"/>
  <c r="D121" i="5"/>
  <c r="D48" i="5"/>
  <c r="D25" i="5"/>
  <c r="D13" i="5"/>
  <c r="D19" i="5"/>
  <c r="D72" i="5"/>
  <c r="D18" i="5"/>
  <c r="D20" i="5"/>
  <c r="D60" i="5"/>
  <c r="D14" i="5"/>
  <c r="D92" i="5"/>
  <c r="D86" i="5"/>
  <c r="D114" i="5"/>
  <c r="D10" i="5"/>
  <c r="D111" i="5"/>
  <c r="D22" i="5"/>
  <c r="D112" i="5"/>
  <c r="D8" i="5"/>
  <c r="D67" i="5"/>
  <c r="D27" i="5"/>
  <c r="D28" i="5"/>
  <c r="D4" i="5"/>
  <c r="D12" i="5"/>
  <c r="D50" i="5"/>
  <c r="D104" i="5"/>
  <c r="D55" i="5"/>
  <c r="D37" i="5"/>
  <c r="D44" i="5"/>
  <c r="D122" i="5"/>
  <c r="D17" i="5"/>
  <c r="D100" i="5"/>
  <c r="D61" i="5"/>
  <c r="D115" i="5"/>
  <c r="D83" i="5"/>
  <c r="D110" i="5"/>
  <c r="D58" i="5"/>
  <c r="D7" i="5"/>
  <c r="D66" i="5"/>
  <c r="D52" i="5"/>
  <c r="D49" i="5"/>
  <c r="D45" i="5"/>
  <c r="D36" i="5"/>
  <c r="D74" i="5"/>
  <c r="D35" i="5"/>
  <c r="D76" i="5"/>
  <c r="D113" i="5"/>
  <c r="D88" i="5"/>
  <c r="D79" i="5"/>
  <c r="D94" i="5"/>
  <c r="D38" i="5"/>
  <c r="D97" i="5"/>
  <c r="D119" i="5"/>
  <c r="D24" i="5"/>
  <c r="D40" i="5"/>
  <c r="D81" i="5"/>
  <c r="D30" i="5"/>
  <c r="D3" i="5"/>
  <c r="D102" i="5"/>
  <c r="D31" i="5"/>
  <c r="D85" i="5"/>
  <c r="D51" i="5"/>
  <c r="D84" i="5"/>
  <c r="D126" i="5"/>
  <c r="M26" i="31"/>
  <c r="M27" i="31"/>
  <c r="M19" i="31"/>
  <c r="M64" i="31"/>
  <c r="M25" i="31"/>
  <c r="M46" i="31"/>
  <c r="M54" i="31"/>
  <c r="M20" i="31"/>
  <c r="M63" i="31"/>
  <c r="M37" i="31"/>
  <c r="M52" i="31"/>
  <c r="M41" i="31"/>
  <c r="M14" i="31"/>
  <c r="M28" i="31"/>
  <c r="M61" i="31"/>
  <c r="M23" i="31"/>
  <c r="M45" i="31"/>
  <c r="M39" i="31"/>
  <c r="M53" i="31"/>
  <c r="M21" i="31"/>
  <c r="M59" i="31"/>
  <c r="M36" i="31"/>
  <c r="M30" i="31"/>
  <c r="M50" i="31"/>
  <c r="M58" i="31"/>
  <c r="M15" i="31"/>
  <c r="M13" i="31"/>
  <c r="M17" i="31"/>
  <c r="M42" i="31"/>
  <c r="M22" i="31"/>
  <c r="M48" i="31"/>
  <c r="M24" i="31"/>
  <c r="M34" i="31"/>
  <c r="M16" i="31"/>
  <c r="M55" i="31"/>
  <c r="M44" i="31"/>
  <c r="M35" i="31"/>
  <c r="M18" i="31"/>
  <c r="M29" i="31"/>
  <c r="M31" i="31"/>
  <c r="M40" i="31"/>
  <c r="M47" i="31"/>
  <c r="M33" i="31"/>
  <c r="M56" i="31"/>
  <c r="M11" i="31"/>
  <c r="M49" i="31"/>
  <c r="M57" i="31"/>
  <c r="M12" i="31"/>
  <c r="M60" i="31"/>
  <c r="M32" i="31"/>
  <c r="M38" i="31"/>
  <c r="M43" i="31"/>
  <c r="M62" i="31"/>
  <c r="M51" i="31"/>
  <c r="Y3544" i="31"/>
  <c r="H123" i="5"/>
  <c r="F123" i="5"/>
  <c r="E123" i="5"/>
  <c r="G123" i="5"/>
  <c r="I123" i="5"/>
  <c r="F62" i="5"/>
  <c r="H62" i="5"/>
  <c r="I62" i="5"/>
  <c r="E62" i="5"/>
  <c r="G62" i="5"/>
  <c r="F93" i="5"/>
  <c r="G93" i="5"/>
  <c r="H93" i="5"/>
  <c r="I93" i="5"/>
  <c r="E93" i="5"/>
  <c r="F64" i="5"/>
  <c r="H64" i="5"/>
  <c r="G64" i="5"/>
  <c r="E64" i="5"/>
  <c r="I64" i="5"/>
  <c r="E71" i="5"/>
  <c r="I71" i="5"/>
  <c r="F71" i="5"/>
  <c r="G71" i="5"/>
  <c r="H71" i="5"/>
  <c r="G75" i="5"/>
  <c r="F75" i="5"/>
  <c r="H75" i="5"/>
  <c r="I75" i="5"/>
  <c r="E75" i="5"/>
  <c r="F21" i="5"/>
  <c r="H21" i="5"/>
  <c r="E21" i="5"/>
  <c r="G21" i="5"/>
  <c r="I21" i="5"/>
  <c r="H48" i="5"/>
  <c r="E48" i="5"/>
  <c r="G48" i="5"/>
  <c r="I48" i="5"/>
  <c r="F48" i="5"/>
  <c r="I14" i="5"/>
  <c r="G14" i="5"/>
  <c r="F14" i="5"/>
  <c r="E14" i="5"/>
  <c r="H14" i="5"/>
  <c r="I8" i="5"/>
  <c r="G8" i="5"/>
  <c r="H8" i="5"/>
  <c r="E8" i="5"/>
  <c r="F8" i="5"/>
  <c r="G55" i="5"/>
  <c r="F55" i="5"/>
  <c r="E55" i="5"/>
  <c r="H55" i="5"/>
  <c r="I55" i="5"/>
  <c r="E83" i="5"/>
  <c r="H83" i="5"/>
  <c r="G83" i="5"/>
  <c r="I83" i="5"/>
  <c r="F83" i="5"/>
  <c r="E36" i="5"/>
  <c r="H36" i="5"/>
  <c r="F36" i="5"/>
  <c r="G36" i="5"/>
  <c r="I36" i="5"/>
  <c r="H38" i="5"/>
  <c r="I38" i="5"/>
  <c r="G38" i="5"/>
  <c r="E38" i="5"/>
  <c r="F38" i="5"/>
  <c r="H102" i="5"/>
  <c r="G102" i="5"/>
  <c r="F102" i="5"/>
  <c r="E102" i="5"/>
  <c r="I102" i="5"/>
  <c r="O38" i="31"/>
  <c r="N38" i="31"/>
  <c r="N39" i="31"/>
  <c r="O39" i="31"/>
  <c r="O49" i="31"/>
  <c r="N49" i="31"/>
  <c r="O55" i="31"/>
  <c r="N55" i="31"/>
  <c r="N51" i="31"/>
  <c r="O51" i="31"/>
  <c r="N53" i="31"/>
  <c r="O53" i="31"/>
  <c r="N43" i="31"/>
  <c r="O43" i="31"/>
  <c r="F108" i="5"/>
  <c r="H108" i="5"/>
  <c r="I108" i="5"/>
  <c r="E108" i="5"/>
  <c r="G108" i="5"/>
  <c r="I120" i="5"/>
  <c r="G120" i="5"/>
  <c r="E120" i="5"/>
  <c r="H120" i="5"/>
  <c r="F120" i="5"/>
  <c r="H6" i="5"/>
  <c r="G6" i="5"/>
  <c r="F6" i="5"/>
  <c r="I6" i="5"/>
  <c r="E6" i="5"/>
  <c r="I47" i="5"/>
  <c r="E47" i="5"/>
  <c r="H47" i="5"/>
  <c r="F47" i="5"/>
  <c r="G47" i="5"/>
  <c r="H41" i="5"/>
  <c r="E41" i="5"/>
  <c r="F41" i="5"/>
  <c r="I41" i="5"/>
  <c r="G41" i="5"/>
  <c r="H29" i="5"/>
  <c r="F29" i="5"/>
  <c r="E29" i="5"/>
  <c r="G29" i="5"/>
  <c r="I29" i="5"/>
  <c r="G106" i="5"/>
  <c r="I106" i="5"/>
  <c r="H106" i="5"/>
  <c r="E106" i="5"/>
  <c r="F106" i="5"/>
  <c r="G70" i="5"/>
  <c r="I70" i="5"/>
  <c r="H70" i="5"/>
  <c r="E70" i="5"/>
  <c r="F70" i="5"/>
  <c r="H25" i="5"/>
  <c r="G25" i="5"/>
  <c r="E25" i="5"/>
  <c r="F25" i="5"/>
  <c r="I25" i="5"/>
  <c r="I92" i="5"/>
  <c r="E92" i="5"/>
  <c r="F92" i="5"/>
  <c r="G92" i="5"/>
  <c r="H92" i="5"/>
  <c r="I67" i="5"/>
  <c r="F67" i="5"/>
  <c r="G67" i="5"/>
  <c r="E67" i="5"/>
  <c r="H67" i="5"/>
  <c r="H37" i="5"/>
  <c r="G37" i="5"/>
  <c r="E37" i="5"/>
  <c r="F37" i="5"/>
  <c r="I37" i="5"/>
  <c r="H110" i="5"/>
  <c r="F110" i="5"/>
  <c r="I110" i="5"/>
  <c r="E110" i="5"/>
  <c r="G110" i="5"/>
  <c r="G74" i="5"/>
  <c r="E74" i="5"/>
  <c r="H74" i="5"/>
  <c r="F74" i="5"/>
  <c r="I74" i="5"/>
  <c r="F97" i="5"/>
  <c r="G97" i="5"/>
  <c r="H97" i="5"/>
  <c r="I97" i="5"/>
  <c r="E97" i="5"/>
  <c r="I31" i="5"/>
  <c r="H31" i="5"/>
  <c r="G31" i="5"/>
  <c r="F31" i="5"/>
  <c r="E31" i="5"/>
  <c r="N26" i="31"/>
  <c r="O26" i="31"/>
  <c r="O27" i="31"/>
  <c r="N27" i="31"/>
  <c r="N19" i="31"/>
  <c r="O19" i="31"/>
  <c r="N64" i="31"/>
  <c r="O64" i="31"/>
  <c r="N25" i="31"/>
  <c r="O25" i="31"/>
  <c r="N46" i="31"/>
  <c r="O46" i="31"/>
  <c r="O54" i="31"/>
  <c r="N54" i="31"/>
  <c r="G26" i="5"/>
  <c r="E26" i="5"/>
  <c r="I26" i="5"/>
  <c r="H26" i="5"/>
  <c r="F26" i="5"/>
  <c r="G34" i="5"/>
  <c r="E34" i="5"/>
  <c r="H34" i="5"/>
  <c r="I34" i="5"/>
  <c r="F34" i="5"/>
  <c r="H103" i="5"/>
  <c r="I103" i="5"/>
  <c r="F103" i="5"/>
  <c r="G103" i="5"/>
  <c r="E103" i="5"/>
  <c r="F89" i="5"/>
  <c r="G89" i="5"/>
  <c r="I89" i="5"/>
  <c r="E89" i="5"/>
  <c r="H89" i="5"/>
  <c r="E56" i="5"/>
  <c r="I56" i="5"/>
  <c r="F56" i="5"/>
  <c r="H56" i="5"/>
  <c r="G56" i="5"/>
  <c r="E59" i="5"/>
  <c r="G59" i="5"/>
  <c r="F59" i="5"/>
  <c r="H59" i="5"/>
  <c r="I59" i="5"/>
  <c r="F68" i="5"/>
  <c r="G68" i="5"/>
  <c r="I68" i="5"/>
  <c r="E68" i="5"/>
  <c r="H68" i="5"/>
  <c r="G63" i="5"/>
  <c r="E63" i="5"/>
  <c r="F63" i="5"/>
  <c r="I63" i="5"/>
  <c r="H63" i="5"/>
  <c r="G13" i="5"/>
  <c r="F13" i="5"/>
  <c r="I13" i="5"/>
  <c r="E13" i="5"/>
  <c r="H13" i="5"/>
  <c r="H86" i="5"/>
  <c r="F86" i="5"/>
  <c r="G86" i="5"/>
  <c r="I86" i="5"/>
  <c r="E86" i="5"/>
  <c r="G27" i="5"/>
  <c r="H27" i="5"/>
  <c r="I27" i="5"/>
  <c r="F27" i="5"/>
  <c r="E27" i="5"/>
  <c r="E44" i="5"/>
  <c r="G44" i="5"/>
  <c r="H44" i="5"/>
  <c r="F44" i="5"/>
  <c r="I44" i="5"/>
  <c r="H58" i="5"/>
  <c r="E58" i="5"/>
  <c r="F58" i="5"/>
  <c r="G58" i="5"/>
  <c r="I58" i="5"/>
  <c r="E35" i="5"/>
  <c r="I35" i="5"/>
  <c r="F35" i="5"/>
  <c r="H35" i="5"/>
  <c r="G35" i="5"/>
  <c r="H119" i="5"/>
  <c r="F119" i="5"/>
  <c r="I119" i="5"/>
  <c r="E119" i="5"/>
  <c r="G119" i="5"/>
  <c r="G85" i="5"/>
  <c r="E85" i="5"/>
  <c r="H85" i="5"/>
  <c r="I85" i="5"/>
  <c r="F85" i="5"/>
  <c r="N21" i="31"/>
  <c r="O21" i="31"/>
  <c r="O59" i="31"/>
  <c r="N59" i="31"/>
  <c r="O36" i="31"/>
  <c r="N36" i="31"/>
  <c r="N30" i="31"/>
  <c r="O30" i="31"/>
  <c r="O50" i="31"/>
  <c r="N50" i="31"/>
  <c r="O20" i="31"/>
  <c r="N20" i="31"/>
  <c r="O58" i="31"/>
  <c r="N58" i="31"/>
  <c r="H57" i="5"/>
  <c r="G57" i="5"/>
  <c r="I57" i="5"/>
  <c r="F57" i="5"/>
  <c r="E57" i="5"/>
  <c r="G33" i="5"/>
  <c r="E33" i="5"/>
  <c r="I33" i="5"/>
  <c r="F33" i="5"/>
  <c r="H33" i="5"/>
  <c r="F77" i="5"/>
  <c r="H77" i="5"/>
  <c r="G77" i="5"/>
  <c r="E77" i="5"/>
  <c r="I77" i="5"/>
  <c r="H90" i="5"/>
  <c r="G90" i="5"/>
  <c r="E90" i="5"/>
  <c r="I90" i="5"/>
  <c r="F90" i="5"/>
  <c r="F23" i="5"/>
  <c r="I23" i="5"/>
  <c r="E23" i="5"/>
  <c r="H23" i="5"/>
  <c r="G23" i="5"/>
  <c r="H101" i="5"/>
  <c r="F101" i="5"/>
  <c r="G101" i="5"/>
  <c r="E101" i="5"/>
  <c r="I101" i="5"/>
  <c r="I125" i="5"/>
  <c r="F125" i="5"/>
  <c r="G125" i="5"/>
  <c r="E125" i="5"/>
  <c r="H125" i="5"/>
  <c r="I118" i="5"/>
  <c r="E118" i="5"/>
  <c r="H118" i="5"/>
  <c r="F118" i="5"/>
  <c r="G118" i="5"/>
  <c r="F19" i="5"/>
  <c r="H19" i="5"/>
  <c r="I19" i="5"/>
  <c r="E19" i="5"/>
  <c r="G19" i="5"/>
  <c r="E114" i="5"/>
  <c r="H114" i="5"/>
  <c r="F114" i="5"/>
  <c r="G114" i="5"/>
  <c r="I114" i="5"/>
  <c r="I28" i="5"/>
  <c r="H28" i="5"/>
  <c r="E28" i="5"/>
  <c r="F28" i="5"/>
  <c r="G28" i="5"/>
  <c r="H87" i="5"/>
  <c r="E87" i="5"/>
  <c r="F87" i="5"/>
  <c r="I87" i="5"/>
  <c r="G87" i="5"/>
  <c r="G15" i="5"/>
  <c r="H15" i="5"/>
  <c r="F15" i="5"/>
  <c r="E15" i="5"/>
  <c r="I15" i="5"/>
  <c r="E32" i="5"/>
  <c r="G32" i="5"/>
  <c r="F32" i="5"/>
  <c r="I32" i="5"/>
  <c r="H32" i="5"/>
  <c r="E117" i="5"/>
  <c r="H117" i="5"/>
  <c r="I117" i="5"/>
  <c r="F117" i="5"/>
  <c r="G117" i="5"/>
  <c r="I42" i="5"/>
  <c r="H42" i="5"/>
  <c r="G42" i="5"/>
  <c r="F42" i="5"/>
  <c r="E42" i="5"/>
  <c r="F95" i="5"/>
  <c r="I95" i="5"/>
  <c r="H95" i="5"/>
  <c r="E95" i="5"/>
  <c r="G95" i="5"/>
  <c r="I99" i="5"/>
  <c r="G99" i="5"/>
  <c r="E99" i="5"/>
  <c r="F99" i="5"/>
  <c r="H99" i="5"/>
  <c r="F9" i="5"/>
  <c r="G9" i="5"/>
  <c r="E9" i="5"/>
  <c r="I9" i="5"/>
  <c r="H9" i="5"/>
  <c r="G72" i="5"/>
  <c r="F72" i="5"/>
  <c r="I72" i="5"/>
  <c r="E72" i="5"/>
  <c r="H72" i="5"/>
  <c r="E10" i="5"/>
  <c r="I10" i="5"/>
  <c r="G10" i="5"/>
  <c r="F10" i="5"/>
  <c r="H10" i="5"/>
  <c r="F4" i="5"/>
  <c r="H4" i="5"/>
  <c r="E4" i="5"/>
  <c r="I4" i="5"/>
  <c r="G4" i="5"/>
  <c r="E17" i="5"/>
  <c r="H17" i="5"/>
  <c r="I17" i="5"/>
  <c r="F17" i="5"/>
  <c r="G17" i="5"/>
  <c r="H66" i="5"/>
  <c r="G66" i="5"/>
  <c r="E66" i="5"/>
  <c r="F66" i="5"/>
  <c r="I66" i="5"/>
  <c r="G113" i="5"/>
  <c r="F113" i="5"/>
  <c r="I113" i="5"/>
  <c r="E113" i="5"/>
  <c r="H113" i="5"/>
  <c r="E40" i="5"/>
  <c r="I40" i="5"/>
  <c r="G40" i="5"/>
  <c r="F40" i="5"/>
  <c r="H40" i="5"/>
  <c r="G84" i="5"/>
  <c r="F84" i="5"/>
  <c r="H84" i="5"/>
  <c r="I84" i="5"/>
  <c r="E84" i="5"/>
  <c r="N18" i="31"/>
  <c r="O18" i="31"/>
  <c r="N17" i="31"/>
  <c r="O17" i="31"/>
  <c r="O41" i="31"/>
  <c r="N41" i="31"/>
  <c r="N57" i="31"/>
  <c r="O57" i="31"/>
  <c r="N29" i="31"/>
  <c r="O29" i="31"/>
  <c r="N42" i="31"/>
  <c r="O42" i="31"/>
  <c r="I53" i="5"/>
  <c r="H53" i="5"/>
  <c r="E53" i="5"/>
  <c r="F53" i="5"/>
  <c r="G53" i="5"/>
  <c r="F91" i="5"/>
  <c r="G91" i="5"/>
  <c r="H91" i="5"/>
  <c r="I91" i="5"/>
  <c r="E91" i="5"/>
  <c r="F78" i="5"/>
  <c r="H78" i="5"/>
  <c r="G78" i="5"/>
  <c r="E78" i="5"/>
  <c r="I78" i="5"/>
  <c r="F39" i="5"/>
  <c r="H39" i="5"/>
  <c r="E39" i="5"/>
  <c r="I39" i="5"/>
  <c r="G39" i="5"/>
  <c r="E107" i="5"/>
  <c r="H107" i="5"/>
  <c r="G107" i="5"/>
  <c r="I107" i="5"/>
  <c r="F107" i="5"/>
  <c r="H11" i="5"/>
  <c r="F11" i="5"/>
  <c r="G11" i="5"/>
  <c r="E11" i="5"/>
  <c r="I11" i="5"/>
  <c r="F43" i="5"/>
  <c r="H43" i="5"/>
  <c r="I43" i="5"/>
  <c r="E43" i="5"/>
  <c r="G43" i="5"/>
  <c r="G82" i="5"/>
  <c r="E82" i="5"/>
  <c r="F82" i="5"/>
  <c r="H82" i="5"/>
  <c r="I82" i="5"/>
  <c r="F18" i="5"/>
  <c r="G18" i="5"/>
  <c r="I18" i="5"/>
  <c r="H18" i="5"/>
  <c r="E18" i="5"/>
  <c r="I111" i="5"/>
  <c r="H111" i="5"/>
  <c r="E111" i="5"/>
  <c r="F111" i="5"/>
  <c r="G111" i="5"/>
  <c r="I12" i="5"/>
  <c r="F12" i="5"/>
  <c r="E12" i="5"/>
  <c r="G12" i="5"/>
  <c r="H12" i="5"/>
  <c r="G100" i="5"/>
  <c r="F100" i="5"/>
  <c r="I100" i="5"/>
  <c r="H100" i="5"/>
  <c r="E100" i="5"/>
  <c r="E52" i="5"/>
  <c r="G52" i="5"/>
  <c r="H52" i="5"/>
  <c r="I52" i="5"/>
  <c r="F52" i="5"/>
  <c r="E88" i="5"/>
  <c r="H88" i="5"/>
  <c r="G88" i="5"/>
  <c r="F88" i="5"/>
  <c r="I88" i="5"/>
  <c r="G81" i="5"/>
  <c r="H81" i="5"/>
  <c r="E81" i="5"/>
  <c r="I81" i="5"/>
  <c r="F81" i="5"/>
  <c r="E126" i="5"/>
  <c r="I126" i="5"/>
  <c r="H126" i="5"/>
  <c r="F126" i="5"/>
  <c r="G126" i="5"/>
  <c r="O14" i="31"/>
  <c r="N14" i="31"/>
  <c r="O31" i="31"/>
  <c r="N31" i="31"/>
  <c r="N22" i="31"/>
  <c r="O22" i="31"/>
  <c r="O28" i="31"/>
  <c r="N28" i="31"/>
  <c r="O40" i="31"/>
  <c r="N40" i="31"/>
  <c r="O12" i="31"/>
  <c r="N12" i="31"/>
  <c r="F69" i="5"/>
  <c r="E69" i="5"/>
  <c r="G69" i="5"/>
  <c r="I69" i="5"/>
  <c r="H69" i="5"/>
  <c r="I65" i="5"/>
  <c r="H65" i="5"/>
  <c r="E65" i="5"/>
  <c r="G65" i="5"/>
  <c r="F65" i="5"/>
  <c r="G109" i="5"/>
  <c r="F109" i="5"/>
  <c r="H109" i="5"/>
  <c r="E109" i="5"/>
  <c r="I109" i="5"/>
  <c r="G124" i="5"/>
  <c r="I124" i="5"/>
  <c r="H124" i="5"/>
  <c r="F124" i="5"/>
  <c r="E124" i="5"/>
  <c r="H73" i="5"/>
  <c r="E73" i="5"/>
  <c r="G73" i="5"/>
  <c r="F73" i="5"/>
  <c r="I73" i="5"/>
  <c r="E116" i="5"/>
  <c r="I116" i="5"/>
  <c r="F116" i="5"/>
  <c r="H116" i="5"/>
  <c r="G116" i="5"/>
  <c r="E105" i="5"/>
  <c r="F105" i="5"/>
  <c r="G105" i="5"/>
  <c r="H105" i="5"/>
  <c r="I105" i="5"/>
  <c r="H5" i="5"/>
  <c r="I5" i="5"/>
  <c r="G5" i="5"/>
  <c r="E5" i="5"/>
  <c r="F5" i="5"/>
  <c r="G20" i="5"/>
  <c r="H20" i="5"/>
  <c r="E20" i="5"/>
  <c r="F20" i="5"/>
  <c r="I20" i="5"/>
  <c r="E22" i="5"/>
  <c r="H22" i="5"/>
  <c r="G22" i="5"/>
  <c r="F22" i="5"/>
  <c r="I22" i="5"/>
  <c r="E50" i="5"/>
  <c r="H50" i="5"/>
  <c r="I50" i="5"/>
  <c r="F50" i="5"/>
  <c r="G50" i="5"/>
  <c r="I61" i="5"/>
  <c r="G61" i="5"/>
  <c r="H61" i="5"/>
  <c r="F61" i="5"/>
  <c r="E61" i="5"/>
  <c r="E49" i="5"/>
  <c r="I49" i="5"/>
  <c r="F49" i="5"/>
  <c r="G49" i="5"/>
  <c r="H49" i="5"/>
  <c r="I79" i="5"/>
  <c r="G79" i="5"/>
  <c r="H79" i="5"/>
  <c r="E79" i="5"/>
  <c r="F79" i="5"/>
  <c r="F30" i="5"/>
  <c r="G30" i="5"/>
  <c r="E30" i="5"/>
  <c r="H30" i="5"/>
  <c r="I30" i="5"/>
  <c r="O48" i="31"/>
  <c r="N48" i="31"/>
  <c r="O61" i="31"/>
  <c r="N61" i="31"/>
  <c r="O47" i="31"/>
  <c r="N47" i="31"/>
  <c r="N60" i="31"/>
  <c r="O60" i="31"/>
  <c r="N24" i="31"/>
  <c r="O24" i="31"/>
  <c r="O23" i="31"/>
  <c r="N23" i="31"/>
  <c r="O33" i="31"/>
  <c r="N33" i="31"/>
  <c r="H98" i="5"/>
  <c r="G98" i="5"/>
  <c r="E98" i="5"/>
  <c r="I98" i="5"/>
  <c r="F98" i="5"/>
  <c r="E96" i="5"/>
  <c r="H96" i="5"/>
  <c r="G96" i="5"/>
  <c r="F96" i="5"/>
  <c r="I96" i="5"/>
  <c r="I16" i="5"/>
  <c r="G16" i="5"/>
  <c r="E16" i="5"/>
  <c r="H16" i="5"/>
  <c r="F16" i="5"/>
  <c r="I80" i="5"/>
  <c r="F80" i="5"/>
  <c r="E80" i="5"/>
  <c r="G80" i="5"/>
  <c r="H80" i="5"/>
  <c r="I2" i="5"/>
  <c r="E2" i="5"/>
  <c r="F2" i="5"/>
  <c r="H2" i="5"/>
  <c r="G2" i="5"/>
  <c r="I46" i="5"/>
  <c r="F46" i="5"/>
  <c r="G46" i="5"/>
  <c r="H46" i="5"/>
  <c r="E46" i="5"/>
  <c r="I54" i="5"/>
  <c r="E54" i="5"/>
  <c r="G54" i="5"/>
  <c r="F54" i="5"/>
  <c r="H54" i="5"/>
  <c r="I121" i="5"/>
  <c r="F121" i="5"/>
  <c r="G121" i="5"/>
  <c r="H121" i="5"/>
  <c r="E121" i="5"/>
  <c r="E60" i="5"/>
  <c r="H60" i="5"/>
  <c r="F60" i="5"/>
  <c r="G60" i="5"/>
  <c r="I60" i="5"/>
  <c r="I112" i="5"/>
  <c r="G112" i="5"/>
  <c r="F112" i="5"/>
  <c r="E112" i="5"/>
  <c r="H112" i="5"/>
  <c r="I104" i="5"/>
  <c r="G104" i="5"/>
  <c r="H104" i="5"/>
  <c r="E104" i="5"/>
  <c r="F104" i="5"/>
  <c r="E115" i="5"/>
  <c r="H115" i="5"/>
  <c r="I115" i="5"/>
  <c r="G115" i="5"/>
  <c r="F115" i="5"/>
  <c r="E45" i="5"/>
  <c r="H45" i="5"/>
  <c r="I45" i="5"/>
  <c r="G45" i="5"/>
  <c r="F45" i="5"/>
  <c r="F94" i="5"/>
  <c r="G94" i="5"/>
  <c r="E94" i="5"/>
  <c r="H94" i="5"/>
  <c r="I94" i="5"/>
  <c r="I3" i="5"/>
  <c r="H3" i="5"/>
  <c r="G3" i="5"/>
  <c r="E3" i="5"/>
  <c r="F3" i="5"/>
  <c r="N62" i="31"/>
  <c r="O62" i="31"/>
  <c r="N56" i="31"/>
  <c r="O56" i="31"/>
  <c r="O34" i="31"/>
  <c r="N34" i="31"/>
  <c r="O45" i="31"/>
  <c r="N45" i="31"/>
  <c r="N32" i="31"/>
  <c r="O32" i="31"/>
  <c r="O11" i="31"/>
  <c r="N11" i="31"/>
  <c r="N16" i="31"/>
  <c r="O16" i="31"/>
  <c r="H122" i="5"/>
  <c r="F122" i="5"/>
  <c r="E122" i="5"/>
  <c r="I122" i="5"/>
  <c r="G122" i="5"/>
  <c r="H7" i="5"/>
  <c r="F7" i="5"/>
  <c r="E7" i="5"/>
  <c r="I7" i="5"/>
  <c r="G7" i="5"/>
  <c r="G76" i="5"/>
  <c r="I76" i="5"/>
  <c r="F76" i="5"/>
  <c r="H76" i="5"/>
  <c r="E76" i="5"/>
  <c r="G24" i="5"/>
  <c r="I24" i="5"/>
  <c r="H24" i="5"/>
  <c r="E24" i="5"/>
  <c r="F24" i="5"/>
  <c r="F51" i="5"/>
  <c r="G51" i="5"/>
  <c r="H51" i="5"/>
  <c r="I51" i="5"/>
  <c r="E51" i="5"/>
  <c r="N44" i="31"/>
  <c r="O44" i="31"/>
  <c r="O63" i="31"/>
  <c r="N63" i="31"/>
  <c r="N35" i="31"/>
  <c r="O35" i="31"/>
  <c r="O15" i="31"/>
  <c r="N15" i="31"/>
  <c r="O37" i="31"/>
  <c r="N37" i="31"/>
  <c r="N13" i="31"/>
  <c r="O13" i="31"/>
  <c r="O52" i="31"/>
  <c r="N52" i="31"/>
  <c r="Q52" i="31" l="1"/>
  <c r="Q13" i="31"/>
  <c r="Q37" i="31"/>
  <c r="Q15" i="31"/>
  <c r="Q35" i="31"/>
  <c r="Q63" i="31"/>
  <c r="Q44" i="31"/>
  <c r="Q16" i="31"/>
  <c r="Q11" i="31"/>
  <c r="Q32" i="31"/>
  <c r="Q45" i="31"/>
  <c r="Q34" i="31"/>
  <c r="Q56" i="31"/>
  <c r="Q62" i="31"/>
  <c r="Q33" i="31"/>
  <c r="Q23" i="31"/>
  <c r="Q24" i="31"/>
  <c r="Q60" i="31"/>
  <c r="Q47" i="31"/>
  <c r="Q61" i="31"/>
  <c r="Q48" i="31"/>
  <c r="Q12" i="31"/>
  <c r="Q40" i="31"/>
  <c r="Q28" i="31"/>
  <c r="Q22" i="31"/>
  <c r="Q31" i="31"/>
  <c r="Q14" i="31"/>
  <c r="Q42" i="31"/>
  <c r="Q29" i="31"/>
  <c r="Q57" i="31"/>
  <c r="Q41" i="31"/>
  <c r="Q17" i="31"/>
  <c r="Q18" i="31"/>
  <c r="Q58" i="31"/>
  <c r="Q20" i="31"/>
  <c r="Q50" i="31"/>
  <c r="Q30" i="31"/>
  <c r="Q36" i="31"/>
  <c r="Q59" i="31"/>
  <c r="Q21" i="31"/>
  <c r="Q54" i="31"/>
  <c r="Q46" i="31"/>
  <c r="Q25" i="31"/>
  <c r="Q64" i="31"/>
  <c r="Q19" i="31"/>
  <c r="Q27" i="31"/>
  <c r="Q26" i="31"/>
  <c r="Q43" i="31"/>
  <c r="Q53" i="31"/>
  <c r="Q51" i="31"/>
  <c r="Q55" i="31"/>
  <c r="Q49" i="31"/>
  <c r="Q39" i="31"/>
  <c r="Q38" i="31"/>
  <c r="C30" i="6" l="1"/>
  <c r="D14" i="6" l="1"/>
  <c r="C27" i="6"/>
  <c r="D27" i="6"/>
  <c r="C28" i="6"/>
  <c r="D28" i="6"/>
  <c r="P20" i="31"/>
  <c r="P38" i="31"/>
  <c r="P32" i="31"/>
  <c r="P21" i="31"/>
  <c r="P29" i="31"/>
  <c r="P49" i="31"/>
  <c r="P42" i="31"/>
  <c r="P62" i="31"/>
  <c r="P41" i="31"/>
  <c r="P57" i="31"/>
  <c r="P51" i="31"/>
  <c r="P43" i="31"/>
  <c r="P18" i="31"/>
  <c r="P44" i="31"/>
  <c r="J15" i="31"/>
  <c r="P59" i="31"/>
  <c r="P39" i="31"/>
  <c r="P23" i="31"/>
  <c r="P54" i="31"/>
  <c r="P45" i="31"/>
  <c r="P30" i="31"/>
  <c r="P46" i="31"/>
  <c r="P53" i="31"/>
  <c r="P58" i="31"/>
  <c r="P12" i="31"/>
  <c r="P27" i="31"/>
  <c r="P36" i="31"/>
  <c r="P35" i="31"/>
  <c r="J1" i="5" a="1"/>
  <c r="P63" i="31"/>
  <c r="P40" i="31"/>
  <c r="P15" i="31"/>
  <c r="P25" i="31"/>
  <c r="P19" i="31"/>
  <c r="D15" i="6"/>
  <c r="P37" i="31"/>
  <c r="P22" i="31"/>
  <c r="P26" i="31"/>
  <c r="P16" i="31"/>
  <c r="P61" i="31"/>
  <c r="P24" i="31"/>
  <c r="P64" i="31"/>
  <c r="P48" i="31"/>
  <c r="P60" i="31"/>
  <c r="P13" i="31"/>
  <c r="P34" i="31"/>
  <c r="P55" i="31"/>
  <c r="P47" i="31"/>
  <c r="P56" i="31"/>
  <c r="P33" i="31"/>
  <c r="P52" i="31"/>
  <c r="P14" i="31"/>
  <c r="P11" i="31"/>
  <c r="P28" i="31"/>
  <c r="P31" i="31"/>
  <c r="P17" i="31"/>
  <c r="P50" i="31"/>
  <c r="D30" i="6"/>
  <c r="J90" i="5" l="1"/>
  <c r="J19" i="5"/>
  <c r="J33" i="5"/>
  <c r="J73" i="5"/>
  <c r="J64" i="5"/>
  <c r="J109" i="5"/>
  <c r="J101" i="5"/>
  <c r="J59" i="5"/>
  <c r="J21" i="5"/>
  <c r="J68" i="5"/>
  <c r="J114" i="5"/>
  <c r="J52" i="5"/>
  <c r="J67" i="5"/>
  <c r="J88" i="5"/>
  <c r="J124" i="5"/>
  <c r="J94" i="5"/>
  <c r="J110" i="5"/>
  <c r="J22" i="5"/>
  <c r="J63" i="5"/>
  <c r="J15" i="5"/>
  <c r="J31" i="5"/>
  <c r="J13" i="5"/>
  <c r="J82" i="5"/>
  <c r="J40" i="5"/>
  <c r="J29" i="5"/>
  <c r="J79" i="5"/>
  <c r="J23" i="5"/>
  <c r="J84" i="5"/>
  <c r="J10" i="5"/>
  <c r="J49" i="5"/>
  <c r="J100" i="5"/>
  <c r="J3" i="5"/>
  <c r="J27" i="5"/>
  <c r="J61" i="5"/>
  <c r="J77" i="5"/>
  <c r="J121" i="5"/>
  <c r="J85" i="5"/>
  <c r="J87" i="5"/>
  <c r="J16" i="5"/>
  <c r="J75" i="5"/>
  <c r="J28" i="5"/>
  <c r="J74" i="5"/>
  <c r="J18" i="5"/>
  <c r="J111" i="5"/>
  <c r="J89" i="5"/>
  <c r="J72" i="5"/>
  <c r="J69" i="5"/>
  <c r="J37" i="5"/>
  <c r="J102" i="5"/>
  <c r="J70" i="5"/>
  <c r="J20" i="5"/>
  <c r="J120" i="5"/>
  <c r="J47" i="5"/>
  <c r="J107" i="5"/>
  <c r="J118" i="5"/>
  <c r="J12" i="5"/>
  <c r="J66" i="5"/>
  <c r="J106" i="5"/>
  <c r="J91" i="5"/>
  <c r="J26" i="5"/>
  <c r="J126" i="5"/>
  <c r="J24" i="5"/>
  <c r="J42" i="5"/>
  <c r="J9" i="5"/>
  <c r="J2" i="5"/>
  <c r="J99" i="5"/>
  <c r="J81" i="5"/>
  <c r="J123" i="5"/>
  <c r="J32" i="5"/>
  <c r="J60" i="5"/>
  <c r="J105" i="5"/>
  <c r="J104" i="5"/>
  <c r="J25" i="5"/>
  <c r="J97" i="5"/>
  <c r="J113" i="5"/>
  <c r="J50" i="5"/>
  <c r="J39" i="5"/>
  <c r="J35" i="5"/>
  <c r="J54" i="5"/>
  <c r="J17" i="5"/>
  <c r="J92" i="5"/>
  <c r="J103" i="5"/>
  <c r="J46" i="5"/>
  <c r="J93" i="5"/>
  <c r="J98" i="5"/>
  <c r="J43" i="5"/>
  <c r="J45" i="5"/>
  <c r="J51" i="5"/>
  <c r="J117" i="5"/>
  <c r="J41" i="5"/>
  <c r="J6" i="5"/>
  <c r="J44" i="5"/>
  <c r="J48" i="5"/>
  <c r="J62" i="5"/>
  <c r="J8" i="5"/>
  <c r="J34" i="5"/>
  <c r="J125" i="5"/>
  <c r="J108" i="5"/>
  <c r="J112" i="5"/>
  <c r="J71" i="5"/>
  <c r="J1" i="5"/>
  <c r="J38" i="5"/>
  <c r="J11" i="5"/>
  <c r="J115" i="5"/>
  <c r="J55" i="5"/>
  <c r="J86" i="5"/>
  <c r="J57" i="5"/>
  <c r="J116" i="5"/>
  <c r="J14" i="5"/>
  <c r="J53" i="5"/>
  <c r="J122" i="5"/>
  <c r="J5" i="5"/>
  <c r="J30" i="5"/>
  <c r="J95" i="5"/>
  <c r="J65" i="5"/>
  <c r="J7" i="5"/>
  <c r="J78" i="5"/>
  <c r="J96" i="5"/>
  <c r="J36" i="5"/>
  <c r="J80" i="5"/>
  <c r="J76" i="5"/>
  <c r="J58" i="5"/>
  <c r="J4" i="5"/>
  <c r="J83" i="5"/>
  <c r="J56" i="5"/>
  <c r="J119" i="5"/>
  <c r="R47" i="31"/>
  <c r="S47" i="31"/>
  <c r="Z9" i="31"/>
  <c r="R60" i="31"/>
  <c r="S60" i="31"/>
  <c r="R61" i="31"/>
  <c r="S61" i="31"/>
  <c r="D29" i="6"/>
  <c r="Z11" i="31" a="1"/>
  <c r="Z3079" i="31" l="1"/>
  <c r="Z2266" i="31"/>
  <c r="Z1236" i="31"/>
  <c r="Z1655" i="31"/>
  <c r="Z3530" i="31"/>
  <c r="Z2741" i="31"/>
  <c r="Z2391" i="31"/>
  <c r="Z383" i="31"/>
  <c r="Z1044" i="31"/>
  <c r="Z2310" i="31"/>
  <c r="Z1896" i="31"/>
  <c r="Z2178" i="31"/>
  <c r="Z2235" i="31"/>
  <c r="Z3370" i="31"/>
  <c r="Z1889" i="31"/>
  <c r="Z1677" i="31"/>
  <c r="Z167" i="31"/>
  <c r="Z1477" i="31"/>
  <c r="Z376" i="31"/>
  <c r="Z1739" i="31"/>
  <c r="Z2004" i="31"/>
  <c r="Z2105" i="31"/>
  <c r="Z1277" i="31"/>
  <c r="Z1815" i="31"/>
  <c r="Z1942" i="31"/>
  <c r="Z1362" i="31"/>
  <c r="Z138" i="31"/>
  <c r="Z2041" i="31"/>
  <c r="Z665" i="31"/>
  <c r="Z1185" i="31"/>
  <c r="Z1862" i="31"/>
  <c r="Z3155" i="31"/>
  <c r="Z502" i="31"/>
  <c r="Z1732" i="31"/>
  <c r="Z2259" i="31"/>
  <c r="Z3374" i="31"/>
  <c r="Z1955" i="31"/>
  <c r="Z2998" i="31"/>
  <c r="Z3013" i="31"/>
  <c r="Z2885" i="31"/>
  <c r="Z2165" i="31"/>
  <c r="Z2277" i="31"/>
  <c r="Z2298" i="31"/>
  <c r="Z203" i="31"/>
  <c r="Z603" i="31"/>
  <c r="Z2939" i="31"/>
  <c r="Z2842" i="31"/>
  <c r="Z795" i="31"/>
  <c r="Z2475" i="31"/>
  <c r="Z617" i="31"/>
  <c r="Z1575" i="31"/>
  <c r="Z1132" i="31"/>
  <c r="Z231" i="31"/>
  <c r="Z787" i="31"/>
  <c r="Z1883" i="31"/>
  <c r="Z1516" i="31"/>
  <c r="Z1591" i="31"/>
  <c r="Z1656" i="31"/>
  <c r="Z1046" i="31"/>
  <c r="Z3475" i="31"/>
  <c r="Z2854" i="31"/>
  <c r="Z910" i="31"/>
  <c r="Z523" i="31"/>
  <c r="Z831" i="31"/>
  <c r="Z1469" i="31"/>
  <c r="Z1460" i="31"/>
  <c r="Z2069" i="31"/>
  <c r="Z2433" i="31"/>
  <c r="Z837" i="31"/>
  <c r="Z156" i="31"/>
  <c r="Z1338" i="31"/>
  <c r="Z2566" i="31"/>
  <c r="Z1977" i="31"/>
  <c r="Z2861" i="31"/>
  <c r="Z171" i="31"/>
  <c r="Z3484" i="31"/>
  <c r="Z395" i="31"/>
  <c r="Z276" i="31"/>
  <c r="Z266" i="31"/>
  <c r="Z2294" i="31"/>
  <c r="Z3091" i="31"/>
  <c r="Z2803" i="31"/>
  <c r="Z1782" i="31"/>
  <c r="Z3407" i="31"/>
  <c r="Z2712" i="31"/>
  <c r="Z2743" i="31"/>
  <c r="Z3480" i="31"/>
  <c r="Z2691" i="31"/>
  <c r="Z1054" i="31"/>
  <c r="Z2786" i="31"/>
  <c r="Z18" i="31"/>
  <c r="Z112" i="31"/>
  <c r="Z3327" i="31"/>
  <c r="Z1695" i="31"/>
  <c r="Z2627" i="31"/>
  <c r="Z1409" i="31"/>
  <c r="Z297" i="31"/>
  <c r="Z2017" i="31"/>
  <c r="Z3199" i="31"/>
  <c r="Z585" i="31"/>
  <c r="Z2280" i="31"/>
  <c r="Z1013" i="31"/>
  <c r="Z1893" i="31"/>
  <c r="Z1911" i="31"/>
  <c r="Z462" i="31"/>
  <c r="Z484" i="31"/>
  <c r="Z2797" i="31"/>
  <c r="Z2068" i="31"/>
  <c r="Z2086" i="31"/>
  <c r="Z1032" i="31"/>
  <c r="Z580" i="31"/>
  <c r="Z2632" i="31"/>
  <c r="Z2422" i="31"/>
  <c r="Z876" i="31"/>
  <c r="Z1747" i="31"/>
  <c r="Z1153" i="31"/>
  <c r="Z3180" i="31"/>
  <c r="Z2834" i="31"/>
  <c r="Z3342" i="31"/>
  <c r="Z3539" i="31"/>
  <c r="Z501" i="31"/>
  <c r="Z3194" i="31"/>
  <c r="Z1913" i="31"/>
  <c r="Z2423" i="31"/>
  <c r="Z1170" i="31"/>
  <c r="Z98" i="31"/>
  <c r="Z238" i="31"/>
  <c r="Z3044" i="31"/>
  <c r="Z3087" i="31"/>
  <c r="Z1120" i="31"/>
  <c r="Z2254" i="31"/>
  <c r="Z1215" i="31"/>
  <c r="Z2902" i="31"/>
  <c r="Z1517" i="31"/>
  <c r="Z2151" i="31"/>
  <c r="Z181" i="31"/>
  <c r="Z1590" i="31"/>
  <c r="Z2879" i="31"/>
  <c r="Z1278" i="31"/>
  <c r="Z1094" i="31"/>
  <c r="Z1622" i="31"/>
  <c r="Z3186" i="31"/>
  <c r="Z3274" i="31"/>
  <c r="Z2949" i="31"/>
  <c r="Z670" i="31"/>
  <c r="Z3434" i="31"/>
  <c r="Z3409" i="31"/>
  <c r="Z2110" i="31"/>
  <c r="Z1006" i="31"/>
  <c r="Z1257" i="31"/>
  <c r="Z3307" i="31"/>
  <c r="Z220" i="31"/>
  <c r="Z3372" i="31"/>
  <c r="Z1991" i="31"/>
  <c r="Z282" i="31"/>
  <c r="Z1202" i="31"/>
  <c r="Z2438" i="31"/>
  <c r="Z1934" i="31"/>
  <c r="Z2849" i="31"/>
  <c r="Z1174" i="31"/>
  <c r="Z1832" i="31"/>
  <c r="Z1634" i="31"/>
  <c r="Z994" i="31"/>
  <c r="Z1791" i="31"/>
  <c r="Z851" i="31"/>
  <c r="Z1567" i="31"/>
  <c r="Z1927" i="31"/>
  <c r="Z1052" i="31"/>
  <c r="Z2159" i="31"/>
  <c r="Z1858" i="31"/>
  <c r="Z967" i="31"/>
  <c r="Z332" i="31"/>
  <c r="Z1741" i="31"/>
  <c r="Z3538" i="31"/>
  <c r="Z62" i="31"/>
  <c r="Z2593" i="31"/>
  <c r="Z2812" i="31"/>
  <c r="Z2351" i="31"/>
  <c r="Z2135" i="31"/>
  <c r="Z1271" i="31"/>
  <c r="Z2419" i="31"/>
  <c r="Z2002" i="31"/>
  <c r="Z2623" i="31"/>
  <c r="Z1172" i="31"/>
  <c r="Z1227" i="31"/>
  <c r="Z1808" i="31"/>
  <c r="Z3122" i="31"/>
  <c r="Z2473" i="31"/>
  <c r="Z415" i="31"/>
  <c r="Z1546" i="31"/>
  <c r="Z2405" i="31"/>
  <c r="Z3476" i="31"/>
  <c r="Z1603" i="31"/>
  <c r="Z2099" i="31"/>
  <c r="Z877" i="31"/>
  <c r="Z2176" i="31"/>
  <c r="Z305" i="31"/>
  <c r="Z2524" i="31"/>
  <c r="Z1080" i="31"/>
  <c r="Z155" i="31"/>
  <c r="Z1840" i="31"/>
  <c r="Z69" i="31"/>
  <c r="Z2613" i="31"/>
  <c r="Z1645" i="31"/>
  <c r="Z2646" i="31"/>
  <c r="Z2401" i="31"/>
  <c r="Z1252" i="31"/>
  <c r="Z1701" i="31"/>
  <c r="Z1496" i="31"/>
  <c r="Z1243" i="31"/>
  <c r="Z413" i="31"/>
  <c r="Z1992" i="31"/>
  <c r="Z615" i="31"/>
  <c r="Z19" i="31"/>
  <c r="Z1031" i="31"/>
  <c r="Z113" i="31"/>
  <c r="Z1873" i="31"/>
  <c r="Z2361" i="31"/>
  <c r="Z3404" i="31"/>
  <c r="Z1602" i="31"/>
  <c r="Z3049" i="31"/>
  <c r="Z3006" i="31"/>
  <c r="Z1817" i="31"/>
  <c r="Z2471" i="31"/>
  <c r="Z1085" i="31"/>
  <c r="Z147" i="31"/>
  <c r="Z2108" i="31"/>
  <c r="Z2668" i="31"/>
  <c r="Z711" i="31"/>
  <c r="Z3149" i="31"/>
  <c r="Z2966" i="31"/>
  <c r="Z2064" i="31"/>
  <c r="Z2211" i="31"/>
  <c r="Z3443" i="31"/>
  <c r="Z2150" i="31"/>
  <c r="Z2010" i="31"/>
  <c r="Z937" i="31"/>
  <c r="Z105" i="31"/>
  <c r="Z863" i="31"/>
  <c r="Z2539" i="31"/>
  <c r="Z2336" i="31"/>
  <c r="Z1930" i="31"/>
  <c r="Z2308" i="31"/>
  <c r="Z2700" i="31"/>
  <c r="Z2732" i="31"/>
  <c r="Z1870" i="31"/>
  <c r="Z3035" i="31"/>
  <c r="Z3298" i="31"/>
  <c r="Z1499" i="31"/>
  <c r="Z2479" i="31"/>
  <c r="Z1225" i="31"/>
  <c r="Z822" i="31"/>
  <c r="Z3426" i="31"/>
  <c r="Z1320" i="31"/>
  <c r="Z2226" i="31"/>
  <c r="Z2550" i="31"/>
  <c r="Z508" i="31"/>
  <c r="Z1492" i="31"/>
  <c r="Z472" i="31"/>
  <c r="Z1471" i="31"/>
  <c r="Z1212" i="31"/>
  <c r="Z3257" i="31"/>
  <c r="Z2163" i="31"/>
  <c r="Z2519" i="31"/>
  <c r="Z2287" i="31"/>
  <c r="Z2807" i="31"/>
  <c r="Z2206" i="31"/>
  <c r="Z2344" i="31"/>
  <c r="Z2500" i="31"/>
  <c r="Z1226" i="31"/>
  <c r="Z597" i="31"/>
  <c r="Z3293" i="31"/>
  <c r="Z499" i="31"/>
  <c r="Z1488" i="31"/>
  <c r="Z3463" i="31"/>
  <c r="Z2779" i="31"/>
  <c r="Z188" i="31"/>
  <c r="Z1606" i="31"/>
  <c r="Z1574" i="31"/>
  <c r="Z152" i="31"/>
  <c r="Z1270" i="31"/>
  <c r="Z2650" i="31"/>
  <c r="Z1662" i="31"/>
  <c r="Z3009" i="31"/>
  <c r="Z621" i="31"/>
  <c r="Z3520" i="31"/>
  <c r="Z2945" i="31"/>
  <c r="Z2704" i="31"/>
  <c r="Z1491" i="31"/>
  <c r="Z212" i="31"/>
  <c r="Z1835" i="31"/>
  <c r="Z944" i="31"/>
  <c r="Z2136" i="31"/>
  <c r="Z537" i="31"/>
  <c r="Z1954" i="31"/>
  <c r="Z751" i="31"/>
  <c r="Z1657" i="31"/>
  <c r="Z2586" i="31"/>
  <c r="Z3065" i="31"/>
  <c r="Z2992" i="31"/>
  <c r="Z3348" i="31"/>
  <c r="Z280" i="31"/>
  <c r="Z1608" i="31"/>
  <c r="Z3387" i="31"/>
  <c r="Z2320" i="31"/>
  <c r="Z2325" i="31"/>
  <c r="Z107" i="31"/>
  <c r="Z1756" i="31"/>
  <c r="Z248" i="31"/>
  <c r="Z2583" i="31"/>
  <c r="Z2067" i="31"/>
  <c r="Z1594" i="31"/>
  <c r="Z1472" i="31"/>
  <c r="Z2230" i="31"/>
  <c r="Z1723" i="31"/>
  <c r="Z3483" i="31"/>
  <c r="Z1168" i="31"/>
  <c r="Z2570" i="31"/>
  <c r="Z1553" i="31"/>
  <c r="Z672" i="31"/>
  <c r="Z1963" i="31"/>
  <c r="Z2078" i="31"/>
  <c r="Z3491" i="31"/>
  <c r="Z3382" i="31"/>
  <c r="Z2144" i="31"/>
  <c r="Z330" i="31"/>
  <c r="Z191" i="31"/>
  <c r="Z1946" i="31"/>
  <c r="Z1967" i="31"/>
  <c r="Z3161" i="31"/>
  <c r="Z497" i="31"/>
  <c r="Z844" i="31"/>
  <c r="Z988" i="31"/>
  <c r="Z2647" i="31"/>
  <c r="Z2372" i="31"/>
  <c r="Z1864" i="31"/>
  <c r="Z1328" i="31"/>
  <c r="Z3415" i="31"/>
  <c r="Z1391" i="31"/>
  <c r="Z566" i="31"/>
  <c r="Z849" i="31"/>
  <c r="Z3053" i="31"/>
  <c r="Z1687" i="31"/>
  <c r="Z2166" i="31"/>
  <c r="Z2153" i="31"/>
  <c r="Z2826" i="31"/>
  <c r="Z2829" i="31"/>
  <c r="Z3244" i="31"/>
  <c r="Z518" i="31"/>
  <c r="Z2821" i="31"/>
  <c r="Z2559" i="31"/>
  <c r="Z2560" i="31"/>
  <c r="Z1643" i="31"/>
  <c r="Z688" i="31"/>
  <c r="Z3105" i="31"/>
  <c r="Z3007" i="31"/>
  <c r="Z862" i="31"/>
  <c r="Z1342" i="31"/>
  <c r="Z2125" i="31"/>
  <c r="Z973" i="31"/>
  <c r="Z3169" i="31"/>
  <c r="Z343" i="31"/>
  <c r="Z1712" i="31"/>
  <c r="Z1229" i="31"/>
  <c r="Z2190" i="31"/>
  <c r="Z3362" i="31"/>
  <c r="Z2673" i="31"/>
  <c r="Z3269" i="31"/>
  <c r="Z265" i="31"/>
  <c r="Z921" i="31"/>
  <c r="Z1293" i="31"/>
  <c r="Z2238" i="31"/>
  <c r="Z682" i="31"/>
  <c r="Z2021" i="31"/>
  <c r="Z1721" i="31"/>
  <c r="Z1731" i="31"/>
  <c r="Z923" i="31"/>
  <c r="Z2808" i="31"/>
  <c r="Z1319" i="31"/>
  <c r="Z2777" i="31"/>
  <c r="Z3305" i="31"/>
  <c r="Z2379" i="31"/>
  <c r="Z354" i="31"/>
  <c r="Z1351" i="31"/>
  <c r="Z3250" i="31"/>
  <c r="Z407" i="31"/>
  <c r="Z3290" i="31"/>
  <c r="Z3241" i="31"/>
  <c r="Z2152" i="31"/>
  <c r="Z2032" i="31"/>
  <c r="Z2285" i="31"/>
  <c r="Z1623" i="31"/>
  <c r="Z2247" i="31"/>
  <c r="Z888" i="31"/>
  <c r="Z1196" i="31"/>
  <c r="Z3029" i="31"/>
  <c r="Z2774" i="31"/>
  <c r="Z2681" i="31"/>
  <c r="Z3270" i="31"/>
  <c r="Z1245" i="31"/>
  <c r="Z1326" i="31"/>
  <c r="Z3100" i="31"/>
  <c r="Z2015" i="31"/>
  <c r="Z3248" i="31"/>
  <c r="Z3043" i="31"/>
  <c r="Z3379" i="31"/>
  <c r="Z3215" i="31"/>
  <c r="Z3213" i="31"/>
  <c r="Z1781" i="31"/>
  <c r="Z1675" i="31"/>
  <c r="Z3454" i="31"/>
  <c r="Z1148" i="31"/>
  <c r="Z3076" i="31"/>
  <c r="Z160" i="31"/>
  <c r="Z1816" i="31"/>
  <c r="Z3060" i="31"/>
  <c r="Z2170" i="31"/>
  <c r="Z2147" i="31"/>
  <c r="Z1486" i="31"/>
  <c r="Z71" i="31"/>
  <c r="Z449" i="31"/>
  <c r="Z894" i="31"/>
  <c r="Z2764" i="31"/>
  <c r="Z2031" i="31"/>
  <c r="Z767" i="31"/>
  <c r="Z1949" i="31"/>
  <c r="Z902" i="31"/>
  <c r="Z1015" i="31"/>
  <c r="Z2685" i="31"/>
  <c r="Z3275" i="31"/>
  <c r="Z1548" i="31"/>
  <c r="Z742" i="31"/>
  <c r="Z2940" i="31"/>
  <c r="Z3018" i="31"/>
  <c r="Z821" i="31"/>
  <c r="Z482" i="31"/>
  <c r="Z366" i="31"/>
  <c r="Z875" i="31"/>
  <c r="Z1503" i="31"/>
  <c r="Z3468" i="31"/>
  <c r="Z2897" i="31"/>
  <c r="Z2415" i="31"/>
  <c r="Z619" i="31"/>
  <c r="Z229" i="31"/>
  <c r="Z3251" i="31"/>
  <c r="Z3214" i="31"/>
  <c r="Z1585" i="31"/>
  <c r="Z52" i="31"/>
  <c r="Z1025" i="31"/>
  <c r="Z3399" i="31"/>
  <c r="Z814" i="31"/>
  <c r="Z2242" i="31"/>
  <c r="Z1386" i="31"/>
  <c r="Z2429" i="31"/>
  <c r="Z637" i="31"/>
  <c r="Z2338" i="31"/>
  <c r="Z2577" i="31"/>
  <c r="Z1374" i="31"/>
  <c r="Z1259" i="31"/>
  <c r="Z2440" i="31"/>
  <c r="Z2406" i="31"/>
  <c r="Z308" i="31"/>
  <c r="Z1301" i="31"/>
  <c r="Z205" i="31"/>
  <c r="Z2621" i="31"/>
  <c r="Z224" i="31"/>
  <c r="Z286" i="31"/>
  <c r="Z3040" i="31"/>
  <c r="Z2194" i="31"/>
  <c r="Z3398" i="31"/>
  <c r="Z3145" i="31"/>
  <c r="Z582" i="31"/>
  <c r="Z1826" i="31"/>
  <c r="Z213" i="31"/>
  <c r="Z3152" i="31"/>
  <c r="Z808" i="31"/>
  <c r="Z2050" i="31"/>
  <c r="Z1692" i="31"/>
  <c r="Z2626" i="31"/>
  <c r="Z80" i="31"/>
  <c r="Z2181" i="31"/>
  <c r="Z681" i="31"/>
  <c r="Z1089" i="31"/>
  <c r="Z179" i="31"/>
  <c r="Z532" i="31"/>
  <c r="Z1400" i="31"/>
  <c r="Z2757" i="31"/>
  <c r="Z3313" i="31"/>
  <c r="Z433" i="31"/>
  <c r="Z2739" i="31"/>
  <c r="Z63" i="31"/>
  <c r="Z3447" i="31"/>
  <c r="Z1073" i="31"/>
  <c r="Z2864" i="31"/>
  <c r="Z396" i="31"/>
  <c r="Z1217" i="31"/>
  <c r="Z2393" i="31"/>
  <c r="Z227" i="31"/>
  <c r="Z3095" i="31"/>
  <c r="Z1646" i="31"/>
  <c r="Z548" i="31"/>
  <c r="Z746" i="31"/>
  <c r="Z2414" i="31"/>
  <c r="Z1679" i="31"/>
  <c r="Z946" i="31"/>
  <c r="Z658" i="31"/>
  <c r="Z2651" i="31"/>
  <c r="Z3263" i="31"/>
  <c r="Z889" i="31"/>
  <c r="Z493" i="31"/>
  <c r="Z776" i="31"/>
  <c r="Z51" i="31"/>
  <c r="Z88" i="31"/>
  <c r="Z2127" i="31"/>
  <c r="Z2641" i="31"/>
  <c r="Z185" i="31"/>
  <c r="Z3025" i="31"/>
  <c r="Z2587" i="31"/>
  <c r="Z2447" i="31"/>
  <c r="Z1519" i="31"/>
  <c r="Z234" i="31"/>
  <c r="Z2321" i="31"/>
  <c r="Z1392" i="31"/>
  <c r="Z1169" i="31"/>
  <c r="Z3233" i="31"/>
  <c r="Z897" i="31"/>
  <c r="Z1764" i="31"/>
  <c r="Z572" i="31"/>
  <c r="Z2652" i="31"/>
  <c r="Z93" i="31"/>
  <c r="Z712" i="31"/>
  <c r="Z110" i="31"/>
  <c r="Z1455" i="31"/>
  <c r="Z1531" i="31"/>
  <c r="Z3016" i="31"/>
  <c r="Z1787" i="31"/>
  <c r="Z300" i="31"/>
  <c r="Z1476" i="31"/>
  <c r="Z1331" i="31"/>
  <c r="Z2507" i="31"/>
  <c r="Z635" i="31"/>
  <c r="Z1888" i="31"/>
  <c r="Z2865" i="31"/>
  <c r="Z1234" i="31"/>
  <c r="Z1214" i="31"/>
  <c r="Z579" i="31"/>
  <c r="Z2588" i="31"/>
  <c r="Z3219" i="31"/>
  <c r="Z3259" i="31"/>
  <c r="Z134" i="31"/>
  <c r="Z1959" i="31"/>
  <c r="Z2985" i="31"/>
  <c r="Z3419" i="31"/>
  <c r="Z236" i="31"/>
  <c r="Z492" i="31"/>
  <c r="Z655" i="31"/>
  <c r="Z1340" i="31"/>
  <c r="Z607" i="31"/>
  <c r="Z1892" i="31"/>
  <c r="Z3441" i="31"/>
  <c r="Z2907" i="31"/>
  <c r="Z468" i="31"/>
  <c r="Z1408" i="31"/>
  <c r="Z11" i="31"/>
  <c r="Z128" i="31"/>
  <c r="Z133" i="31"/>
  <c r="Z412" i="31"/>
  <c r="Z2502" i="31"/>
  <c r="Z3048" i="31"/>
  <c r="Z1131" i="31"/>
  <c r="Z1208" i="31"/>
  <c r="Z1937" i="31"/>
  <c r="Z3028" i="31"/>
  <c r="Z2008" i="31"/>
  <c r="Z3094" i="31"/>
  <c r="Z1523" i="31"/>
  <c r="Z3178" i="31"/>
  <c r="Z2005" i="31"/>
  <c r="Z3139" i="31"/>
  <c r="Z2620" i="31"/>
  <c r="Z3346" i="31"/>
  <c r="Z1263" i="31"/>
  <c r="Z2802" i="31"/>
  <c r="Z931" i="31"/>
  <c r="Z939" i="31"/>
  <c r="Z3321" i="31"/>
  <c r="Z2709" i="31"/>
  <c r="Z394" i="31"/>
  <c r="Z905" i="31"/>
  <c r="Z104" i="31"/>
  <c r="Z92" i="31"/>
  <c r="Z2356" i="31"/>
  <c r="Z1483" i="31"/>
  <c r="Z1665" i="31"/>
  <c r="Z2941" i="31"/>
  <c r="Z1246" i="31"/>
  <c r="Z1978" i="31"/>
  <c r="Z1527" i="31"/>
  <c r="Z1966" i="31"/>
  <c r="Z2706" i="31"/>
  <c r="Z397" i="31"/>
  <c r="Z2794" i="31"/>
  <c r="Z2455" i="31"/>
  <c r="Z3311" i="31"/>
  <c r="Z2390" i="31"/>
  <c r="Z2924" i="31"/>
  <c r="Z3092" i="31"/>
  <c r="Z295" i="31"/>
  <c r="Z3032" i="31"/>
  <c r="Z764" i="31"/>
  <c r="Z612" i="31"/>
  <c r="Z2954" i="31"/>
  <c r="Z1157" i="31"/>
  <c r="Z815" i="31"/>
  <c r="Z2480" i="31"/>
  <c r="Z938" i="31"/>
  <c r="Z3089" i="31"/>
  <c r="Z1369" i="31"/>
  <c r="Z72" i="31"/>
  <c r="Z3189" i="31"/>
  <c r="Z745" i="31"/>
  <c r="Z2350" i="31"/>
  <c r="Z2666" i="31"/>
  <c r="Z3445" i="31"/>
  <c r="Z1440" i="31"/>
  <c r="Z1749" i="31"/>
  <c r="Z3460" i="31"/>
  <c r="Z3438" i="31"/>
  <c r="Z1988" i="31"/>
  <c r="Z1619" i="31"/>
  <c r="Z2938" i="31"/>
  <c r="Z2023" i="31"/>
  <c r="Z3472" i="31"/>
  <c r="Z762" i="31"/>
  <c r="Z2862" i="31"/>
  <c r="Z3343" i="31"/>
  <c r="Z363" i="31"/>
  <c r="Z2927" i="31"/>
  <c r="Z865" i="31"/>
  <c r="Z323" i="31"/>
  <c r="Z1166" i="31"/>
  <c r="Z2703" i="31"/>
  <c r="Z504" i="31"/>
  <c r="Z1141" i="31"/>
  <c r="Z949" i="31"/>
  <c r="Z2063" i="31"/>
  <c r="Z2697" i="31"/>
  <c r="Z2428" i="31"/>
  <c r="Z3014" i="31"/>
  <c r="Z122" i="31"/>
  <c r="Z2843" i="31"/>
  <c r="Z1332" i="31"/>
  <c r="Z1616" i="31"/>
  <c r="Z2845" i="31"/>
  <c r="Z1589" i="31"/>
  <c r="Z1053" i="31"/>
  <c r="Z2517" i="31"/>
  <c r="Z1980" i="31"/>
  <c r="Z1962" i="31"/>
  <c r="Z3482" i="31"/>
  <c r="Z1909" i="31"/>
  <c r="Z1457" i="31"/>
  <c r="Z3265" i="31"/>
  <c r="Z459" i="31"/>
  <c r="Z1481" i="31"/>
  <c r="Z554" i="31"/>
  <c r="Z237" i="31"/>
  <c r="Z1273" i="31"/>
  <c r="Z996" i="31"/>
  <c r="Z2655" i="31"/>
  <c r="Z3278" i="31"/>
  <c r="Z341" i="31"/>
  <c r="Z669" i="31"/>
  <c r="Z3045" i="31"/>
  <c r="Z2134" i="31"/>
  <c r="Z583" i="31"/>
  <c r="Z2098" i="31"/>
  <c r="Z1324" i="31"/>
  <c r="Z3154" i="31"/>
  <c r="Z2126" i="31"/>
  <c r="Z3304" i="31"/>
  <c r="Z2430" i="31"/>
  <c r="Z500" i="31"/>
  <c r="Z1145" i="31"/>
  <c r="Z2345" i="31"/>
  <c r="Z2416" i="31"/>
  <c r="Z249" i="31"/>
  <c r="Z869" i="31"/>
  <c r="Z975" i="31"/>
  <c r="Z3521" i="31"/>
  <c r="Z1292" i="31"/>
  <c r="Z917" i="31"/>
  <c r="Z109" i="31"/>
  <c r="Z2608" i="31"/>
  <c r="Z2814" i="31"/>
  <c r="Z1611" i="31"/>
  <c r="Z769" i="31"/>
  <c r="Z1165" i="31"/>
  <c r="Z2756" i="31"/>
  <c r="Z478" i="31"/>
  <c r="Z2783" i="31"/>
  <c r="Z3324" i="31"/>
  <c r="Z17" i="31"/>
  <c r="Z704" i="31"/>
  <c r="Z2317" i="31"/>
  <c r="Z2316" i="31"/>
  <c r="Z2039" i="31"/>
  <c r="Z1033" i="31"/>
  <c r="Z961" i="31"/>
  <c r="Z480" i="31"/>
  <c r="Z1003" i="31"/>
  <c r="Z253" i="31"/>
  <c r="Z79" i="31"/>
  <c r="Z255" i="31"/>
  <c r="Z2313" i="31"/>
  <c r="Z222" i="31"/>
  <c r="Z2413" i="31"/>
  <c r="Z2200" i="31"/>
  <c r="Z2383" i="31"/>
  <c r="Z2701" i="31"/>
  <c r="Z3124" i="31"/>
  <c r="Z275" i="31"/>
  <c r="Z550" i="31"/>
  <c r="Z1672" i="31"/>
  <c r="Z2603" i="31"/>
  <c r="Z2400" i="31"/>
  <c r="Z1813" i="31"/>
  <c r="Z158" i="31"/>
  <c r="Z210" i="31"/>
  <c r="Z3502" i="31"/>
  <c r="Z1247" i="31"/>
  <c r="Z1039" i="31"/>
  <c r="Z1078" i="31"/>
  <c r="Z1513" i="31"/>
  <c r="Z1537" i="31"/>
  <c r="Z1065" i="31"/>
  <c r="Z1152" i="31"/>
  <c r="Z1797" i="31"/>
  <c r="Z1563" i="31"/>
  <c r="Z1769" i="31"/>
  <c r="Z1507" i="31"/>
  <c r="Z2601" i="31"/>
  <c r="Z1887" i="31"/>
  <c r="Z3192" i="31"/>
  <c r="Z54" i="31"/>
  <c r="Z2730" i="31"/>
  <c r="Z1572" i="31"/>
  <c r="Z1012" i="31"/>
  <c r="Z2449" i="31"/>
  <c r="Z1734" i="31"/>
  <c r="Z2232" i="31"/>
  <c r="Z620" i="31"/>
  <c r="Z3542" i="31"/>
  <c r="Z2878" i="31"/>
  <c r="Z3175" i="31"/>
  <c r="Z1617" i="31"/>
  <c r="Z1983" i="31"/>
  <c r="Z259" i="31"/>
  <c r="Z3134" i="31"/>
  <c r="Z1579" i="31"/>
  <c r="Z339" i="31"/>
  <c r="Z312" i="31"/>
  <c r="Z146" i="31"/>
  <c r="Z1902" i="31"/>
  <c r="Z642" i="31"/>
  <c r="Z2497" i="31"/>
  <c r="Z2129" i="31"/>
  <c r="Z1669" i="31"/>
  <c r="Z57" i="31"/>
  <c r="Z1578" i="31"/>
  <c r="Z2528" i="31"/>
  <c r="Z2901" i="31"/>
  <c r="Z2800" i="31"/>
  <c r="Z2523" i="31"/>
  <c r="Z3005" i="31"/>
  <c r="Z2093" i="31"/>
  <c r="Z481" i="31"/>
  <c r="Z525" i="31"/>
  <c r="Z2742" i="31"/>
  <c r="Z2715" i="31"/>
  <c r="Z823" i="31"/>
  <c r="Z993" i="31"/>
  <c r="Z2396" i="31"/>
  <c r="Z1821" i="31"/>
  <c r="Z958" i="31"/>
  <c r="Z2947" i="31"/>
  <c r="Z2445" i="31"/>
  <c r="Z632" i="31"/>
  <c r="Z1401" i="31"/>
  <c r="Z3397" i="31"/>
  <c r="Z1676" i="31"/>
  <c r="Z3292" i="31"/>
  <c r="Z1684" i="31"/>
  <c r="Z2851" i="31"/>
  <c r="Z1658" i="31"/>
  <c r="Z204" i="31"/>
  <c r="Z3316" i="31"/>
  <c r="Z551" i="31"/>
  <c r="Z2804" i="31"/>
  <c r="Z1288" i="31"/>
  <c r="Z2314" i="31"/>
  <c r="Z966" i="31"/>
  <c r="Z1042" i="31"/>
  <c r="Z3323" i="31"/>
  <c r="Z3528" i="31"/>
  <c r="Z2431" i="31"/>
  <c r="Z3425" i="31"/>
  <c r="Z680" i="31"/>
  <c r="Z1178" i="31"/>
  <c r="Z3164" i="31"/>
  <c r="Z2995" i="31"/>
  <c r="Z2205" i="31"/>
  <c r="Z2426" i="31"/>
  <c r="Z713" i="31"/>
  <c r="Z545" i="31"/>
  <c r="Z1649" i="31"/>
  <c r="Z223" i="31"/>
  <c r="Z852" i="31"/>
  <c r="Z586" i="31"/>
  <c r="Z1550" i="31"/>
  <c r="Z186" i="31"/>
  <c r="Z174" i="31"/>
  <c r="Z979" i="31"/>
  <c r="Z1016" i="31"/>
  <c r="Z1852" i="31"/>
  <c r="Z3039" i="31"/>
  <c r="Z990" i="31"/>
  <c r="Z1981" i="31"/>
  <c r="Z2231" i="31"/>
  <c r="Z1194" i="31"/>
  <c r="Z1990" i="31"/>
  <c r="Z31" i="31"/>
  <c r="Z3146" i="31"/>
  <c r="Z3206" i="31"/>
  <c r="Z2760" i="31"/>
  <c r="Z2576" i="31"/>
  <c r="Z2370" i="31"/>
  <c r="Z640" i="31"/>
  <c r="Z1558" i="31"/>
  <c r="Z3461" i="31"/>
  <c r="Z1082" i="31"/>
  <c r="Z1095" i="31"/>
  <c r="Z385" i="31"/>
  <c r="Z272" i="31"/>
  <c r="Z1339" i="31"/>
  <c r="Z780" i="31"/>
  <c r="Z2967" i="31"/>
  <c r="Z2988" i="31"/>
  <c r="Z2584" i="31"/>
  <c r="Z2107" i="31"/>
  <c r="Z709" i="31"/>
  <c r="Z3319" i="31"/>
  <c r="Z2029" i="31"/>
  <c r="Z997" i="31"/>
  <c r="Z3410" i="31"/>
  <c r="Z159" i="31"/>
  <c r="Z2137" i="31"/>
  <c r="Z3452" i="31"/>
  <c r="Z629" i="31"/>
  <c r="Z1580" i="31"/>
  <c r="Z1272" i="31"/>
  <c r="Z2387" i="31"/>
  <c r="Z2114" i="31"/>
  <c r="Z136" i="31"/>
  <c r="Z954" i="31"/>
  <c r="Z2917" i="31"/>
  <c r="Z3288" i="31"/>
  <c r="Z3066" i="31"/>
  <c r="Z1774" i="31"/>
  <c r="Z1279" i="31"/>
  <c r="Z3505" i="31"/>
  <c r="Z2077" i="31"/>
  <c r="Z285" i="31"/>
  <c r="Z430" i="31"/>
  <c r="Z1725" i="31"/>
  <c r="Z2735" i="31"/>
  <c r="Z2542" i="31"/>
  <c r="Z1330" i="31"/>
  <c r="Z2394" i="31"/>
  <c r="Z2420" i="31"/>
  <c r="Z2529" i="31"/>
  <c r="Z2141" i="31"/>
  <c r="Z662" i="31"/>
  <c r="Z65" i="31"/>
  <c r="Z2131" i="31"/>
  <c r="Z2327" i="31"/>
  <c r="Z1807" i="31"/>
  <c r="Z1045" i="31"/>
  <c r="Z2006" i="31"/>
  <c r="Z149" i="31"/>
  <c r="Z1964" i="31"/>
  <c r="Z1007" i="31"/>
  <c r="Z694" i="31"/>
  <c r="Z1405" i="31"/>
  <c r="Z2573" i="31"/>
  <c r="Z2377" i="31"/>
  <c r="Z232" i="31"/>
  <c r="Z2367" i="31"/>
  <c r="Z761" i="31"/>
  <c r="Z1654" i="31"/>
  <c r="Z3119" i="31"/>
  <c r="Z2676" i="31"/>
  <c r="Z2904" i="31"/>
  <c r="Z1283" i="31"/>
  <c r="Z715" i="31"/>
  <c r="Z111" i="31"/>
  <c r="Z1651" i="31"/>
  <c r="Z1638" i="31"/>
  <c r="Z2389" i="31"/>
  <c r="Z2003" i="31"/>
  <c r="Z319" i="31"/>
  <c r="Z3412" i="31"/>
  <c r="Z1804" i="31"/>
  <c r="Z1061" i="31"/>
  <c r="Z2382" i="31"/>
  <c r="Z2895" i="31"/>
  <c r="Z1432" i="31"/>
  <c r="Z2011" i="31"/>
  <c r="Z1316" i="31"/>
  <c r="Z3012" i="31"/>
  <c r="Z2690" i="31"/>
  <c r="Z2060" i="31"/>
  <c r="Z1706" i="31"/>
  <c r="Z892" i="31"/>
  <c r="Z214" i="31"/>
  <c r="Z524" i="31"/>
  <c r="Z1943" i="31"/>
  <c r="Z3473" i="31"/>
  <c r="Z166" i="31"/>
  <c r="Z2403" i="31"/>
  <c r="Z3300" i="31"/>
  <c r="Z723" i="31"/>
  <c r="Z2083" i="31"/>
  <c r="Z1116" i="31"/>
  <c r="Z2349" i="31"/>
  <c r="Z418" i="31"/>
  <c r="Z2711" i="31"/>
  <c r="Z2636" i="31"/>
  <c r="Z3238" i="31"/>
  <c r="Z2935" i="31"/>
  <c r="Z1403" i="31"/>
  <c r="Z2968" i="31"/>
  <c r="Z2358" i="31"/>
  <c r="Z3261" i="31"/>
  <c r="Z2273" i="31"/>
  <c r="Z3111" i="31"/>
  <c r="Z703" i="31"/>
  <c r="Z2545" i="31"/>
  <c r="Z2103" i="31"/>
  <c r="Z2694" i="31"/>
  <c r="Z2855" i="31"/>
  <c r="Z871" i="31"/>
  <c r="Z1334" i="31"/>
  <c r="Z3328" i="31"/>
  <c r="Z1108" i="31"/>
  <c r="Z1154" i="31"/>
  <c r="Z2461" i="31"/>
  <c r="Z3393" i="31"/>
  <c r="Z47" i="31"/>
  <c r="Z3495" i="31"/>
  <c r="Z77" i="31"/>
  <c r="Z1994" i="31"/>
  <c r="Z2929" i="31"/>
  <c r="Z882" i="31"/>
  <c r="Z911" i="31"/>
  <c r="Z3503" i="31"/>
  <c r="Z1296" i="31"/>
  <c r="Z1592" i="31"/>
  <c r="Z1710" i="31"/>
  <c r="Z2095" i="31"/>
  <c r="Z217" i="31"/>
  <c r="Z1242" i="31"/>
  <c r="Z3326" i="31"/>
  <c r="Z3055" i="31"/>
  <c r="Z55" i="31"/>
  <c r="Z2624" i="31"/>
  <c r="Z242" i="31"/>
  <c r="Z731" i="31"/>
  <c r="Z1207" i="31"/>
  <c r="Z3150" i="31"/>
  <c r="Z3080" i="31"/>
  <c r="Z3086" i="31"/>
  <c r="Z2281" i="31"/>
  <c r="Z1300" i="31"/>
  <c r="Z2909" i="31"/>
  <c r="Z1060" i="31"/>
  <c r="Z2081" i="31"/>
  <c r="Z3504" i="31"/>
  <c r="Z3315" i="31"/>
  <c r="Z2256" i="31"/>
  <c r="Z260" i="31"/>
  <c r="Z2474" i="31"/>
  <c r="Z322" i="31"/>
  <c r="Z1561" i="31"/>
  <c r="Z3395" i="31"/>
  <c r="Z2913" i="31"/>
  <c r="Z616" i="31"/>
  <c r="Z1788" i="31"/>
  <c r="Z3171" i="31"/>
  <c r="Z273" i="31"/>
  <c r="T47" i="31"/>
  <c r="Z1144" i="31"/>
  <c r="Z3285" i="31"/>
  <c r="Z3515" i="31"/>
  <c r="Z511" i="31"/>
  <c r="Z24" i="31"/>
  <c r="Z832" i="31"/>
  <c r="Z2343" i="31"/>
  <c r="Z56" i="31"/>
  <c r="Z2561" i="31"/>
  <c r="Z3309" i="31"/>
  <c r="Z3487" i="31"/>
  <c r="Z2175" i="31"/>
  <c r="Z3355" i="31"/>
  <c r="Z2766" i="31"/>
  <c r="Z292" i="31"/>
  <c r="Z2322" i="31"/>
  <c r="Z1287" i="31"/>
  <c r="Z2265" i="31"/>
  <c r="Z1112" i="31"/>
  <c r="Z2227" i="31"/>
  <c r="Z3108" i="31"/>
  <c r="Z16" i="31"/>
  <c r="Z1880" i="31"/>
  <c r="Z3237" i="31"/>
  <c r="Z1050" i="31"/>
  <c r="Z348" i="31"/>
  <c r="Z1195" i="31"/>
  <c r="Z3010" i="31"/>
  <c r="Z1197" i="31"/>
  <c r="Z2633" i="31"/>
  <c r="Z1877" i="31"/>
  <c r="Z2689" i="31"/>
  <c r="Z2863" i="31"/>
  <c r="Z1586" i="31"/>
  <c r="Z1867" i="31"/>
  <c r="Z3082" i="31"/>
  <c r="Z1901" i="31"/>
  <c r="Z859" i="31"/>
  <c r="Z914" i="31"/>
  <c r="Z1034" i="31"/>
  <c r="Z96" i="31"/>
  <c r="Z1777" i="31"/>
  <c r="Z3115" i="31"/>
  <c r="Z2663" i="31"/>
  <c r="Z1096" i="31"/>
  <c r="Z2527" i="31"/>
  <c r="Z239" i="31"/>
  <c r="Z42" i="31"/>
  <c r="Z671" i="31"/>
  <c r="Z2258" i="31"/>
  <c r="Z3543" i="31"/>
  <c r="Z2538" i="31"/>
  <c r="Z3308" i="31"/>
  <c r="Z180" i="31"/>
  <c r="Z1694" i="31"/>
  <c r="Z175" i="31"/>
  <c r="Z1275" i="31"/>
  <c r="Z2716" i="31"/>
  <c r="Z283" i="31"/>
  <c r="Z1104" i="31"/>
  <c r="Z329" i="31"/>
  <c r="Z920" i="31"/>
  <c r="Z3361" i="31"/>
  <c r="Z2469" i="31"/>
  <c r="Z1968" i="31"/>
  <c r="Z491" i="31"/>
  <c r="Z3228" i="31"/>
  <c r="Z1600" i="31"/>
  <c r="Z730" i="31"/>
  <c r="Z3334" i="31"/>
  <c r="Z962" i="31"/>
  <c r="Z1055" i="31"/>
  <c r="Z985" i="31"/>
  <c r="Z314" i="31"/>
  <c r="Z2776" i="31"/>
  <c r="Z2791" i="31"/>
  <c r="Z2439" i="31"/>
  <c r="Z1773" i="31"/>
  <c r="Z1261" i="31"/>
  <c r="Z2184" i="31"/>
  <c r="Z2616" i="31"/>
  <c r="Z2216" i="31"/>
  <c r="Z534" i="31"/>
  <c r="Z463" i="31"/>
  <c r="Z3446" i="31"/>
  <c r="Z2019" i="31"/>
  <c r="Z2104" i="31"/>
  <c r="Z1008" i="31"/>
  <c r="Z257" i="31"/>
  <c r="Z2042" i="31"/>
  <c r="Z118" i="31"/>
  <c r="Z100" i="31"/>
  <c r="Z3421" i="31"/>
  <c r="Z1100" i="31"/>
  <c r="Z2937" i="31"/>
  <c r="Z2744" i="31"/>
  <c r="Z1796" i="31"/>
  <c r="Z3303" i="31"/>
  <c r="Z1370" i="31"/>
  <c r="Z2532" i="31"/>
  <c r="Z2466" i="31"/>
  <c r="Z1450" i="31"/>
  <c r="Z3366" i="31"/>
  <c r="Z182" i="31"/>
  <c r="Z915" i="31"/>
  <c r="Z1728" i="31"/>
  <c r="Z469" i="31"/>
  <c r="Z1101" i="31"/>
  <c r="Z483" i="31"/>
  <c r="Z1135" i="31"/>
  <c r="Z1456" i="31"/>
  <c r="Z1222" i="31"/>
  <c r="Z431" i="31"/>
  <c r="Z1727" i="31"/>
  <c r="Z737" i="31"/>
  <c r="Z3221" i="31"/>
  <c r="Z2485" i="31"/>
  <c r="Z2057" i="31"/>
  <c r="Z1856" i="31"/>
  <c r="Z3449" i="31"/>
  <c r="Z3185" i="31"/>
  <c r="Z596" i="31"/>
  <c r="Z781" i="31"/>
  <c r="Z2185" i="31"/>
  <c r="Z584" i="31"/>
  <c r="Z605" i="31"/>
  <c r="Z2087" i="31"/>
  <c r="Z3436" i="31"/>
  <c r="Z2364" i="31"/>
  <c r="Z3422" i="31"/>
  <c r="Z1576" i="31"/>
  <c r="Z311" i="31"/>
  <c r="Z313" i="31"/>
  <c r="Z3337" i="31"/>
  <c r="Z294" i="31"/>
  <c r="Z3027" i="31"/>
  <c r="Z2615" i="31"/>
  <c r="Z1926" i="31"/>
  <c r="Z3209" i="31"/>
  <c r="Z1872" i="31"/>
  <c r="Z1494" i="31"/>
  <c r="Z1430" i="31"/>
  <c r="Z144" i="31"/>
  <c r="Z3384" i="31"/>
  <c r="Z1588" i="31"/>
  <c r="Z2978" i="31"/>
  <c r="Z1854" i="31"/>
  <c r="Z116" i="31"/>
  <c r="Z1407" i="31"/>
  <c r="Z2012" i="31"/>
  <c r="Z1940" i="31"/>
  <c r="Z1540" i="31"/>
  <c r="Z2257" i="31"/>
  <c r="Z1920" i="31"/>
  <c r="Z2642" i="31"/>
  <c r="Z1625" i="31"/>
  <c r="Z49" i="31"/>
  <c r="Z1607" i="31"/>
  <c r="Z522" i="31"/>
  <c r="Z2767" i="31"/>
  <c r="Z384" i="31"/>
  <c r="Z1982" i="31"/>
  <c r="Z1258" i="31"/>
  <c r="Z3084" i="31"/>
  <c r="Z1295" i="31"/>
  <c r="Z3042" i="31"/>
  <c r="Z3518" i="31"/>
  <c r="Z1860" i="31"/>
  <c r="Z2857" i="31"/>
  <c r="Z3401" i="31"/>
  <c r="Z3133" i="31"/>
  <c r="Z957" i="31"/>
  <c r="Z3450" i="31"/>
  <c r="Z2388" i="31"/>
  <c r="Z3494" i="31"/>
  <c r="Z3063" i="31"/>
  <c r="Z2501" i="31"/>
  <c r="Z1593" i="31"/>
  <c r="Z2362" i="31"/>
  <c r="Z357" i="31"/>
  <c r="Z351" i="31"/>
  <c r="Z843" i="31"/>
  <c r="Z2511" i="31"/>
  <c r="Z1544" i="31"/>
  <c r="Z3068" i="31"/>
  <c r="Z2229" i="31"/>
  <c r="Z2160" i="31"/>
  <c r="Z3170" i="31"/>
  <c r="Z2172" i="31"/>
  <c r="Z1973" i="31"/>
  <c r="Z2384" i="31"/>
  <c r="Z3243" i="31"/>
  <c r="Z2617" i="31"/>
  <c r="Z697" i="31"/>
  <c r="Z561" i="31"/>
  <c r="Z130" i="31"/>
  <c r="Z2551" i="31"/>
  <c r="Z2371" i="31"/>
  <c r="Z1801" i="31"/>
  <c r="Z2075" i="31"/>
  <c r="Z43" i="31"/>
  <c r="Z521" i="31"/>
  <c r="Z438" i="31"/>
  <c r="Z577" i="31"/>
  <c r="Z2080" i="31"/>
  <c r="Z1495" i="31"/>
  <c r="Z1794" i="31"/>
  <c r="Z1609" i="31"/>
  <c r="Z2625" i="31"/>
  <c r="Z1067" i="31"/>
  <c r="Z925" i="31"/>
  <c r="Z2956" i="31"/>
  <c r="Z947" i="31"/>
  <c r="Z1163" i="31"/>
  <c r="Z1482" i="31"/>
  <c r="Z1099" i="31"/>
  <c r="Z2841" i="31"/>
  <c r="Z1663" i="31"/>
  <c r="Z310" i="31"/>
  <c r="Z2487" i="31"/>
  <c r="Z390" i="31"/>
  <c r="Z2260" i="31"/>
  <c r="Z2059" i="31"/>
  <c r="Z1365" i="31"/>
  <c r="Z364" i="31"/>
  <c r="Z766" i="31"/>
  <c r="Z2750" i="31"/>
  <c r="Z374" i="31"/>
  <c r="Z1935" i="31"/>
  <c r="Z1812" i="31"/>
  <c r="Z2747" i="31"/>
  <c r="Z3380" i="31"/>
  <c r="Z3004" i="31"/>
  <c r="Z3168" i="31"/>
  <c r="Z775" i="31"/>
  <c r="Z510" i="31"/>
  <c r="Z2874" i="31"/>
  <c r="Z955" i="31"/>
  <c r="Z3008" i="31"/>
  <c r="Z3056" i="31"/>
  <c r="Z2688" i="31"/>
  <c r="Z1077" i="31"/>
  <c r="Z610" i="31"/>
  <c r="Z1530" i="31"/>
  <c r="Z3459" i="31"/>
  <c r="Z3340" i="31"/>
  <c r="Z2696" i="31"/>
  <c r="Z1641" i="31"/>
  <c r="Z1441" i="31"/>
  <c r="Z879" i="31"/>
  <c r="Z2214" i="31"/>
  <c r="Z3121" i="31"/>
  <c r="Z2374" i="31"/>
  <c r="Z1584" i="31"/>
  <c r="Z541" i="31"/>
  <c r="Z980" i="31"/>
  <c r="Z568" i="31"/>
  <c r="Z536" i="31"/>
  <c r="Z3057" i="31"/>
  <c r="Z3047" i="31"/>
  <c r="Z759" i="31"/>
  <c r="Z840" i="31"/>
  <c r="Z1894" i="31"/>
  <c r="Z989" i="31"/>
  <c r="Z2253" i="31"/>
  <c r="Z1754" i="31"/>
  <c r="Z2669" i="31"/>
  <c r="Z262" i="31"/>
  <c r="Z1778" i="31"/>
  <c r="Z503" i="31"/>
  <c r="Z1219" i="31"/>
  <c r="Z1043" i="31"/>
  <c r="Z883" i="31"/>
  <c r="Z15" i="31"/>
  <c r="Z2720" i="31"/>
  <c r="Z560" i="31"/>
  <c r="Z3451" i="31"/>
  <c r="Z2830" i="31"/>
  <c r="Z976" i="31"/>
  <c r="Z2591" i="31"/>
  <c r="Z1620" i="31"/>
  <c r="Z786" i="31"/>
  <c r="Z2326" i="31"/>
  <c r="Z1986" i="31"/>
  <c r="Z301" i="31"/>
  <c r="Z2043" i="31"/>
  <c r="Z3314" i="31"/>
  <c r="Z3226" i="31"/>
  <c r="Z2871" i="31"/>
  <c r="Z85" i="31"/>
  <c r="Z1127" i="31"/>
  <c r="Z2799" i="31"/>
  <c r="Z727" i="31"/>
  <c r="Z1314" i="31"/>
  <c r="Z839" i="31"/>
  <c r="Z1421" i="31"/>
  <c r="Z1743" i="31"/>
  <c r="Z1979" i="31"/>
  <c r="Z1086" i="31"/>
  <c r="Z2723" i="31"/>
  <c r="Z977" i="31"/>
  <c r="Z3264" i="31"/>
  <c r="Z588" i="31"/>
  <c r="Z309" i="31"/>
  <c r="Z1130" i="31"/>
  <c r="Z1129" i="31"/>
  <c r="Z50" i="31"/>
  <c r="Z1280" i="31"/>
  <c r="Z687" i="31"/>
  <c r="Z1933" i="31"/>
  <c r="Z2549" i="31"/>
  <c r="Z2598" i="31"/>
  <c r="Z650" i="31"/>
  <c r="Z2013" i="31"/>
  <c r="Z2070" i="31"/>
  <c r="Z710" i="31"/>
  <c r="Z228" i="31"/>
  <c r="Z1863" i="31"/>
  <c r="Z1673" i="31"/>
  <c r="Z3195" i="31"/>
  <c r="Z2631" i="31"/>
  <c r="Z2654" i="31"/>
  <c r="Z2053" i="31"/>
  <c r="Z3143" i="31"/>
  <c r="Z2828" i="31"/>
  <c r="Z3333" i="31"/>
  <c r="Z1191" i="31"/>
  <c r="Z1363" i="31"/>
  <c r="Z1364" i="31"/>
  <c r="Z2458" i="31"/>
  <c r="Z2288" i="31"/>
  <c r="Z466" i="31"/>
  <c r="Z2030" i="31"/>
  <c r="Z956" i="31"/>
  <c r="Z3064" i="31"/>
  <c r="Z3429" i="31"/>
  <c r="Z2630" i="31"/>
  <c r="Z2275" i="31"/>
  <c r="Z2020" i="31"/>
  <c r="Z3433" i="31"/>
  <c r="Z2970" i="31"/>
  <c r="Z1614" i="31"/>
  <c r="Z1944" i="31"/>
  <c r="Z123" i="31"/>
  <c r="Z880" i="31"/>
  <c r="Z801" i="31"/>
  <c r="Z1765" i="31"/>
  <c r="Z2772" i="31"/>
  <c r="Z3208" i="31"/>
  <c r="Z45" i="31"/>
  <c r="Z1084" i="31"/>
  <c r="Z628" i="31"/>
  <c r="Z3369" i="31"/>
  <c r="Z3277" i="31"/>
  <c r="Z1384" i="31"/>
  <c r="Z2034" i="31"/>
  <c r="Z1426" i="31"/>
  <c r="Z3523" i="31"/>
  <c r="Z1648" i="31"/>
  <c r="Z2822" i="31"/>
  <c r="Z2599" i="31"/>
  <c r="Z2149" i="31"/>
  <c r="Z3388" i="31"/>
  <c r="Z3137" i="31"/>
  <c r="Z2925" i="31"/>
  <c r="Z426" i="31"/>
  <c r="Z1140" i="31"/>
  <c r="Z154" i="31"/>
  <c r="Z2775" i="31"/>
  <c r="Z2707" i="31"/>
  <c r="Z529" i="31"/>
  <c r="Z427" i="31"/>
  <c r="Z2130" i="31"/>
  <c r="Z1800" i="31"/>
  <c r="Z2763" i="31"/>
  <c r="Z1957" i="31"/>
  <c r="Z1766" i="31"/>
  <c r="Z2484" i="31"/>
  <c r="Z3358" i="31"/>
  <c r="Z2233" i="31"/>
  <c r="Z487" i="31"/>
  <c r="Z1838" i="31"/>
  <c r="Z2118" i="31"/>
  <c r="Z2557" i="31"/>
  <c r="Z1952" i="31"/>
  <c r="Z2224" i="31"/>
  <c r="Z1317" i="31"/>
  <c r="Z135" i="31"/>
  <c r="Z2684" i="31"/>
  <c r="Z1772" i="31"/>
  <c r="Z1680" i="31"/>
  <c r="Z1795" i="31"/>
  <c r="Z211" i="31"/>
  <c r="Z230" i="31"/>
  <c r="Z1346" i="31"/>
  <c r="Z1388" i="31"/>
  <c r="Z1771" i="31"/>
  <c r="Z1079" i="31"/>
  <c r="Z2263" i="31"/>
  <c r="Z3490" i="31"/>
  <c r="Z2565" i="31"/>
  <c r="Z2335" i="31"/>
  <c r="Z3363" i="31"/>
  <c r="Z2187" i="31"/>
  <c r="Z2025" i="31"/>
  <c r="Z2976" i="31"/>
  <c r="Z1211" i="31"/>
  <c r="Z733" i="31"/>
  <c r="Z3223" i="31"/>
  <c r="Z1004" i="31"/>
  <c r="Z969" i="31"/>
  <c r="Z2544" i="31"/>
  <c r="Z2424" i="31"/>
  <c r="Z3330" i="31"/>
  <c r="Z2347" i="31"/>
  <c r="Z2481" i="31"/>
  <c r="Z3217" i="31"/>
  <c r="Z1849" i="31"/>
  <c r="Z2188" i="31"/>
  <c r="Z2754" i="31"/>
  <c r="Z2740" i="31"/>
  <c r="Z1075" i="31"/>
  <c r="Z1666" i="31"/>
  <c r="Z3129" i="31"/>
  <c r="Z183" i="31"/>
  <c r="Z1216" i="31"/>
  <c r="Z2953" i="31"/>
  <c r="Z1597" i="31"/>
  <c r="Z964" i="31"/>
  <c r="Z1502" i="31"/>
  <c r="Z444" i="31"/>
  <c r="Z1139" i="31"/>
  <c r="Z21" i="31"/>
  <c r="Z758" i="31"/>
  <c r="Z2470" i="31"/>
  <c r="Z3117" i="31"/>
  <c r="Z2853" i="31"/>
  <c r="Z2169" i="31"/>
  <c r="Z1511" i="31"/>
  <c r="Z1569" i="31"/>
  <c r="Z1950" i="31"/>
  <c r="Z279" i="31"/>
  <c r="Z3524" i="31"/>
  <c r="Z696" i="31"/>
  <c r="Z2883" i="31"/>
  <c r="Z873" i="31"/>
  <c r="Z641" i="31"/>
  <c r="Z2506" i="31"/>
  <c r="Z2983" i="31"/>
  <c r="Z720" i="31"/>
  <c r="Z1719" i="31"/>
  <c r="Z3020" i="31"/>
  <c r="Z369" i="31"/>
  <c r="Z2503" i="31"/>
  <c r="Z755" i="31"/>
  <c r="Z649" i="31"/>
  <c r="Z1848" i="31"/>
  <c r="Z1398" i="31"/>
  <c r="Z461" i="31"/>
  <c r="Z1286" i="31"/>
  <c r="Z2451" i="31"/>
  <c r="Z1951" i="31"/>
  <c r="Z3471" i="31"/>
  <c r="Z2881" i="31"/>
  <c r="Z1989" i="31"/>
  <c r="Z3026" i="31"/>
  <c r="Z2889" i="31"/>
  <c r="Z1554" i="31"/>
  <c r="Z3104" i="31"/>
  <c r="Z885" i="31"/>
  <c r="Z864" i="31"/>
  <c r="Z447" i="31"/>
  <c r="Z2220" i="31"/>
  <c r="Z724" i="31"/>
  <c r="Z2683" i="31"/>
  <c r="Z884" i="31"/>
  <c r="Z78" i="31"/>
  <c r="Z790" i="31"/>
  <c r="Z3024" i="31"/>
  <c r="Z153" i="31"/>
  <c r="Z2867" i="31"/>
  <c r="Z2472" i="31"/>
  <c r="Z1941" i="31"/>
  <c r="Z1092" i="31"/>
  <c r="Z2296" i="31"/>
  <c r="Z2932" i="31"/>
  <c r="Z1325" i="31"/>
  <c r="Z3287" i="31"/>
  <c r="Z1761" i="31"/>
  <c r="Z3097" i="31"/>
  <c r="Z855" i="31"/>
  <c r="Z3204" i="31"/>
  <c r="Z1696" i="31"/>
  <c r="Z465" i="31"/>
  <c r="Z1205" i="31"/>
  <c r="Z1759" i="31"/>
  <c r="Z692" i="31"/>
  <c r="Z1002" i="31"/>
  <c r="Z377" i="31"/>
  <c r="Z1184" i="31"/>
  <c r="Z58" i="31"/>
  <c r="Z1447" i="31"/>
  <c r="Z3329" i="31"/>
  <c r="Z2725" i="31"/>
  <c r="Z3235" i="31"/>
  <c r="Z2392" i="31"/>
  <c r="Z1829" i="31"/>
  <c r="Z1532" i="31"/>
  <c r="Z867" i="31"/>
  <c r="Z1118" i="31"/>
  <c r="Z952" i="31"/>
  <c r="Z600" i="31"/>
  <c r="Z3218" i="31"/>
  <c r="Z3203" i="31"/>
  <c r="Z1146" i="31"/>
  <c r="Z3389" i="31"/>
  <c r="Z2965" i="31"/>
  <c r="Z1972" i="31"/>
  <c r="Z2133" i="31"/>
  <c r="Z3439" i="31"/>
  <c r="Z25" i="31"/>
  <c r="Z1803" i="31"/>
  <c r="Z2146" i="31"/>
  <c r="Z2581" i="31"/>
  <c r="Z3489" i="31"/>
  <c r="Z2421" i="31"/>
  <c r="Z291" i="31"/>
  <c r="Z2071" i="31"/>
  <c r="Z3536" i="31"/>
  <c r="Z3516" i="31"/>
  <c r="Z1627" i="31"/>
  <c r="Z2198" i="31"/>
  <c r="Z161" i="31"/>
  <c r="Z1573" i="31"/>
  <c r="Z2066" i="31"/>
  <c r="Z3085" i="31"/>
  <c r="Z1396" i="31"/>
  <c r="Z3462" i="31"/>
  <c r="Z1473" i="31"/>
  <c r="Z3418" i="31"/>
  <c r="Z1230" i="31"/>
  <c r="Z1970" i="31"/>
  <c r="Z1767" i="31"/>
  <c r="Z2991" i="31"/>
  <c r="Z1895" i="31"/>
  <c r="Z1564" i="31"/>
  <c r="Z1155" i="31"/>
  <c r="Z3498" i="31"/>
  <c r="Z1647" i="31"/>
  <c r="Z651" i="31"/>
  <c r="Z2106" i="31"/>
  <c r="Z1827" i="31"/>
  <c r="Z2007" i="31"/>
  <c r="Z804" i="31"/>
  <c r="Z2101" i="31"/>
  <c r="Z206" i="31"/>
  <c r="Z868" i="31"/>
  <c r="Z2037" i="31"/>
  <c r="Z1922" i="31"/>
  <c r="Z345" i="31"/>
  <c r="Z611" i="31"/>
  <c r="Z664" i="31"/>
  <c r="Z2262" i="31"/>
  <c r="Z2752" i="31"/>
  <c r="Z1919" i="31"/>
  <c r="Z1181" i="31"/>
  <c r="Z1410" i="31"/>
  <c r="Z933" i="31"/>
  <c r="Z2504" i="31"/>
  <c r="Z2753" i="31"/>
  <c r="Z1416" i="31"/>
  <c r="Z3197" i="31"/>
  <c r="Z886" i="31"/>
  <c r="Z1343" i="31"/>
  <c r="Z793" i="31"/>
  <c r="Z304" i="31"/>
  <c r="Z2658" i="31"/>
  <c r="Z1846" i="31"/>
  <c r="Z2622" i="31"/>
  <c r="Z788" i="31"/>
  <c r="Z668" i="31"/>
  <c r="Z1315" i="31"/>
  <c r="Z2302" i="31"/>
  <c r="Z3021" i="31"/>
  <c r="Z1881" i="31"/>
  <c r="Z2833" i="31"/>
  <c r="Z1206" i="31"/>
  <c r="Z1074" i="31"/>
  <c r="Z1984" i="31"/>
  <c r="Z2657" i="31"/>
  <c r="Z1233" i="31"/>
  <c r="Z2456" i="31"/>
  <c r="Z1038" i="31"/>
  <c r="Z693" i="31"/>
  <c r="Z765" i="31"/>
  <c r="Z1088" i="31"/>
  <c r="Z1996" i="31"/>
  <c r="Z1260" i="31"/>
  <c r="Z2208" i="31"/>
  <c r="Z2755" i="31"/>
  <c r="Z137" i="31"/>
  <c r="Z565" i="31"/>
  <c r="Z3477" i="31"/>
  <c r="Z2442" i="31"/>
  <c r="Z2801" i="31"/>
  <c r="Z516" i="31"/>
  <c r="Z2074" i="31"/>
  <c r="Z3486" i="31"/>
  <c r="Z1429" i="31"/>
  <c r="Z317" i="31"/>
  <c r="Z1366" i="31"/>
  <c r="Z2955" i="31"/>
  <c r="Z326" i="31"/>
  <c r="Z380" i="31"/>
  <c r="Z1939" i="31"/>
  <c r="Z3312" i="31"/>
  <c r="Z240" i="31"/>
  <c r="Z2157" i="31"/>
  <c r="Z1605" i="31"/>
  <c r="Z2274" i="31"/>
  <c r="Z3510" i="31"/>
  <c r="Z3256" i="31"/>
  <c r="Z2272" i="31"/>
  <c r="Z2796" i="31"/>
  <c r="Z2919" i="31"/>
  <c r="Z1776" i="31"/>
  <c r="Z2761" i="31"/>
  <c r="Z2251" i="31"/>
  <c r="Z3222" i="31"/>
  <c r="Z13" i="31"/>
  <c r="Z2434" i="31"/>
  <c r="Z1209" i="31"/>
  <c r="Z2768" i="31"/>
  <c r="Z811" i="31"/>
  <c r="Z2934" i="31"/>
  <c r="Z2698" i="31"/>
  <c r="Z1851" i="31"/>
  <c r="Z1998" i="31"/>
  <c r="Z2522" i="31"/>
  <c r="Z2880" i="31"/>
  <c r="Z1005" i="31"/>
  <c r="Z2490" i="31"/>
  <c r="Z872" i="31"/>
  <c r="Z3345" i="31"/>
  <c r="Z1929" i="31"/>
  <c r="Z95" i="31"/>
  <c r="Z3193" i="31"/>
  <c r="Z2339" i="31"/>
  <c r="Z3411" i="31"/>
  <c r="Z2971" i="31"/>
  <c r="Z685" i="31"/>
  <c r="Z1028" i="31"/>
  <c r="Z458" i="31"/>
  <c r="Z1539" i="31"/>
  <c r="Z2973" i="31"/>
  <c r="Z450" i="31"/>
  <c r="Z2073" i="31"/>
  <c r="Z2762" i="31"/>
  <c r="Z1335" i="31"/>
  <c r="Z2249" i="31"/>
  <c r="Z3141" i="31"/>
  <c r="Z402" i="31"/>
  <c r="Z2920" i="31"/>
  <c r="Z1322" i="31"/>
  <c r="Z1352" i="31"/>
  <c r="Z2974" i="31"/>
  <c r="Z425" i="31"/>
  <c r="Z743" i="31"/>
  <c r="Z3167" i="31"/>
  <c r="Z907" i="31"/>
  <c r="Z2526" i="31"/>
  <c r="Z3138" i="31"/>
  <c r="Z803" i="31"/>
  <c r="Z942" i="31"/>
  <c r="Z771" i="31"/>
  <c r="Z1850" i="31"/>
  <c r="Z1353" i="31"/>
  <c r="Z2780" i="31"/>
  <c r="Z805" i="31"/>
  <c r="Z2578" i="31"/>
  <c r="Z1490" i="31"/>
  <c r="Z20" i="31"/>
  <c r="Z3400" i="31"/>
  <c r="Z514" i="31"/>
  <c r="Z1928" i="31"/>
  <c r="Z3271" i="31"/>
  <c r="Z1833" i="31"/>
  <c r="Z498" i="31"/>
  <c r="Z406" i="31"/>
  <c r="Z3541" i="31"/>
  <c r="Z467" i="31"/>
  <c r="Z2225" i="31"/>
  <c r="Z2699" i="31"/>
  <c r="Z333" i="31"/>
  <c r="Z2297" i="31"/>
  <c r="Z2520" i="31"/>
  <c r="Z3246" i="31"/>
  <c r="Z3077" i="31"/>
  <c r="Z791" i="31"/>
  <c r="Z2446" i="31"/>
  <c r="Z1344" i="31"/>
  <c r="Z1105" i="31"/>
  <c r="Z1059" i="31"/>
  <c r="Z336" i="31"/>
  <c r="Z874" i="31"/>
  <c r="Z1690" i="31"/>
  <c r="Z2246" i="31"/>
  <c r="Z2731" i="31"/>
  <c r="Z1381" i="31"/>
  <c r="Z1841" i="31"/>
  <c r="Z2331" i="31"/>
  <c r="Z1056" i="31"/>
  <c r="Z2092" i="31"/>
  <c r="Z2717" i="31"/>
  <c r="Z127" i="31"/>
  <c r="Z1304" i="31"/>
  <c r="Z2201" i="31"/>
  <c r="Z2957" i="31"/>
  <c r="Z303" i="31"/>
  <c r="Z30" i="31"/>
  <c r="Z2552" i="31"/>
  <c r="Z2817" i="31"/>
  <c r="Z405" i="31"/>
  <c r="Z1834" i="31"/>
  <c r="Z1413" i="31"/>
  <c r="Z44" i="31"/>
  <c r="Z76" i="31"/>
  <c r="Z321" i="31"/>
  <c r="Z3232" i="31"/>
  <c r="Z1449" i="31"/>
  <c r="Z1425" i="31"/>
  <c r="Z2728" i="31"/>
  <c r="Z1311" i="31"/>
  <c r="Z2687" i="31"/>
  <c r="Z2678" i="31"/>
  <c r="Z3220" i="31"/>
  <c r="Z1906" i="31"/>
  <c r="Z809" i="31"/>
  <c r="Z3174" i="31"/>
  <c r="Z2606" i="31"/>
  <c r="Z683" i="31"/>
  <c r="Z1058" i="31"/>
  <c r="Z3151" i="31"/>
  <c r="Z485" i="31"/>
  <c r="Z1341" i="31"/>
  <c r="Z2664" i="31"/>
  <c r="Z1337" i="31"/>
  <c r="Z2395" i="31"/>
  <c r="Z2036" i="31"/>
  <c r="Z410" i="31"/>
  <c r="Z1566" i="31"/>
  <c r="Z3420" i="31"/>
  <c r="Z1418" i="31"/>
  <c r="Z162" i="31"/>
  <c r="Z1239" i="31"/>
  <c r="Z1041" i="31"/>
  <c r="Z193" i="31"/>
  <c r="Z796" i="31"/>
  <c r="Z896" i="31"/>
  <c r="Z2567" i="31"/>
  <c r="Z70" i="31"/>
  <c r="Z1336" i="31"/>
  <c r="Z527" i="31"/>
  <c r="Z3135" i="31"/>
  <c r="Z2123" i="31"/>
  <c r="Z3347" i="31"/>
  <c r="Z2496" i="31"/>
  <c r="Z2898" i="31"/>
  <c r="Z1633" i="31"/>
  <c r="Z3295" i="31"/>
  <c r="Z1115" i="31"/>
  <c r="Z3474" i="31"/>
  <c r="Z2028" i="31"/>
  <c r="Z225" i="31"/>
  <c r="Z542" i="31"/>
  <c r="Z3106" i="31"/>
  <c r="Z2278" i="31"/>
  <c r="Z517" i="31"/>
  <c r="Z2437" i="31"/>
  <c r="Z1478" i="31"/>
  <c r="Z1451" i="31"/>
  <c r="Z599" i="31"/>
  <c r="Z1345" i="31"/>
  <c r="Z1528" i="31"/>
  <c r="Z3506" i="31"/>
  <c r="Z1068" i="31"/>
  <c r="Z1965" i="31"/>
  <c r="Z2563" i="31"/>
  <c r="Z1945" i="31"/>
  <c r="Z1555" i="31"/>
  <c r="Z1659" i="31"/>
  <c r="Z3511" i="31"/>
  <c r="Z1700" i="31"/>
  <c r="Z3427" i="31"/>
  <c r="Z932" i="31"/>
  <c r="Z1859" i="31"/>
  <c r="Z2729" i="31"/>
  <c r="Z368" i="31"/>
  <c r="Z3184" i="31"/>
  <c r="Z2910" i="31"/>
  <c r="Z3507" i="31"/>
  <c r="Z3365" i="31"/>
  <c r="Z293" i="31"/>
  <c r="Z530" i="31"/>
  <c r="Z382" i="31"/>
  <c r="Z2119" i="31"/>
  <c r="Z1109" i="31"/>
  <c r="Z1182" i="31"/>
  <c r="Z1262" i="31"/>
  <c r="Z1745" i="31"/>
  <c r="Z2705" i="31"/>
  <c r="Z2999" i="31"/>
  <c r="Z1757" i="31"/>
  <c r="Z2307" i="31"/>
  <c r="Z403" i="31"/>
  <c r="Z2982" i="31"/>
  <c r="Z401" i="31"/>
  <c r="Z1001" i="31"/>
  <c r="Z2179" i="31"/>
  <c r="Z2686" i="31"/>
  <c r="Z2360" i="31"/>
  <c r="Z1091" i="31"/>
  <c r="Z3350" i="31"/>
  <c r="Z1402" i="31"/>
  <c r="Z125" i="31"/>
  <c r="Z1551" i="31"/>
  <c r="Z3424" i="31"/>
  <c r="Z2610" i="31"/>
  <c r="Z1718" i="31"/>
  <c r="Z2746" i="31"/>
  <c r="Z3437" i="31"/>
  <c r="Z2852" i="31"/>
  <c r="Z2514" i="31"/>
  <c r="Z1064" i="31"/>
  <c r="Z1422" i="31"/>
  <c r="Z2548" i="31"/>
  <c r="Z148" i="31"/>
  <c r="Z2267" i="31"/>
  <c r="Z307" i="31"/>
  <c r="Z1707" i="31"/>
  <c r="Z900" i="31"/>
  <c r="Z1487" i="31"/>
  <c r="Z1682" i="31"/>
  <c r="Z1071" i="31"/>
  <c r="Z299" i="31"/>
  <c r="Z244" i="31"/>
  <c r="Z576" i="31"/>
  <c r="Z648" i="31"/>
  <c r="Z1018" i="31"/>
  <c r="Z353" i="31"/>
  <c r="Z1378" i="31"/>
  <c r="Z3131" i="31"/>
  <c r="Z657" i="31"/>
  <c r="Z645" i="31"/>
  <c r="Z2562" i="31"/>
  <c r="Z1751" i="31"/>
  <c r="Z2518" i="31"/>
  <c r="Z772" i="31"/>
  <c r="Z2109" i="31"/>
  <c r="Z3224" i="31"/>
  <c r="Z2818" i="31"/>
  <c r="Z1111" i="31"/>
  <c r="Z3381" i="31"/>
  <c r="Z3408" i="31"/>
  <c r="Z2824" i="31"/>
  <c r="Z474" i="31"/>
  <c r="Z2535" i="31"/>
  <c r="Z2921" i="31"/>
  <c r="Z1387" i="31"/>
  <c r="Z1763" i="31"/>
  <c r="Z2873" i="31"/>
  <c r="Z3157" i="31"/>
  <c r="Z91" i="31"/>
  <c r="Z833" i="31"/>
  <c r="Z215" i="31"/>
  <c r="Z3435" i="31"/>
  <c r="Z1037" i="31"/>
  <c r="Z3336" i="31"/>
  <c r="Z2014" i="31"/>
  <c r="Z854" i="31"/>
  <c r="Z1093" i="31"/>
  <c r="Z1355" i="31"/>
  <c r="Z1587" i="31"/>
  <c r="Z1709" i="31"/>
  <c r="Z1265" i="31"/>
  <c r="Z1843" i="31"/>
  <c r="Z543" i="31"/>
  <c r="Z1356" i="31"/>
  <c r="Z172" i="31"/>
  <c r="Z1453" i="31"/>
  <c r="Z2819" i="31"/>
  <c r="Z1463" i="31"/>
  <c r="Z399" i="31"/>
  <c r="Z3227" i="31"/>
  <c r="Z1036" i="31"/>
  <c r="Z1505" i="31"/>
  <c r="Z2196" i="31"/>
  <c r="Z2091" i="31"/>
  <c r="Z150" i="31"/>
  <c r="Z2933" i="31"/>
  <c r="Z1534" i="31"/>
  <c r="Z101" i="31"/>
  <c r="Z928" i="31"/>
  <c r="Z663" i="31"/>
  <c r="Z3302" i="31"/>
  <c r="Z3338" i="31"/>
  <c r="Z1652" i="31"/>
  <c r="Z2120" i="31"/>
  <c r="Z3030" i="31"/>
  <c r="Z1128" i="31"/>
  <c r="Z802" i="31"/>
  <c r="Z901" i="31"/>
  <c r="Z2498" i="31"/>
  <c r="Z1114" i="31"/>
  <c r="Z2365" i="31"/>
  <c r="Z2209" i="31"/>
  <c r="Z1200" i="31"/>
  <c r="Z1070" i="31"/>
  <c r="Z86" i="31"/>
  <c r="Z1198" i="31"/>
  <c r="Z2798" i="31"/>
  <c r="Z2204" i="31"/>
  <c r="Z400" i="31"/>
  <c r="Z2463" i="31"/>
  <c r="Z1828" i="31"/>
  <c r="Z734" i="31"/>
  <c r="Z114" i="31"/>
  <c r="Z1708" i="31"/>
  <c r="Z338" i="31"/>
  <c r="Z1393" i="31"/>
  <c r="Z676" i="31"/>
  <c r="Z963" i="31"/>
  <c r="Z475" i="31"/>
  <c r="Z1730" i="31"/>
  <c r="Z1302" i="31"/>
  <c r="Z199" i="31"/>
  <c r="Z2931" i="31"/>
  <c r="Z800" i="31"/>
  <c r="Z2432" i="31"/>
  <c r="Z2061" i="31"/>
  <c r="Z3017" i="31"/>
  <c r="Z1484" i="31"/>
  <c r="Z3391" i="31"/>
  <c r="Z1953" i="31"/>
  <c r="Z2051" i="31"/>
  <c r="Z346" i="31"/>
  <c r="Z1753" i="31"/>
  <c r="Z1598" i="31"/>
  <c r="Z2363" i="31"/>
  <c r="Z1307" i="31"/>
  <c r="Z2492" i="31"/>
  <c r="Z3011" i="31"/>
  <c r="Z1668" i="31"/>
  <c r="Z2478" i="31"/>
  <c r="Z350" i="31"/>
  <c r="Z2837" i="31"/>
  <c r="Z2202" i="31"/>
  <c r="Z2912" i="31"/>
  <c r="Z3448" i="31"/>
  <c r="Z33" i="31"/>
  <c r="Z1256" i="31"/>
  <c r="Z773" i="31"/>
  <c r="Z2244" i="31"/>
  <c r="Z245" i="31"/>
  <c r="Z1282" i="31"/>
  <c r="Z3440" i="31"/>
  <c r="Z1702" i="31"/>
  <c r="Z22" i="31"/>
  <c r="Z1371" i="31"/>
  <c r="Z2860" i="31"/>
  <c r="Z705" i="31"/>
  <c r="Z1845" i="31"/>
  <c r="Z2189" i="31"/>
  <c r="Z1238" i="31"/>
  <c r="Z1855" i="31"/>
  <c r="Z951" i="31"/>
  <c r="Z1298" i="31"/>
  <c r="Z2062" i="31"/>
  <c r="Z813" i="31"/>
  <c r="Z2088" i="31"/>
  <c r="Z1916" i="31"/>
  <c r="Z3373" i="31"/>
  <c r="Z1997" i="31"/>
  <c r="Z1501" i="31"/>
  <c r="Z1814" i="31"/>
  <c r="Z661" i="31"/>
  <c r="Z441" i="31"/>
  <c r="Z2121" i="31"/>
  <c r="Z334" i="31"/>
  <c r="Z1221" i="31"/>
  <c r="Z168" i="31"/>
  <c r="Z654" i="31"/>
  <c r="Z192" i="31"/>
  <c r="Z3001" i="31"/>
  <c r="Z2950" i="31"/>
  <c r="Z121" i="31"/>
  <c r="Z2648" i="31"/>
  <c r="Z593" i="31"/>
  <c r="Z3132" i="31"/>
  <c r="Z1190" i="31"/>
  <c r="Z439" i="31"/>
  <c r="Z337" i="31"/>
  <c r="Z1436" i="31"/>
  <c r="Z2896" i="31"/>
  <c r="Z373" i="31"/>
  <c r="Z2044" i="31"/>
  <c r="Z1498" i="31"/>
  <c r="Z2906" i="31"/>
  <c r="Z1237" i="31"/>
  <c r="Z2427" i="31"/>
  <c r="Z2635" i="31"/>
  <c r="Z2255" i="31"/>
  <c r="Z94" i="31"/>
  <c r="Z899" i="31"/>
  <c r="Z1310" i="31"/>
  <c r="Z2900" i="31"/>
  <c r="Z1715" i="31"/>
  <c r="Z325" i="31"/>
  <c r="Z1023" i="31"/>
  <c r="Z1599" i="31"/>
  <c r="Z1886" i="31"/>
  <c r="Z1762" i="31"/>
  <c r="Z37" i="31"/>
  <c r="Z3098" i="31"/>
  <c r="Z2161" i="31"/>
  <c r="Z387" i="31"/>
  <c r="Z1874" i="31"/>
  <c r="Z2859" i="31"/>
  <c r="Z659" i="31"/>
  <c r="Z1514" i="31"/>
  <c r="Z398" i="31"/>
  <c r="Z2505" i="31"/>
  <c r="Z2600" i="31"/>
  <c r="Z82" i="31"/>
  <c r="Z1642" i="31"/>
  <c r="Z812" i="31"/>
  <c r="Z981" i="31"/>
  <c r="Z408" i="31"/>
  <c r="Z2378" i="31"/>
  <c r="Z1547" i="31"/>
  <c r="Z362" i="31"/>
  <c r="Z797" i="31"/>
  <c r="Z1254" i="31"/>
  <c r="Z569" i="31"/>
  <c r="Z563" i="31"/>
  <c r="Z785" i="31"/>
  <c r="Z1825" i="31"/>
  <c r="Z3414" i="31"/>
  <c r="Z3377" i="31"/>
  <c r="Z1156" i="31"/>
  <c r="Z520" i="31"/>
  <c r="Z3031" i="31"/>
  <c r="Z2195" i="31"/>
  <c r="Z2197" i="31"/>
  <c r="Z2536" i="31"/>
  <c r="Z748" i="31"/>
  <c r="Z2789" i="31"/>
  <c r="Z3430" i="31"/>
  <c r="Z106" i="31"/>
  <c r="Z2568" i="31"/>
  <c r="Z2908" i="31"/>
  <c r="Z2745" i="31"/>
  <c r="Z2592" i="31"/>
  <c r="Z3467" i="31"/>
  <c r="Z718" i="31"/>
  <c r="Z209" i="31"/>
  <c r="Z1485" i="31"/>
  <c r="Z2353" i="31"/>
  <c r="Z598" i="31"/>
  <c r="Z1119" i="31"/>
  <c r="Z1321" i="31"/>
  <c r="Z1947" i="31"/>
  <c r="Z2494" i="31"/>
  <c r="Z1549" i="31"/>
  <c r="Z142" i="31"/>
  <c r="Z1244" i="31"/>
  <c r="Z2736" i="31"/>
  <c r="Z1204" i="31"/>
  <c r="Z81" i="31"/>
  <c r="Z2749" i="31"/>
  <c r="Z716" i="31"/>
  <c r="Z2468" i="31"/>
  <c r="Z3163" i="31"/>
  <c r="Z66" i="31"/>
  <c r="Z1411" i="31"/>
  <c r="Z2303" i="31"/>
  <c r="Z3002" i="31"/>
  <c r="Z2680" i="31"/>
  <c r="Z3037" i="31"/>
  <c r="Z1752" i="31"/>
  <c r="Z263" i="31"/>
  <c r="Z3469" i="31"/>
  <c r="Z486" i="31"/>
  <c r="Z3083" i="31"/>
  <c r="Z2981" i="31"/>
  <c r="Z3254" i="31"/>
  <c r="Z360" i="31"/>
  <c r="Z1529" i="31"/>
  <c r="Z2948" i="31"/>
  <c r="Z1508" i="31"/>
  <c r="Z853" i="31"/>
  <c r="Z3073" i="31"/>
  <c r="Z535" i="31"/>
  <c r="Z3396" i="31"/>
  <c r="Z1509" i="31"/>
  <c r="Z1047" i="31"/>
  <c r="Z3351" i="31"/>
  <c r="Z774" i="31"/>
  <c r="Z2425" i="31"/>
  <c r="Z2751" i="31"/>
  <c r="Z2409" i="31"/>
  <c r="Z2960" i="31"/>
  <c r="Z656" i="31"/>
  <c r="Z2328" i="31"/>
  <c r="Z1133" i="31"/>
  <c r="Z2795" i="31"/>
  <c r="Z2223" i="31"/>
  <c r="Z2558" i="31"/>
  <c r="Z1462" i="31"/>
  <c r="Z2454" i="31"/>
  <c r="Z2435" i="31"/>
  <c r="Z1802" i="31"/>
  <c r="Z194" i="31"/>
  <c r="Z2611" i="31"/>
  <c r="Z2572" i="31"/>
  <c r="Z1445" i="31"/>
  <c r="Z1789" i="31"/>
  <c r="Z1583" i="31"/>
  <c r="Z416" i="31"/>
  <c r="Z2640" i="31"/>
  <c r="Z3431" i="31"/>
  <c r="Z1179" i="31"/>
  <c r="Z1014" i="31"/>
  <c r="Z570" i="31"/>
  <c r="Z3177" i="31"/>
  <c r="Z340" i="31"/>
  <c r="Z1704" i="31"/>
  <c r="Z1192" i="31"/>
  <c r="Z3359" i="31"/>
  <c r="Z464" i="31"/>
  <c r="Z2952" i="31"/>
  <c r="Z1106" i="31"/>
  <c r="Z1640" i="31"/>
  <c r="Z2301" i="31"/>
  <c r="Z2033" i="31"/>
  <c r="Z2649" i="31"/>
  <c r="Z2916" i="31"/>
  <c r="Z324" i="31"/>
  <c r="Z556" i="31"/>
  <c r="Z2143" i="31"/>
  <c r="Z1475" i="31"/>
  <c r="Z2825" i="31"/>
  <c r="Z3153" i="31"/>
  <c r="Z201" i="31"/>
  <c r="Z2555" i="31"/>
  <c r="Z1693" i="31"/>
  <c r="Z2154" i="31"/>
  <c r="Z3360" i="31"/>
  <c r="Z2835" i="31"/>
  <c r="Z3182" i="31"/>
  <c r="Z1504" i="31"/>
  <c r="Z2311" i="31"/>
  <c r="Z184" i="31"/>
  <c r="Z2261" i="31"/>
  <c r="Z2911" i="31"/>
  <c r="Z2065" i="31"/>
  <c r="Z2513" i="31"/>
  <c r="Z60" i="31"/>
  <c r="Z3517" i="31"/>
  <c r="Z2677" i="31"/>
  <c r="Z2962" i="31"/>
  <c r="Z2888" i="31"/>
  <c r="Z1428" i="31"/>
  <c r="Z507" i="31"/>
  <c r="Z3166" i="31"/>
  <c r="Z3074" i="31"/>
  <c r="Z1348" i="31"/>
  <c r="Z1474" i="31"/>
  <c r="Z3205" i="31"/>
  <c r="Z2674" i="31"/>
  <c r="Z1570" i="31"/>
  <c r="Z2942" i="31"/>
  <c r="Z1650" i="31"/>
  <c r="Z2084" i="31"/>
  <c r="Z2788" i="31"/>
  <c r="Z2719" i="31"/>
  <c r="Z601" i="31"/>
  <c r="Z2936" i="31"/>
  <c r="Z2398" i="31"/>
  <c r="Z2637" i="31"/>
  <c r="Z1905" i="31"/>
  <c r="Z1689" i="31"/>
  <c r="Z544" i="31"/>
  <c r="Z926" i="31"/>
  <c r="Z23" i="31"/>
  <c r="Z1354" i="31"/>
  <c r="Z270" i="31"/>
  <c r="Z546" i="31"/>
  <c r="Z202" i="31"/>
  <c r="Z916" i="31"/>
  <c r="Z2124" i="31"/>
  <c r="Z318" i="31"/>
  <c r="Z1290" i="31"/>
  <c r="Z221" i="31"/>
  <c r="Z1479" i="31"/>
  <c r="Z269" i="31"/>
  <c r="Z2270" i="31"/>
  <c r="Z1458" i="31"/>
  <c r="Z306" i="31"/>
  <c r="Z46" i="31"/>
  <c r="Z2264" i="31"/>
  <c r="Z3188" i="31"/>
  <c r="Z827" i="31"/>
  <c r="Z594" i="31"/>
  <c r="Z3260" i="31"/>
  <c r="Z959" i="31"/>
  <c r="Z2877" i="31"/>
  <c r="Z1512" i="31"/>
  <c r="Z48" i="31"/>
  <c r="Z634" i="31"/>
  <c r="Z794" i="31"/>
  <c r="Z686" i="31"/>
  <c r="Z2173" i="31"/>
  <c r="Z2268" i="31"/>
  <c r="Z1420" i="31"/>
  <c r="Z420" i="31"/>
  <c r="Z1359" i="31"/>
  <c r="Z974" i="31"/>
  <c r="Z978" i="31"/>
  <c r="Z2509" i="31"/>
  <c r="Z187" i="31"/>
  <c r="Z2512" i="31"/>
  <c r="Z3071" i="31"/>
  <c r="Z643" i="31"/>
  <c r="Z2870" i="31"/>
  <c r="Z3116" i="31"/>
  <c r="Z1533" i="31"/>
  <c r="Z1556" i="31"/>
  <c r="Z799" i="31"/>
  <c r="Z1264" i="31"/>
  <c r="Z806" i="31"/>
  <c r="Z3000" i="31"/>
  <c r="Z198" i="31"/>
  <c r="Z752" i="31"/>
  <c r="Z2918" i="31"/>
  <c r="Z302" i="31"/>
  <c r="Z2868" i="31"/>
  <c r="Z2994" i="31"/>
  <c r="Z1048" i="31"/>
  <c r="Z3499" i="31"/>
  <c r="Z1836" i="31"/>
  <c r="Z1716" i="31"/>
  <c r="Z1639" i="31"/>
  <c r="Z1228" i="31"/>
  <c r="Z1357" i="31"/>
  <c r="Z352" i="31"/>
  <c r="Z2462" i="31"/>
  <c r="Z2186" i="31"/>
  <c r="Z1323" i="31"/>
  <c r="Z2493" i="31"/>
  <c r="Z342" i="31"/>
  <c r="Z2055" i="31"/>
  <c r="Z3442" i="31"/>
  <c r="Z2915" i="31"/>
  <c r="Z1792" i="31"/>
  <c r="Z986" i="31"/>
  <c r="Z2890" i="31"/>
  <c r="Z717" i="31"/>
  <c r="Z557" i="31"/>
  <c r="Z1468" i="31"/>
  <c r="Z2882" i="31"/>
  <c r="Z1459" i="31"/>
  <c r="Z2989" i="31"/>
  <c r="Z1750" i="31"/>
  <c r="Z2213" i="31"/>
  <c r="Z2090" i="31"/>
  <c r="Z968" i="31"/>
  <c r="Z496" i="31"/>
  <c r="Z2628" i="31"/>
  <c r="Z2892" i="31"/>
  <c r="Z1493" i="31"/>
  <c r="Z1809" i="31"/>
  <c r="Z61" i="31"/>
  <c r="Z2369" i="31"/>
  <c r="Z3403" i="31"/>
  <c r="Z608" i="31"/>
  <c r="Z3236" i="31"/>
  <c r="Z847" i="31"/>
  <c r="Z2352" i="31"/>
  <c r="Z2846" i="31"/>
  <c r="Z3493" i="31"/>
  <c r="Z1443" i="31"/>
  <c r="Z247" i="31"/>
  <c r="Z830" i="31"/>
  <c r="Z1062" i="31"/>
  <c r="Z1417" i="31"/>
  <c r="Z2884" i="31"/>
  <c r="Z2773" i="31"/>
  <c r="Z1489" i="31"/>
  <c r="Z3118" i="31"/>
  <c r="Z1985" i="31"/>
  <c r="Z3267" i="31"/>
  <c r="Z2330" i="31"/>
  <c r="Z3344" i="31"/>
  <c r="Z2534" i="31"/>
  <c r="Z1535" i="31"/>
  <c r="Z526" i="31"/>
  <c r="Z674" i="31"/>
  <c r="Z3296" i="31"/>
  <c r="Z1748" i="31"/>
  <c r="Z1536" i="31"/>
  <c r="Z173" i="31"/>
  <c r="Z3078" i="31"/>
  <c r="Z2702" i="31"/>
  <c r="Z1847" i="31"/>
  <c r="Z1610" i="31"/>
  <c r="Z1213" i="31"/>
  <c r="Z842" i="31"/>
  <c r="Z729" i="31"/>
  <c r="Z246" i="31"/>
  <c r="Z1110" i="31"/>
  <c r="Z2346" i="31"/>
  <c r="Z3179" i="31"/>
  <c r="Z2710" i="31"/>
  <c r="Z1733" i="31"/>
  <c r="Z2145" i="31"/>
  <c r="Z39" i="31"/>
  <c r="Z807" i="31"/>
  <c r="Z1879" i="31"/>
  <c r="Z2930" i="31"/>
  <c r="Z1424" i="31"/>
  <c r="Z2038" i="31"/>
  <c r="Z1057" i="31"/>
  <c r="Z631" i="31"/>
  <c r="Z2597" i="31"/>
  <c r="Z1632" i="31"/>
  <c r="Z3034" i="31"/>
  <c r="Z3207" i="31"/>
  <c r="Z1470" i="31"/>
  <c r="Z2679" i="31"/>
  <c r="Z3488" i="31"/>
  <c r="Z1581" i="31"/>
  <c r="Z2018" i="31"/>
  <c r="Z1439" i="31"/>
  <c r="Z856" i="31"/>
  <c r="Z2348" i="31"/>
  <c r="Z2614" i="31"/>
  <c r="Z3140" i="31"/>
  <c r="Z618" i="31"/>
  <c r="Z3156" i="31"/>
  <c r="Z103" i="31"/>
  <c r="Z2376" i="31"/>
  <c r="Z3262" i="31"/>
  <c r="Z2765" i="31"/>
  <c r="Z2891" i="31"/>
  <c r="Z1158" i="31"/>
  <c r="Z1251" i="31"/>
  <c r="Z1961" i="31"/>
  <c r="Z2734" i="31"/>
  <c r="Z738" i="31"/>
  <c r="Z1601" i="31"/>
  <c r="Z750" i="31"/>
  <c r="Z991" i="31"/>
  <c r="Z936" i="31"/>
  <c r="Z3325" i="31"/>
  <c r="Z2639" i="31"/>
  <c r="Z261" i="31"/>
  <c r="Z971" i="31"/>
  <c r="Z1358" i="31"/>
  <c r="Z2410" i="31"/>
  <c r="Z783" i="31"/>
  <c r="Z2850" i="31"/>
  <c r="Z573" i="31"/>
  <c r="Z218" i="31"/>
  <c r="Z2541" i="31"/>
  <c r="Z356" i="31"/>
  <c r="Z2000" i="31"/>
  <c r="Z1177" i="31"/>
  <c r="Z1333" i="31"/>
  <c r="Z170" i="31"/>
  <c r="Z1350" i="31"/>
  <c r="Z3331" i="31"/>
  <c r="Z417" i="31"/>
  <c r="Z1904" i="31"/>
  <c r="Z1768" i="31"/>
  <c r="Z3234" i="31"/>
  <c r="Z940" i="31"/>
  <c r="Z1869" i="31"/>
  <c r="Z581" i="31"/>
  <c r="Z3210" i="31"/>
  <c r="Z3458" i="31"/>
  <c r="Z3513" i="31"/>
  <c r="Z1464" i="31"/>
  <c r="Z1738" i="31"/>
  <c r="Z479" i="31"/>
  <c r="Z3394" i="31"/>
  <c r="Z1435" i="31"/>
  <c r="Z1419" i="31"/>
  <c r="Z3322" i="31"/>
  <c r="Z2758" i="31"/>
  <c r="Z924" i="31"/>
  <c r="Z73" i="31"/>
  <c r="Z2997" i="31"/>
  <c r="Z2771" i="31"/>
  <c r="Z3211" i="31"/>
  <c r="Z1742" i="31"/>
  <c r="Z3375" i="31"/>
  <c r="Z3212" i="31"/>
  <c r="Z950" i="31"/>
  <c r="Z436" i="31"/>
  <c r="Z1993" i="31"/>
  <c r="Z1125" i="31"/>
  <c r="Z2271" i="31"/>
  <c r="Z1868" i="31"/>
  <c r="Z2781" i="31"/>
  <c r="Z1231" i="31"/>
  <c r="Z2191" i="31"/>
  <c r="Z2692" i="31"/>
  <c r="Z1729" i="31"/>
  <c r="Z2239" i="31"/>
  <c r="Z2840" i="31"/>
  <c r="Z3096" i="31"/>
  <c r="Z2252" i="31"/>
  <c r="Z3125" i="31"/>
  <c r="Z3103" i="31"/>
  <c r="Z1798" i="31"/>
  <c r="Z2058" i="31"/>
  <c r="Z1193" i="31"/>
  <c r="Z254" i="31"/>
  <c r="Z726" i="31"/>
  <c r="Z2459" i="31"/>
  <c r="Z575" i="31"/>
  <c r="Z2295" i="31"/>
  <c r="Z792" i="31"/>
  <c r="Z429" i="31"/>
  <c r="Z1461" i="31"/>
  <c r="Z2521" i="31"/>
  <c r="Z1604" i="31"/>
  <c r="Z2182" i="31"/>
  <c r="Z68" i="31"/>
  <c r="Z3015" i="31"/>
  <c r="Z1063" i="31"/>
  <c r="Z1289" i="31"/>
  <c r="Z2386" i="31"/>
  <c r="Z3466" i="31"/>
  <c r="Z2876" i="31"/>
  <c r="Z3282" i="31"/>
  <c r="Z3353" i="31"/>
  <c r="Z3444" i="31"/>
  <c r="Z404" i="31"/>
  <c r="Z2638" i="31"/>
  <c r="Z320" i="31"/>
  <c r="Z3492" i="31"/>
  <c r="Z574" i="31"/>
  <c r="Z2228" i="31"/>
  <c r="Z1183" i="31"/>
  <c r="Z2510" i="31"/>
  <c r="Z1267" i="31"/>
  <c r="Z1871" i="31"/>
  <c r="Z2644" i="31"/>
  <c r="Z690" i="31"/>
  <c r="Z953" i="31"/>
  <c r="Z2001" i="31"/>
  <c r="Z164" i="31"/>
  <c r="Z1382" i="31"/>
  <c r="Z53" i="31"/>
  <c r="Z278" i="31"/>
  <c r="Z139" i="31"/>
  <c r="Z3522" i="31"/>
  <c r="Z2553" i="31"/>
  <c r="Z2718" i="31"/>
  <c r="Z1571" i="31"/>
  <c r="Z2580" i="31"/>
  <c r="Z1525" i="31"/>
  <c r="Z789" i="31"/>
  <c r="Z660" i="31"/>
  <c r="Z375" i="31"/>
  <c r="Z1960" i="31"/>
  <c r="Z2183" i="31"/>
  <c r="Z2594" i="31"/>
  <c r="Z2368" i="31"/>
  <c r="Z2207" i="31"/>
  <c r="Z2054" i="31"/>
  <c r="Z471" i="31"/>
  <c r="Z2089" i="31"/>
  <c r="T61" i="31"/>
  <c r="Z983" i="31"/>
  <c r="Z2192" i="31"/>
  <c r="Z178" i="31"/>
  <c r="Z2009" i="31"/>
  <c r="Z3291" i="31"/>
  <c r="Z763" i="31"/>
  <c r="Z169" i="31"/>
  <c r="Z454" i="31"/>
  <c r="Z3090" i="31"/>
  <c r="Z3112" i="31"/>
  <c r="Z739" i="31"/>
  <c r="Z2893" i="31"/>
  <c r="Z97" i="31"/>
  <c r="Z1171" i="31"/>
  <c r="Z281" i="31"/>
  <c r="Z2340" i="31"/>
  <c r="Z850" i="31"/>
  <c r="Z2203" i="31"/>
  <c r="Z2604" i="31"/>
  <c r="Z2662" i="31"/>
  <c r="Z1368" i="31"/>
  <c r="Z2279" i="31"/>
  <c r="Z2815" i="31"/>
  <c r="Z124" i="31"/>
  <c r="Z2693" i="31"/>
  <c r="Z455" i="31"/>
  <c r="Z706" i="31"/>
  <c r="Z2708" i="31"/>
  <c r="Z1297" i="31"/>
  <c r="Z3485" i="31"/>
  <c r="Z2813" i="31"/>
  <c r="Z1187" i="31"/>
  <c r="Z1524" i="31"/>
  <c r="Z3479" i="31"/>
  <c r="Z32" i="31"/>
  <c r="Z1218" i="31"/>
  <c r="Z2721" i="31"/>
  <c r="Z1626" i="31"/>
  <c r="Z1861" i="31"/>
  <c r="Z1361" i="31"/>
  <c r="Z1394" i="31"/>
  <c r="Z578" i="31"/>
  <c r="Z2096" i="31"/>
  <c r="Z2737" i="31"/>
  <c r="Z1081" i="31"/>
  <c r="Z3075" i="31"/>
  <c r="Z1087" i="31"/>
  <c r="Z2986" i="31"/>
  <c r="Z1559" i="31"/>
  <c r="Z12" i="31"/>
  <c r="Z3126" i="31"/>
  <c r="Z1522" i="31"/>
  <c r="Z3127" i="31"/>
  <c r="Z1123" i="31"/>
  <c r="Z2564" i="31"/>
  <c r="Z1686" i="31"/>
  <c r="Z1876" i="31"/>
  <c r="Z1151" i="31"/>
  <c r="Z829" i="31"/>
  <c r="Z1830" i="31"/>
  <c r="Z3364" i="31"/>
  <c r="Z3022" i="31"/>
  <c r="Z26" i="31"/>
  <c r="Z549" i="31"/>
  <c r="Z622" i="31"/>
  <c r="Z2887" i="31"/>
  <c r="Z129" i="31"/>
  <c r="Z2354" i="31"/>
  <c r="Z2155" i="31"/>
  <c r="Z200" i="31"/>
  <c r="Z1090" i="31"/>
  <c r="Z567" i="31"/>
  <c r="Z1865" i="31"/>
  <c r="Z2164" i="31"/>
  <c r="Z1568" i="31"/>
  <c r="Z3081" i="31"/>
  <c r="Z2993" i="31"/>
  <c r="Z1924" i="31"/>
  <c r="Z2408" i="31"/>
  <c r="Z440" i="31"/>
  <c r="Z1467" i="31"/>
  <c r="Z2132" i="31"/>
  <c r="Z559" i="31"/>
  <c r="Z927" i="31"/>
  <c r="Z241" i="31"/>
  <c r="Z208" i="31"/>
  <c r="Z2193" i="31"/>
  <c r="Z347" i="31"/>
  <c r="Z666" i="31"/>
  <c r="Z1995" i="31"/>
  <c r="Z816" i="31"/>
  <c r="Z3052" i="31"/>
  <c r="Z349" i="31"/>
  <c r="Z3527" i="31"/>
  <c r="Z1875" i="31"/>
  <c r="Z1164" i="31"/>
  <c r="Z3255" i="31"/>
  <c r="Z1538" i="31"/>
  <c r="Z1637" i="31"/>
  <c r="Z909" i="31"/>
  <c r="Z2847" i="31"/>
  <c r="Z3099" i="31"/>
  <c r="Z2024" i="31"/>
  <c r="Z1397" i="31"/>
  <c r="Z421" i="31"/>
  <c r="Z2381" i="31"/>
  <c r="Z2240" i="31"/>
  <c r="Z1565" i="31"/>
  <c r="Z881" i="31"/>
  <c r="Z2217" i="31"/>
  <c r="Z667" i="31"/>
  <c r="Z2168" i="31"/>
  <c r="Z3402" i="31"/>
  <c r="Z732" i="31"/>
  <c r="Z736" i="31"/>
  <c r="Z2972" i="31"/>
  <c r="Z1783" i="31"/>
  <c r="Z3464" i="31"/>
  <c r="Z2436" i="31"/>
  <c r="Z3335" i="31"/>
  <c r="Z2491" i="31"/>
  <c r="Z691" i="31"/>
  <c r="Z1404" i="31"/>
  <c r="Z1681" i="31"/>
  <c r="Z3383" i="31"/>
  <c r="Z1857" i="31"/>
  <c r="Z1113" i="31"/>
  <c r="Z1819" i="31"/>
  <c r="Z83" i="31"/>
  <c r="Z1822" i="31"/>
  <c r="Z3252" i="31"/>
  <c r="Z2219" i="31"/>
  <c r="Z3423" i="31"/>
  <c r="Z595" i="31"/>
  <c r="Z3266" i="31"/>
  <c r="Z2975" i="31"/>
  <c r="Z1122" i="31"/>
  <c r="Z1305" i="31"/>
  <c r="Z2026" i="31"/>
  <c r="Z435" i="31"/>
  <c r="Z2659" i="31"/>
  <c r="Z3478" i="31"/>
  <c r="Z2875" i="31"/>
  <c r="Z3349" i="31"/>
  <c r="Z1612" i="31"/>
  <c r="Z409" i="31"/>
  <c r="Z891" i="31"/>
  <c r="Z2525" i="31"/>
  <c r="Z190" i="31"/>
  <c r="Z3371" i="31"/>
  <c r="Z3059" i="31"/>
  <c r="Z1167" i="31"/>
  <c r="Z820" i="31"/>
  <c r="Z355" i="31"/>
  <c r="Z677" i="31"/>
  <c r="Z2046" i="31"/>
  <c r="Z3286" i="31"/>
  <c r="Z250" i="31"/>
  <c r="Z2595" i="31"/>
  <c r="Z592" i="31"/>
  <c r="Z1653" i="31"/>
  <c r="Z2596" i="31"/>
  <c r="Z1126" i="31"/>
  <c r="Z887" i="31"/>
  <c r="Z2199" i="31"/>
  <c r="Z2727" i="31"/>
  <c r="Z1685" i="31"/>
  <c r="Z2218" i="31"/>
  <c r="Z1303" i="31"/>
  <c r="Z998" i="31"/>
  <c r="Z1737" i="31"/>
  <c r="Z1203" i="31"/>
  <c r="Z1024" i="31"/>
  <c r="Z3279" i="31"/>
  <c r="Z1102" i="31"/>
  <c r="Z2048" i="31"/>
  <c r="Z2866" i="31"/>
  <c r="Z1069" i="31"/>
  <c r="Z1465" i="31"/>
  <c r="Z391" i="31"/>
  <c r="Z1674" i="31"/>
  <c r="Z1518" i="31"/>
  <c r="Z3110" i="31"/>
  <c r="Z2142" i="31"/>
  <c r="Z1664" i="31"/>
  <c r="Z490" i="31"/>
  <c r="Z251" i="31"/>
  <c r="Z36" i="31"/>
  <c r="Z2337" i="31"/>
  <c r="Z2590" i="31"/>
  <c r="Z3158" i="31"/>
  <c r="Z67" i="31"/>
  <c r="Z749" i="31"/>
  <c r="Z591" i="31"/>
  <c r="Z2324" i="31"/>
  <c r="Z2531" i="31"/>
  <c r="Z3508" i="31"/>
  <c r="Z3142" i="31"/>
  <c r="Z1444" i="31"/>
  <c r="Z2810" i="31"/>
  <c r="Z470" i="31"/>
  <c r="Z513" i="31"/>
  <c r="Z1107" i="31"/>
  <c r="Z445" i="31"/>
  <c r="Z2116" i="31"/>
  <c r="Z506" i="31"/>
  <c r="Z38" i="31"/>
  <c r="Z1691" i="31"/>
  <c r="Z2467" i="31"/>
  <c r="Z3529" i="31"/>
  <c r="Z515" i="31"/>
  <c r="Z1631" i="31"/>
  <c r="Z1811" i="31"/>
  <c r="Z271" i="31"/>
  <c r="Z1186" i="31"/>
  <c r="Z3054" i="31"/>
  <c r="Z613" i="31"/>
  <c r="Z3465" i="31"/>
  <c r="Z74" i="31"/>
  <c r="Z3341" i="31"/>
  <c r="Z393" i="31"/>
  <c r="Z2237" i="31"/>
  <c r="Z2856" i="31"/>
  <c r="Z195" i="31"/>
  <c r="Z29" i="31"/>
  <c r="Z2210" i="31"/>
  <c r="Z2951" i="31"/>
  <c r="Z140" i="31"/>
  <c r="Z2848" i="31"/>
  <c r="Z1917" i="31"/>
  <c r="Z2836" i="31"/>
  <c r="Z2162" i="31"/>
  <c r="Z1220" i="31"/>
  <c r="Z2234" i="31"/>
  <c r="Z719" i="31"/>
  <c r="Z235" i="31"/>
  <c r="Z2366" i="31"/>
  <c r="Z1180" i="31"/>
  <c r="Z2443" i="31"/>
  <c r="Z2332" i="31"/>
  <c r="Z3540" i="31"/>
  <c r="Z2441" i="31"/>
  <c r="Z2748" i="31"/>
  <c r="Z2724" i="31"/>
  <c r="Z2977" i="31"/>
  <c r="Z2248" i="31"/>
  <c r="Z1740" i="31"/>
  <c r="Z1406" i="31"/>
  <c r="Z3019" i="31"/>
  <c r="Z2792" i="31"/>
  <c r="Z627" i="31"/>
  <c r="Z638" i="31"/>
  <c r="Z2782" i="31"/>
  <c r="Z2276" i="31"/>
  <c r="Z3526" i="31"/>
  <c r="Z2682" i="31"/>
  <c r="Z460" i="31"/>
  <c r="Z2284" i="31"/>
  <c r="Z1636" i="31"/>
  <c r="Z2444" i="31"/>
  <c r="Z3093" i="31"/>
  <c r="Z999" i="31"/>
  <c r="Z1824" i="31"/>
  <c r="Z1240" i="31"/>
  <c r="Z258" i="31"/>
  <c r="Z2787" i="31"/>
  <c r="Z626" i="31"/>
  <c r="Z434" i="31"/>
  <c r="Z443" i="31"/>
  <c r="Z3512" i="31"/>
  <c r="Z625" i="31"/>
  <c r="Z1755" i="31"/>
  <c r="Z2329" i="31"/>
  <c r="Z3242" i="31"/>
  <c r="Z3036" i="31"/>
  <c r="Z1390" i="31"/>
  <c r="Z870" i="31"/>
  <c r="Z757" i="31"/>
  <c r="Z27" i="31"/>
  <c r="Z457" i="31"/>
  <c r="Z34" i="31"/>
  <c r="Z1976" i="31"/>
  <c r="Z3062" i="31"/>
  <c r="Z2672" i="31"/>
  <c r="Z2540" i="31"/>
  <c r="Z2167" i="31"/>
  <c r="Z3046" i="31"/>
  <c r="Z1026" i="31"/>
  <c r="Z456" i="31"/>
  <c r="Z3283" i="31"/>
  <c r="Z824" i="31"/>
  <c r="Z3297" i="31"/>
  <c r="Z3120" i="31"/>
  <c r="Z3301" i="31"/>
  <c r="Z1746" i="31"/>
  <c r="Z2667" i="31"/>
  <c r="Z3201" i="31"/>
  <c r="Z1786" i="31"/>
  <c r="Z1189" i="31"/>
  <c r="Z948" i="31"/>
  <c r="Z1098" i="31"/>
  <c r="Z2289" i="31"/>
  <c r="Z2670" i="31"/>
  <c r="Z2236" i="31"/>
  <c r="Z3405" i="31"/>
  <c r="Z1446" i="31"/>
  <c r="Z2411" i="31"/>
  <c r="Z912" i="31"/>
  <c r="Z1249" i="31"/>
  <c r="Z1969" i="31"/>
  <c r="Z2056" i="31"/>
  <c r="Z698" i="31"/>
  <c r="Z296" i="31"/>
  <c r="Z2477" i="31"/>
  <c r="Z2312" i="31"/>
  <c r="Z2958" i="31"/>
  <c r="Z2969" i="31"/>
  <c r="Z1932" i="31"/>
  <c r="Z1442" i="31"/>
  <c r="Z984" i="31"/>
  <c r="Z1912" i="31"/>
  <c r="Z3535" i="31"/>
  <c r="Z1897" i="31"/>
  <c r="Z2495" i="31"/>
  <c r="Z2399" i="31"/>
  <c r="Z1724" i="31"/>
  <c r="Z845" i="31"/>
  <c r="Z1423" i="31"/>
  <c r="Z3123" i="31"/>
  <c r="Z2334" i="31"/>
  <c r="Z1853" i="31"/>
  <c r="Z189" i="31"/>
  <c r="Z3198" i="31"/>
  <c r="Z2543" i="31"/>
  <c r="Z817" i="31"/>
  <c r="Z779" i="31"/>
  <c r="Z3481" i="31"/>
  <c r="Z2040" i="31"/>
  <c r="Z1103" i="31"/>
  <c r="Z1785" i="31"/>
  <c r="Z2318" i="31"/>
  <c r="Z841" i="31"/>
  <c r="Z2315" i="31"/>
  <c r="Z505" i="31"/>
  <c r="Z2407" i="31"/>
  <c r="Z3072" i="31"/>
  <c r="Z328" i="31"/>
  <c r="Z2653" i="31"/>
  <c r="Z992" i="31"/>
  <c r="Z2629" i="31"/>
  <c r="Z494" i="31"/>
  <c r="Z2076" i="31"/>
  <c r="Z708" i="31"/>
  <c r="Z552" i="31"/>
  <c r="Z2122" i="31"/>
  <c r="Z2047" i="31"/>
  <c r="Z818" i="31"/>
  <c r="Z1327" i="31"/>
  <c r="Z216" i="31"/>
  <c r="Z2082" i="31"/>
  <c r="Z2212" i="31"/>
  <c r="Z3457" i="31"/>
  <c r="Z1066" i="31"/>
  <c r="Z1899" i="31"/>
  <c r="Z2171" i="31"/>
  <c r="Z1900" i="31"/>
  <c r="Z389" i="31"/>
  <c r="Z2612" i="31"/>
  <c r="Z1910" i="31"/>
  <c r="Z2713" i="31"/>
  <c r="Z1500" i="31"/>
  <c r="Z1806" i="31"/>
  <c r="Z531" i="31"/>
  <c r="Z2049" i="31"/>
  <c r="Z284" i="31"/>
  <c r="Z1683" i="31"/>
  <c r="Z1480" i="31"/>
  <c r="Z424" i="31"/>
  <c r="Z3453" i="31"/>
  <c r="Z1596" i="31"/>
  <c r="Z1542" i="31"/>
  <c r="Z826" i="31"/>
  <c r="Z509" i="31"/>
  <c r="Z2373" i="31"/>
  <c r="Z987" i="31"/>
  <c r="Z754" i="31"/>
  <c r="Z3501" i="31"/>
  <c r="Z2085" i="31"/>
  <c r="Z1661" i="31"/>
  <c r="Z1545" i="31"/>
  <c r="Z798" i="31"/>
  <c r="Z288" i="31"/>
  <c r="Z2899" i="31"/>
  <c r="Z2404" i="31"/>
  <c r="Z2928" i="31"/>
  <c r="Z287" i="31"/>
  <c r="Z3306" i="31"/>
  <c r="Z165" i="31"/>
  <c r="Z2675" i="31"/>
  <c r="Z2923" i="31"/>
  <c r="Z2417" i="31"/>
  <c r="Z1688" i="31"/>
  <c r="Z2922" i="31"/>
  <c r="Z652" i="31"/>
  <c r="Z1136" i="31"/>
  <c r="Z2530" i="31"/>
  <c r="Z2987" i="31"/>
  <c r="Z571" i="31"/>
  <c r="Z428" i="31"/>
  <c r="Z2128" i="31"/>
  <c r="Z858" i="31"/>
  <c r="Z647" i="31"/>
  <c r="Z2733" i="31"/>
  <c r="Z633" i="31"/>
  <c r="Z87" i="31"/>
  <c r="Z1232" i="31"/>
  <c r="Z1021" i="31"/>
  <c r="Z1150" i="31"/>
  <c r="Z1250" i="31"/>
  <c r="Z878" i="31"/>
  <c r="Z359" i="31"/>
  <c r="Z1376" i="31"/>
  <c r="Z1635" i="31"/>
  <c r="Z1318" i="31"/>
  <c r="Z1624" i="31"/>
  <c r="Z2292" i="31"/>
  <c r="Z2770" i="31"/>
  <c r="Z2412" i="31"/>
  <c r="Z3456" i="31"/>
  <c r="Z1011" i="31"/>
  <c r="Z1891" i="31"/>
  <c r="Z274" i="31"/>
  <c r="Z1557" i="31"/>
  <c r="Z2079" i="31"/>
  <c r="Z678" i="31"/>
  <c r="Z3113" i="31"/>
  <c r="Z2027" i="31"/>
  <c r="Z1974" i="31"/>
  <c r="Z699" i="31"/>
  <c r="Z315" i="31"/>
  <c r="Z119" i="31"/>
  <c r="Z1810" i="31"/>
  <c r="Z35" i="31"/>
  <c r="Z1784" i="31"/>
  <c r="Z2380" i="31"/>
  <c r="Z2778" i="31"/>
  <c r="Z1975" i="31"/>
  <c r="Z2333" i="31"/>
  <c r="Z2342" i="31"/>
  <c r="Z370" i="31"/>
  <c r="Z943" i="31"/>
  <c r="Z64" i="31"/>
  <c r="Z2619" i="31"/>
  <c r="Z102" i="31"/>
  <c r="Z2418" i="31"/>
  <c r="Z379" i="31"/>
  <c r="Z702" i="31"/>
  <c r="Z3406" i="31"/>
  <c r="Z2102" i="31"/>
  <c r="Z2980" i="31"/>
  <c r="Z602" i="31"/>
  <c r="Z2283" i="31"/>
  <c r="Z422" i="31"/>
  <c r="Z2282" i="31"/>
  <c r="Z2571" i="31"/>
  <c r="Z2482" i="31"/>
  <c r="Z866" i="31"/>
  <c r="Z163" i="31"/>
  <c r="Z1793" i="31"/>
  <c r="Z3428" i="31"/>
  <c r="Z3392" i="31"/>
  <c r="Z2831" i="31"/>
  <c r="Z1210" i="31"/>
  <c r="Z1161" i="31"/>
  <c r="Z2546" i="31"/>
  <c r="Z2357" i="31"/>
  <c r="Z1466" i="31"/>
  <c r="Z1160" i="31"/>
  <c r="Z2574" i="31"/>
  <c r="Z1621" i="31"/>
  <c r="Z2052" i="31"/>
  <c r="Z2618" i="31"/>
  <c r="Z782" i="31"/>
  <c r="Z539" i="31"/>
  <c r="Z1377" i="31"/>
  <c r="Z3339" i="31"/>
  <c r="Z414" i="31"/>
  <c r="Z547" i="31"/>
  <c r="Z3532" i="31"/>
  <c r="Z197" i="31"/>
  <c r="Z2250" i="31"/>
  <c r="Z145" i="31"/>
  <c r="Z3390" i="31"/>
  <c r="Z3294" i="31"/>
  <c r="Z1714" i="31"/>
  <c r="Z108" i="31"/>
  <c r="Z908" i="31"/>
  <c r="Z1395" i="31"/>
  <c r="Z1948" i="31"/>
  <c r="Z1147" i="31"/>
  <c r="Z1918" i="31"/>
  <c r="Z2809" i="31"/>
  <c r="Z327" i="31"/>
  <c r="Z2465" i="31"/>
  <c r="Z3114" i="31"/>
  <c r="Z3190" i="31"/>
  <c r="Z1029" i="31"/>
  <c r="Z1660" i="31"/>
  <c r="Z1971" i="31"/>
  <c r="Z836" i="31"/>
  <c r="Z2222" i="31"/>
  <c r="Z392" i="31"/>
  <c r="Z919" i="31"/>
  <c r="Z1842" i="31"/>
  <c r="Z196" i="31"/>
  <c r="Z2607" i="31"/>
  <c r="Z848" i="31"/>
  <c r="Z707" i="31"/>
  <c r="Z1030" i="31"/>
  <c r="Z388" i="31"/>
  <c r="Z1914" i="31"/>
  <c r="Z3544" i="31"/>
  <c r="Z1349" i="31"/>
  <c r="Z1313" i="31"/>
  <c r="Z2990" i="31"/>
  <c r="Z3229" i="31"/>
  <c r="Z728" i="31"/>
  <c r="Z1726" i="31"/>
  <c r="Z3159" i="31"/>
  <c r="Z367" i="31"/>
  <c r="Z2996" i="31"/>
  <c r="Z1866" i="31"/>
  <c r="Z1175" i="31"/>
  <c r="Z3253" i="31"/>
  <c r="Z3537" i="31"/>
  <c r="Z1722" i="31"/>
  <c r="Z2838" i="31"/>
  <c r="Z3181" i="31"/>
  <c r="Z268" i="31"/>
  <c r="Z1844" i="31"/>
  <c r="Z132" i="31"/>
  <c r="Z1266" i="31"/>
  <c r="Z1670" i="31"/>
  <c r="Z3067" i="31"/>
  <c r="Z3258" i="31"/>
  <c r="Z335" i="31"/>
  <c r="Z630" i="31"/>
  <c r="Z895" i="31"/>
  <c r="Z898" i="31"/>
  <c r="Z2785" i="31"/>
  <c r="Z2309" i="31"/>
  <c r="Z3239" i="31"/>
  <c r="Z893" i="31"/>
  <c r="Z1380" i="31"/>
  <c r="Z432" i="31"/>
  <c r="Z3247" i="31"/>
  <c r="Z3385" i="31"/>
  <c r="Z689" i="31"/>
  <c r="Z2016" i="31"/>
  <c r="Z3249" i="31"/>
  <c r="Z760" i="31"/>
  <c r="Z3276" i="31"/>
  <c r="Z1577" i="31"/>
  <c r="Z488" i="31"/>
  <c r="Z2215" i="31"/>
  <c r="Z3202" i="31"/>
  <c r="Z2556" i="31"/>
  <c r="Z3299" i="31"/>
  <c r="Z1705" i="31"/>
  <c r="Z1274" i="31"/>
  <c r="Z2790" i="31"/>
  <c r="Z2872" i="31"/>
  <c r="Z1134" i="31"/>
  <c r="Z695" i="31"/>
  <c r="Z2148" i="31"/>
  <c r="Z453" i="31"/>
  <c r="Z41" i="31"/>
  <c r="Z489" i="31"/>
  <c r="Z448" i="31"/>
  <c r="Z2140" i="31"/>
  <c r="Z2516" i="31"/>
  <c r="Z1051" i="31"/>
  <c r="Z1713" i="31"/>
  <c r="Z3386" i="31"/>
  <c r="Z1497" i="31"/>
  <c r="Z1595" i="31"/>
  <c r="Z1268" i="31"/>
  <c r="Z604" i="31"/>
  <c r="Z1415" i="31"/>
  <c r="Z2286" i="31"/>
  <c r="Z1241" i="31"/>
  <c r="Z1717" i="31"/>
  <c r="Z2022" i="31"/>
  <c r="Z1799" i="31"/>
  <c r="Z3413" i="31"/>
  <c r="Z2100" i="31"/>
  <c r="Z2959" i="31"/>
  <c r="Z1121" i="31"/>
  <c r="Z819" i="31"/>
  <c r="Z2946" i="31"/>
  <c r="Z419" i="31"/>
  <c r="Z3281" i="31"/>
  <c r="Z117" i="31"/>
  <c r="Z2448" i="31"/>
  <c r="Z2869" i="31"/>
  <c r="Z1309" i="31"/>
  <c r="Z2886" i="31"/>
  <c r="Z3354" i="31"/>
  <c r="Z1552" i="31"/>
  <c r="Z1379" i="31"/>
  <c r="Z1019" i="31"/>
  <c r="Z1173" i="31"/>
  <c r="Z558" i="31"/>
  <c r="Z1667" i="31"/>
  <c r="Z84" i="31"/>
  <c r="Z3050" i="31"/>
  <c r="Z646" i="31"/>
  <c r="Z3162" i="31"/>
  <c r="Z2115" i="31"/>
  <c r="Z929" i="31"/>
  <c r="Z1083" i="31"/>
  <c r="Z2695" i="31"/>
  <c r="Z838" i="31"/>
  <c r="Z2585" i="31"/>
  <c r="Z316" i="31"/>
  <c r="Z2643" i="31"/>
  <c r="Z3357" i="31"/>
  <c r="Z3051" i="31"/>
  <c r="Z3318" i="31"/>
  <c r="Z3200" i="31"/>
  <c r="Z1936" i="31"/>
  <c r="Z1885" i="31"/>
  <c r="Z1276" i="31"/>
  <c r="Z298" i="31"/>
  <c r="Z3317" i="31"/>
  <c r="Z2174" i="31"/>
  <c r="Z452" i="31"/>
  <c r="Z14" i="31"/>
  <c r="Z1269" i="31"/>
  <c r="Z3500" i="31"/>
  <c r="Z2305" i="31"/>
  <c r="Z512" i="31"/>
  <c r="Z589" i="31"/>
  <c r="Z835" i="31"/>
  <c r="Z1526" i="31"/>
  <c r="Z40" i="31"/>
  <c r="Z3225" i="31"/>
  <c r="Z3416" i="31"/>
  <c r="Z3231" i="31"/>
  <c r="Z1040" i="31"/>
  <c r="Z1779" i="31"/>
  <c r="Z2323" i="31"/>
  <c r="Z1431" i="31"/>
  <c r="Z3368" i="31"/>
  <c r="Z2839" i="31"/>
  <c r="Z3272" i="31"/>
  <c r="Z371" i="31"/>
  <c r="Z1162" i="31"/>
  <c r="Z99" i="31"/>
  <c r="Z2243" i="31"/>
  <c r="Z735" i="31"/>
  <c r="Z141" i="31"/>
  <c r="Z3378" i="31"/>
  <c r="Z2784" i="31"/>
  <c r="Z623" i="31"/>
  <c r="Z2660" i="31"/>
  <c r="Z1329" i="31"/>
  <c r="Z157" i="31"/>
  <c r="Z3533" i="31"/>
  <c r="Z3519" i="31"/>
  <c r="Z256" i="31"/>
  <c r="Z1124" i="31"/>
  <c r="Z2582" i="31"/>
  <c r="Z1299" i="31"/>
  <c r="Z2661" i="31"/>
  <c r="Z1188" i="31"/>
  <c r="Z3534" i="31"/>
  <c r="Z1831" i="31"/>
  <c r="Z1958" i="31"/>
  <c r="Z553" i="31"/>
  <c r="Z59" i="31"/>
  <c r="Z1176" i="31"/>
  <c r="Z3183" i="31"/>
  <c r="Z860" i="31"/>
  <c r="Z290" i="31"/>
  <c r="Z1159" i="31"/>
  <c r="Z1373" i="31"/>
  <c r="Z2486" i="31"/>
  <c r="Z1520" i="31"/>
  <c r="Z2397" i="31"/>
  <c r="Z970" i="31"/>
  <c r="Z1389" i="31"/>
  <c r="Z653" i="31"/>
  <c r="Z2117" i="31"/>
  <c r="Z177" i="31"/>
  <c r="Z1253" i="31"/>
  <c r="Z1414" i="31"/>
  <c r="Z778" i="31"/>
  <c r="Z2914" i="31"/>
  <c r="Z1938" i="31"/>
  <c r="Z243" i="31"/>
  <c r="Z1543" i="31"/>
  <c r="Z1142" i="31"/>
  <c r="Z2138" i="31"/>
  <c r="Z1385" i="31"/>
  <c r="Z930" i="31"/>
  <c r="Z2961" i="31"/>
  <c r="Z644" i="31"/>
  <c r="Z1770" i="31"/>
  <c r="Z1285" i="31"/>
  <c r="Z126" i="31"/>
  <c r="Z2483" i="31"/>
  <c r="T60" i="31"/>
  <c r="Z1027" i="31"/>
  <c r="Z2300" i="31"/>
  <c r="Z1615" i="31"/>
  <c r="Z2476" i="31"/>
  <c r="Z3268" i="31"/>
  <c r="Z2575" i="31"/>
  <c r="Z2045" i="31"/>
  <c r="Z3514" i="31"/>
  <c r="Z2816" i="31"/>
  <c r="Z1143" i="31"/>
  <c r="Z120" i="31"/>
  <c r="Z3176" i="31"/>
  <c r="Z1076" i="31"/>
  <c r="Z2963" i="31"/>
  <c r="Z1367" i="31"/>
  <c r="Z2738" i="31"/>
  <c r="Z918" i="31"/>
  <c r="Z857" i="31"/>
  <c r="Z344" i="31"/>
  <c r="Z982" i="31"/>
  <c r="Z2072" i="31"/>
  <c r="Z744" i="31"/>
  <c r="Z2569" i="31"/>
  <c r="Z2460" i="31"/>
  <c r="Z1541" i="31"/>
  <c r="Z1097" i="31"/>
  <c r="Z2979" i="31"/>
  <c r="Z3023" i="31"/>
  <c r="Z1506" i="31"/>
  <c r="Z2579" i="31"/>
  <c r="Z3136" i="31"/>
  <c r="Z1201" i="31"/>
  <c r="Z1878" i="31"/>
  <c r="Z3525" i="31"/>
  <c r="Z3531" i="31"/>
  <c r="Z3432" i="31"/>
  <c r="Z1671" i="31"/>
  <c r="Z1138" i="31"/>
  <c r="Z2811" i="31"/>
  <c r="Z1510" i="31"/>
  <c r="Z176" i="31"/>
  <c r="Z741" i="31"/>
  <c r="Z1448" i="31"/>
  <c r="Z1925" i="31"/>
  <c r="Z538" i="31"/>
  <c r="Z1149" i="31"/>
  <c r="Z1434" i="31"/>
  <c r="Z3240" i="31"/>
  <c r="Z2177" i="31"/>
  <c r="Z1291" i="31"/>
  <c r="Z587" i="31"/>
  <c r="Z1931" i="31"/>
  <c r="Z673" i="31"/>
  <c r="Z934" i="31"/>
  <c r="Z935" i="31"/>
  <c r="Z3367" i="31"/>
  <c r="Z3352" i="31"/>
  <c r="Z1072" i="31"/>
  <c r="Z890" i="31"/>
  <c r="Z2158" i="31"/>
  <c r="Z1454" i="31"/>
  <c r="Z2656" i="31"/>
  <c r="Z423" i="31"/>
  <c r="Z2299" i="31"/>
  <c r="Z846" i="31"/>
  <c r="Z115" i="31"/>
  <c r="Z219" i="31"/>
  <c r="Z2554" i="31"/>
  <c r="Z2402" i="31"/>
  <c r="Z2894" i="31"/>
  <c r="Z1703" i="31"/>
  <c r="Z834" i="31"/>
  <c r="Z207" i="31"/>
  <c r="Z3284" i="31"/>
  <c r="Z2306" i="31"/>
  <c r="Z437" i="31"/>
  <c r="Z90" i="31"/>
  <c r="Z1224" i="31"/>
  <c r="Z564" i="31"/>
  <c r="Z1775" i="31"/>
  <c r="Z1820" i="31"/>
  <c r="Z3172" i="31"/>
  <c r="Z904" i="31"/>
  <c r="Z3496" i="31"/>
  <c r="Z740" i="31"/>
  <c r="Z2645" i="31"/>
  <c r="Z960" i="31"/>
  <c r="Z1281" i="31"/>
  <c r="Z3356" i="31"/>
  <c r="Z1437" i="31"/>
  <c r="Z1199" i="31"/>
  <c r="Z770" i="31"/>
  <c r="Z2806" i="31"/>
  <c r="Z446" i="31"/>
  <c r="Z2832" i="31"/>
  <c r="Z1009" i="31"/>
  <c r="Z2499" i="31"/>
  <c r="Z701" i="31"/>
  <c r="Z143" i="31"/>
  <c r="Z1452" i="31"/>
  <c r="Z1294" i="31"/>
  <c r="Z2759" i="31"/>
  <c r="Z2515" i="31"/>
  <c r="Z1284" i="31"/>
  <c r="Z2290" i="31"/>
  <c r="Z722" i="31"/>
  <c r="Z2097" i="31"/>
  <c r="Z906" i="31"/>
  <c r="Z528" i="31"/>
  <c r="Z1736" i="31"/>
  <c r="Z1372" i="31"/>
  <c r="Z2605" i="31"/>
  <c r="Z3280" i="31"/>
  <c r="Z995" i="31"/>
  <c r="Z2113" i="31"/>
  <c r="Z1582" i="31"/>
  <c r="Z2221" i="31"/>
  <c r="Z3069" i="31"/>
  <c r="Z1890" i="31"/>
  <c r="Z1630" i="31"/>
  <c r="Z2450" i="31"/>
  <c r="Z684" i="31"/>
  <c r="Z1923" i="31"/>
  <c r="Z2805" i="31"/>
  <c r="Z753" i="31"/>
  <c r="Z1399" i="31"/>
  <c r="Z2385" i="31"/>
  <c r="Z3061" i="31"/>
  <c r="Z277" i="31"/>
  <c r="Z1521" i="31"/>
  <c r="Z2665" i="31"/>
  <c r="Z2823" i="31"/>
  <c r="Z2241" i="31"/>
  <c r="Z903" i="31"/>
  <c r="Z2926" i="31"/>
  <c r="Z2537" i="31"/>
  <c r="Z3144" i="31"/>
  <c r="Z1907" i="31"/>
  <c r="Z3101" i="31"/>
  <c r="Z606" i="31"/>
  <c r="Z1049" i="31"/>
  <c r="Z2304" i="31"/>
  <c r="Z614" i="31"/>
  <c r="Z3128" i="31"/>
  <c r="Z252" i="31"/>
  <c r="Z3165" i="31"/>
  <c r="Z784" i="31"/>
  <c r="Z1884" i="31"/>
  <c r="Z1837" i="31"/>
  <c r="Z226" i="31"/>
  <c r="Z636" i="31"/>
  <c r="Z3376" i="31"/>
  <c r="Z2820" i="31"/>
  <c r="Z1308" i="31"/>
  <c r="Z756" i="31"/>
  <c r="Z3216" i="31"/>
  <c r="Z2453" i="31"/>
  <c r="Z3187" i="31"/>
  <c r="Z540" i="31"/>
  <c r="Z3041" i="31"/>
  <c r="Z639" i="31"/>
  <c r="Z768" i="31"/>
  <c r="Z1758" i="31"/>
  <c r="Z3148" i="31"/>
  <c r="Z1427" i="31"/>
  <c r="Z1711" i="31"/>
  <c r="Z3310" i="31"/>
  <c r="Z675" i="31"/>
  <c r="Z264" i="31"/>
  <c r="Z913" i="31"/>
  <c r="Z3038" i="31"/>
  <c r="Z2944" i="31"/>
  <c r="Z922" i="31"/>
  <c r="Z1010" i="31"/>
  <c r="Z2319" i="31"/>
  <c r="Z1698" i="31"/>
  <c r="Z1678" i="31"/>
  <c r="Z1306" i="31"/>
  <c r="Z972" i="31"/>
  <c r="Z2489" i="31"/>
  <c r="Z2094" i="31"/>
  <c r="Z3058" i="31"/>
  <c r="Z2589" i="31"/>
  <c r="Z1908" i="31"/>
  <c r="Z700" i="31"/>
  <c r="Z747" i="31"/>
  <c r="Z2359" i="31"/>
  <c r="Z2341" i="31"/>
  <c r="Z624" i="31"/>
  <c r="Z1433" i="31"/>
  <c r="Z442" i="31"/>
  <c r="Z3160" i="31"/>
  <c r="Z1613" i="31"/>
  <c r="Z2111" i="31"/>
  <c r="Z1137" i="31"/>
  <c r="Z1223" i="31"/>
  <c r="Z1839" i="31"/>
  <c r="Z477" i="31"/>
  <c r="Z2827" i="31"/>
  <c r="Z2602" i="31"/>
  <c r="Z378" i="31"/>
  <c r="Z1035" i="31"/>
  <c r="Z777" i="31"/>
  <c r="Z1383" i="31"/>
  <c r="Z1562" i="31"/>
  <c r="Z1312" i="31"/>
  <c r="Z3509" i="31"/>
  <c r="Z3289" i="31"/>
  <c r="Z2488" i="31"/>
  <c r="Z2156" i="31"/>
  <c r="Z289" i="31"/>
  <c r="Z562" i="31"/>
  <c r="Z2722" i="31"/>
  <c r="Z3230" i="31"/>
  <c r="Z1000" i="31"/>
  <c r="Z3107" i="31"/>
  <c r="Z1898" i="31"/>
  <c r="Z1515" i="31"/>
  <c r="Z2269" i="31"/>
  <c r="Z965" i="31"/>
  <c r="Z941" i="31"/>
  <c r="Z1697" i="31"/>
  <c r="Z3470" i="31"/>
  <c r="Z725" i="31"/>
  <c r="Z1412" i="31"/>
  <c r="Z1720" i="31"/>
  <c r="Z519" i="31"/>
  <c r="Z2714" i="31"/>
  <c r="Z945" i="31"/>
  <c r="Z1017" i="31"/>
  <c r="Z1360" i="31"/>
  <c r="Z2547" i="31"/>
  <c r="Z825" i="31"/>
  <c r="Z2984" i="31"/>
  <c r="Z1790" i="31"/>
  <c r="Z2905" i="31"/>
  <c r="Z609" i="31"/>
  <c r="Z1235" i="31"/>
  <c r="Z1020" i="31"/>
  <c r="Z1618" i="31"/>
  <c r="Z1644" i="31"/>
  <c r="Z2858" i="31"/>
  <c r="Z372" i="31"/>
  <c r="Z233" i="31"/>
  <c r="Z2726" i="31"/>
  <c r="Z3332" i="31"/>
  <c r="Z2508" i="31"/>
  <c r="Z1699" i="31"/>
  <c r="Z2609" i="31"/>
  <c r="Z3109" i="31"/>
  <c r="Z75" i="31"/>
  <c r="Z2793" i="31"/>
  <c r="Z2375" i="31"/>
  <c r="Z411" i="31"/>
  <c r="Z1805" i="31"/>
  <c r="Z495" i="31"/>
  <c r="Z1818" i="31"/>
  <c r="Z3130" i="31"/>
  <c r="Z358" i="31"/>
  <c r="Z1823" i="31"/>
  <c r="Z3070" i="31"/>
  <c r="Z451" i="31"/>
  <c r="Z2457" i="31"/>
  <c r="Z1987" i="31"/>
  <c r="Z1117" i="31"/>
  <c r="Z1999" i="31"/>
  <c r="Z1921" i="31"/>
  <c r="Z331" i="31"/>
  <c r="Z2464" i="31"/>
  <c r="Z1915" i="31"/>
  <c r="Z714" i="31"/>
  <c r="Z89" i="31"/>
  <c r="Z476" i="31"/>
  <c r="Z1560" i="31"/>
  <c r="Z861" i="31"/>
  <c r="Z131" i="31"/>
  <c r="Z1760" i="31"/>
  <c r="Z810" i="31"/>
  <c r="Z386" i="31"/>
  <c r="Z381" i="31"/>
  <c r="Z1255" i="31"/>
  <c r="Z1903" i="31"/>
  <c r="Z3003" i="31"/>
  <c r="Z2903" i="31"/>
  <c r="Z28" i="31"/>
  <c r="Z2293" i="31"/>
  <c r="Z3191" i="31"/>
  <c r="Z1628" i="31"/>
  <c r="Z679" i="31"/>
  <c r="Z2452" i="31"/>
  <c r="Z1744" i="31"/>
  <c r="Z721" i="31"/>
  <c r="Z555" i="31"/>
  <c r="Z365" i="31"/>
  <c r="Z828" i="31"/>
  <c r="Z1022" i="31"/>
  <c r="Z2769" i="31"/>
  <c r="Z3147" i="31"/>
  <c r="Z3196" i="31"/>
  <c r="Z1780" i="31"/>
  <c r="Z2245" i="31"/>
  <c r="Z2671" i="31"/>
  <c r="Z533" i="31"/>
  <c r="Z267" i="31"/>
  <c r="Z3273" i="31"/>
  <c r="Z1438" i="31"/>
  <c r="Z3102" i="31"/>
  <c r="Z2355" i="31"/>
  <c r="Z1629" i="31"/>
  <c r="Z2180" i="31"/>
  <c r="Z2112" i="31"/>
  <c r="Z3033" i="31"/>
  <c r="Z3417" i="31"/>
  <c r="Z2943" i="31"/>
  <c r="Z3173" i="31"/>
  <c r="Z3245" i="31"/>
  <c r="Z151" i="31"/>
  <c r="Z3088" i="31"/>
  <c r="Z1882" i="31"/>
  <c r="Z1347" i="31"/>
  <c r="Z2533" i="31"/>
  <c r="Z3455" i="31"/>
  <c r="Z2844" i="31"/>
  <c r="Z2139" i="31"/>
  <c r="Z590" i="31"/>
  <c r="Z2964" i="31"/>
  <c r="Z2291" i="31"/>
  <c r="Z3320" i="31"/>
  <c r="Z361" i="31"/>
  <c r="Z3497" i="31"/>
  <c r="Z2634" i="31"/>
  <c r="Z1735" i="31"/>
  <c r="Z1956" i="31"/>
  <c r="Z1375" i="31"/>
  <c r="Z1248" i="31"/>
  <c r="Z2035" i="31"/>
  <c r="Z473" i="31"/>
  <c r="R35" i="31"/>
  <c r="S35" i="31"/>
  <c r="R63" i="31"/>
  <c r="S63" i="31"/>
  <c r="R51" i="31"/>
  <c r="S51" i="31"/>
  <c r="R58" i="31"/>
  <c r="S58" i="31"/>
  <c r="R17" i="31"/>
  <c r="S17" i="31"/>
  <c r="R45" i="31"/>
  <c r="S45" i="31"/>
  <c r="R27" i="31"/>
  <c r="S27" i="31"/>
  <c r="R18" i="31"/>
  <c r="S18" i="31"/>
  <c r="R28" i="31"/>
  <c r="S28" i="31"/>
  <c r="R21" i="31"/>
  <c r="S21" i="31"/>
  <c r="R34" i="31"/>
  <c r="S34" i="31"/>
  <c r="R44" i="31"/>
  <c r="S44" i="31"/>
  <c r="R11" i="31"/>
  <c r="S11" i="31"/>
  <c r="R29" i="31"/>
  <c r="S29" i="31"/>
  <c r="R42" i="31"/>
  <c r="S42" i="31"/>
  <c r="R22" i="31"/>
  <c r="S22" i="31"/>
  <c r="R33" i="31"/>
  <c r="S33" i="31"/>
  <c r="R38" i="31"/>
  <c r="S38" i="31"/>
  <c r="R25" i="31"/>
  <c r="S25" i="31"/>
  <c r="R57" i="31"/>
  <c r="S57" i="31"/>
  <c r="R26" i="31"/>
  <c r="S26" i="31"/>
  <c r="R37" i="31"/>
  <c r="S37" i="31"/>
  <c r="R53" i="31"/>
  <c r="S53" i="31"/>
  <c r="R31" i="31"/>
  <c r="S31" i="31"/>
  <c r="R20" i="31"/>
  <c r="S20" i="31"/>
  <c r="R12" i="31"/>
  <c r="S12" i="31"/>
  <c r="R59" i="31"/>
  <c r="S59" i="31"/>
  <c r="R54" i="31"/>
  <c r="S54" i="31"/>
  <c r="R39" i="31"/>
  <c r="S39" i="31"/>
  <c r="R43" i="31"/>
  <c r="S43" i="31"/>
  <c r="R56" i="31"/>
  <c r="S56" i="31"/>
  <c r="R50" i="31"/>
  <c r="S50" i="31"/>
  <c r="R36" i="31"/>
  <c r="S36" i="31"/>
  <c r="R32" i="31"/>
  <c r="S32" i="31"/>
  <c r="R55" i="31"/>
  <c r="S55" i="31"/>
  <c r="R13" i="31"/>
  <c r="S13" i="31"/>
  <c r="R24" i="31"/>
  <c r="S24" i="31"/>
  <c r="R62" i="31"/>
  <c r="S62" i="31"/>
  <c r="R15" i="31"/>
  <c r="S15" i="31"/>
  <c r="R23" i="31"/>
  <c r="S23" i="31"/>
  <c r="R41" i="31"/>
  <c r="S41" i="31"/>
  <c r="R30" i="31"/>
  <c r="S30" i="31"/>
  <c r="R14" i="31"/>
  <c r="S14" i="31"/>
  <c r="R52" i="31"/>
  <c r="S52" i="31"/>
  <c r="R64" i="31"/>
  <c r="S64" i="31"/>
  <c r="R16" i="31"/>
  <c r="S16" i="31"/>
  <c r="R19" i="31"/>
  <c r="S19" i="31"/>
  <c r="T38" i="31" l="1"/>
  <c r="T35" i="31"/>
  <c r="T26" i="31"/>
  <c r="T31" i="31"/>
  <c r="T58" i="31"/>
  <c r="T51" i="31"/>
  <c r="T53" i="31"/>
  <c r="T33" i="31"/>
  <c r="T44" i="31"/>
  <c r="T15" i="31"/>
  <c r="T18" i="31"/>
  <c r="T17" i="31"/>
  <c r="T63" i="31"/>
  <c r="T32" i="31"/>
  <c r="T25" i="31"/>
  <c r="T55" i="31"/>
  <c r="T19" i="31"/>
  <c r="T30" i="31"/>
  <c r="T36" i="31"/>
  <c r="T59" i="31"/>
  <c r="T16" i="31"/>
  <c r="T50" i="31"/>
  <c r="T34" i="31"/>
  <c r="T23" i="31"/>
  <c r="T42" i="31"/>
  <c r="T37" i="31"/>
  <c r="T29" i="31"/>
  <c r="T57" i="31"/>
  <c r="T62" i="31"/>
  <c r="T22" i="31"/>
  <c r="T11" i="31"/>
  <c r="T20" i="31"/>
  <c r="T56" i="31"/>
  <c r="T24" i="31"/>
  <c r="T52" i="31"/>
  <c r="T41" i="31"/>
  <c r="T64" i="31"/>
  <c r="T27" i="31"/>
  <c r="T14" i="31"/>
  <c r="T21" i="31"/>
  <c r="T54" i="31"/>
  <c r="T43" i="31"/>
  <c r="T13" i="31"/>
  <c r="T28" i="31"/>
  <c r="T39" i="31"/>
  <c r="T12" i="31"/>
  <c r="T45" i="31"/>
  <c r="R46" i="31"/>
  <c r="S46" i="31"/>
  <c r="T46" i="31" l="1"/>
  <c r="R49" i="31"/>
  <c r="S49" i="31"/>
  <c r="T49" i="31" l="1"/>
  <c r="R48" i="31"/>
  <c r="S48" i="31"/>
  <c r="T48" i="31" l="1"/>
  <c r="R40" i="31"/>
  <c r="S40" i="31"/>
  <c r="K4" i="31"/>
  <c r="K5" i="31"/>
  <c r="J9" i="31"/>
  <c r="J6" i="31"/>
  <c r="K9" i="31"/>
  <c r="K3" i="31"/>
  <c r="J3" i="31"/>
  <c r="K8" i="31"/>
  <c r="J4" i="31"/>
  <c r="J7" i="31"/>
  <c r="K6" i="31"/>
  <c r="K7" i="31"/>
  <c r="J8" i="31"/>
  <c r="J5" i="31"/>
  <c r="T40" i="31" l="1"/>
  <c r="G9" i="31"/>
  <c r="H9" i="31"/>
  <c r="I9" i="31" s="1"/>
  <c r="G6" i="31"/>
  <c r="H8" i="31"/>
  <c r="I8" i="31" s="1"/>
  <c r="G8" i="31"/>
  <c r="H3" i="31"/>
  <c r="G3" i="31"/>
  <c r="H4" i="31"/>
  <c r="G4" i="31"/>
  <c r="I4" i="31" s="1"/>
  <c r="G5" i="31"/>
  <c r="G7" i="31"/>
  <c r="H6" i="31"/>
  <c r="I6" i="31" s="1"/>
  <c r="H7" i="31"/>
  <c r="H5" i="31"/>
  <c r="U11" i="31"/>
  <c r="I7" i="31" l="1"/>
  <c r="I3" i="31"/>
  <c r="I5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<sst xmlns="http://schemas.openxmlformats.org/spreadsheetml/2006/main" count="335" uniqueCount="163">
  <si>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</si>
  <si>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</si>
  <si>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</si>
  <si>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</si>
  <si>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</si>
  <si>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</si>
  <si>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</si>
  <si>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</si>
  <si>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</si>
  <si>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</si>
  <si>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</si>
  <si>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</si>
  <si>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</si>
  <si>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</si>
  <si>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</si>
  <si>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</si>
  <si>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</si>
  <si>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</si>
  <si>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</si>
  <si>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</si>
  <si>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</si>
  <si>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</si>
  <si>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</si>
  <si>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</si>
  <si>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</si>
  <si>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</si>
  <si>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</si>
  <si>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</si>
  <si>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</si>
  <si>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</si>
  <si>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</si>
  <si>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</si>
  <si>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</si>
  <si>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</si>
  <si>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</si>
  <si>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</si>
  <si>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</si>
  <si>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</si>
  <si>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</si>
  <si>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</si>
  <si>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</si>
  <si>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</si>
  <si>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</si>
  <si>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</si>
  <si>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</si>
  <si>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</si>
  <si>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</si>
  <si>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</si>
  <si>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</si>
  <si>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</si>
  <si>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</si>
  <si>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</si>
  <si>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</si>
  <si>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</si>
  <si>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</si>
  <si>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</si>
  <si>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</si>
  <si>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</si>
  <si>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</si>
  <si>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</si>
  <si>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</si>
  <si>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</si>
  <si>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</si>
  <si>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</si>
  <si>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</si>
  <si>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</si>
  <si>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</si>
  <si>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</si>
  <si>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</si>
  <si>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</si>
  <si>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</si>
  <si>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</si>
  <si>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</si>
  <si>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</si>
  <si>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</si>
  <si>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</si>
  <si>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</si>
  <si>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</si>
  <si>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</si>
  <si>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</si>
  <si>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</si>
  <si>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</si>
  <si>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</si>
  <si>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</si>
  <si>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</si>
  <si>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</si>
  <si>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</si>
  <si>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</si>
  <si>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</si>
  <si>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</si>
  <si>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</si>
  <si>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</si>
  <si>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</si>
  <si>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</si>
  <si>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</si>
  <si>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</si>
  <si>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</si>
  <si>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</si>
  <si>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</si>
  <si>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</si>
  <si>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</si>
  <si>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</si>
  <si>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</si>
  <si>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</si>
  <si>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</si>
  <si>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</si>
  <si>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</si>
  <si>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</si>
  <si>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</si>
  <si>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</si>
  <si>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</si>
  <si>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</si>
  <si>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</si>
  <si>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</si>
  <si>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</si>
  <si>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</si>
  <si>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</si>
  <si>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</si>
  <si>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</si>
  <si>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</si>
  <si>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</si>
  <si>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</si>
  <si>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</si>
  <si>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</si>
  <si>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</si>
  <si>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</si>
  <si>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</si>
  <si>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</si>
  <si>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</si>
  <si>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</si>
  <si>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</si>
  <si>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</si>
  <si>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</si>
  <si>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</si>
  <si>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</si>
  <si>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</si>
  <si>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</si>
  <si>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</si>
  <si>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</si>
  <si>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</si>
  <si>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</si>
  <si>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</si>
  <si>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</si>
  <si>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</si>
  <si>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</si>
  <si>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</si>
  <si>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</si>
  <si>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</si>
  <si>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</si>
  <si>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</si>
  <si>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</si>
  <si>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</si>
  <si>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</si>
  <si>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</si>
  <si>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</si>
  <si>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</si>
  <si>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</si>
  <si>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</si>
  <si>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</si>
  <si>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</si>
  <si>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</si>
  <si>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</si>
  <si>
    <t>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</si>
</sst>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42142</c:v>
                </c:pt>
                <c:pt idx="4">
                  <c:v>42143</c:v>
                </c:pt>
                <c:pt idx="5">
                  <c:v>42144</c:v>
                </c:pt>
                <c:pt idx="6">
                  <c:v>42145</c:v>
                </c:pt>
                <c:pt idx="7">
                  <c:v>42146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42520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42611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42731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42886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43097</c:v>
                </c:pt>
                <c:pt idx="549">
                  <c:v>43104</c:v>
                </c:pt>
                <c:pt idx="550">
                  <c:v>43111</c:v>
                </c:pt>
                <c:pt idx="551">
                  <c:v>43118</c:v>
                </c:pt>
                <c:pt idx="552">
                  <c:v>43125</c:v>
                </c:pt>
                <c:pt idx="553">
                  <c:v>43132</c:v>
                </c:pt>
                <c:pt idx="554">
                  <c:v>43139</c:v>
                </c:pt>
                <c:pt idx="555">
                  <c:v>43146</c:v>
                </c:pt>
                <c:pt idx="556">
                  <c:v>43153</c:v>
                </c:pt>
                <c:pt idx="557">
                  <c:v>43160</c:v>
                </c:pt>
                <c:pt idx="558">
                  <c:v>43167</c:v>
                </c:pt>
                <c:pt idx="559">
                  <c:v>43174</c:v>
                </c:pt>
                <c:pt idx="560">
                  <c:v>43181</c:v>
                </c:pt>
                <c:pt idx="561">
                  <c:v>43188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43462</c:v>
                </c:pt>
                <c:pt idx="601">
                  <c:v>43469</c:v>
                </c:pt>
                <c:pt idx="602">
                  <c:v>43476</c:v>
                </c:pt>
                <c:pt idx="603">
                  <c:v>43483</c:v>
                </c:pt>
                <c:pt idx="604">
                  <c:v>43490</c:v>
                </c:pt>
                <c:pt idx="605">
                  <c:v>43497</c:v>
                </c:pt>
                <c:pt idx="606">
                  <c:v>43504</c:v>
                </c:pt>
                <c:pt idx="607">
                  <c:v>43511</c:v>
                </c:pt>
                <c:pt idx="608">
                  <c:v>43518</c:v>
                </c:pt>
                <c:pt idx="609">
                  <c:v>43525</c:v>
                </c:pt>
                <c:pt idx="610">
                  <c:v>43532</c:v>
                </c:pt>
                <c:pt idx="611">
                  <c:v>43539</c:v>
                </c:pt>
                <c:pt idx="612">
                  <c:v>43546</c:v>
                </c:pt>
                <c:pt idx="613">
                  <c:v>43553</c:v>
                </c:pt>
                <c:pt idx="614">
                  <c:v>43560</c:v>
                </c:pt>
                <c:pt idx="615">
                  <c:v>43567</c:v>
                </c:pt>
                <c:pt idx="616">
                  <c:v>43578</c:v>
                </c:pt>
                <c:pt idx="617">
                  <c:v>43581</c:v>
                </c:pt>
                <c:pt idx="618">
                  <c:v>43588</c:v>
                </c:pt>
                <c:pt idx="619">
                  <c:v>43595</c:v>
                </c:pt>
                <c:pt idx="620">
                  <c:v>43602</c:v>
                </c:pt>
                <c:pt idx="621">
                  <c:v>43609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43703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43829</c:v>
                </c:pt>
                <c:pt idx="653">
                  <c:v>43836</c:v>
                </c:pt>
                <c:pt idx="654">
                  <c:v>43843</c:v>
                </c:pt>
                <c:pt idx="655">
                  <c:v>43850</c:v>
                </c:pt>
                <c:pt idx="656">
                  <c:v>43857</c:v>
                </c:pt>
                <c:pt idx="657">
                  <c:v>43864</c:v>
                </c:pt>
                <c:pt idx="658">
                  <c:v>43871</c:v>
                </c:pt>
                <c:pt idx="659">
                  <c:v>43878</c:v>
                </c:pt>
                <c:pt idx="660">
                  <c:v>43885</c:v>
                </c:pt>
                <c:pt idx="661">
                  <c:v>43892</c:v>
                </c:pt>
                <c:pt idx="662">
                  <c:v>43899</c:v>
                </c:pt>
                <c:pt idx="663">
                  <c:v>43906</c:v>
                </c:pt>
                <c:pt idx="664">
                  <c:v>43913</c:v>
                </c:pt>
                <c:pt idx="665">
                  <c:v>43920</c:v>
                </c:pt>
                <c:pt idx="666">
                  <c:v>43927</c:v>
                </c:pt>
                <c:pt idx="667">
                  <c:v>43936</c:v>
                </c:pt>
                <c:pt idx="668">
                  <c:v>43943</c:v>
                </c:pt>
                <c:pt idx="669">
                  <c:v>43950</c:v>
                </c:pt>
                <c:pt idx="670">
                  <c:v>43957</c:v>
                </c:pt>
                <c:pt idx="671">
                  <c:v>43964</c:v>
                </c:pt>
                <c:pt idx="672">
                  <c:v>43971</c:v>
                </c:pt>
                <c:pt idx="673">
                  <c:v>43978</c:v>
                </c:pt>
                <c:pt idx="674">
                  <c:v>43985</c:v>
                </c:pt>
                <c:pt idx="675">
                  <c:v>43992</c:v>
                </c:pt>
                <c:pt idx="676">
                  <c:v>43999</c:v>
                </c:pt>
                <c:pt idx="677">
                  <c:v>44006</c:v>
                </c:pt>
                <c:pt idx="678">
                  <c:v>44013</c:v>
                </c:pt>
                <c:pt idx="679">
                  <c:v>44020</c:v>
                </c:pt>
                <c:pt idx="680">
                  <c:v>44027</c:v>
                </c:pt>
                <c:pt idx="681">
                  <c:v>44034</c:v>
                </c:pt>
                <c:pt idx="682">
                  <c:v>44041</c:v>
                </c:pt>
                <c:pt idx="683">
                  <c:v>44048</c:v>
                </c:pt>
                <c:pt idx="684">
                  <c:v>44055</c:v>
                </c:pt>
                <c:pt idx="685">
                  <c:v>44062</c:v>
                </c:pt>
                <c:pt idx="686">
                  <c:v>44069</c:v>
                </c:pt>
                <c:pt idx="687">
                  <c:v>44076</c:v>
                </c:pt>
                <c:pt idx="688">
                  <c:v>44083</c:v>
                </c:pt>
                <c:pt idx="689">
                  <c:v>44090</c:v>
                </c:pt>
                <c:pt idx="690">
                  <c:v>44097</c:v>
                </c:pt>
                <c:pt idx="691">
                  <c:v>44104</c:v>
                </c:pt>
                <c:pt idx="692">
                  <c:v>44111</c:v>
                </c:pt>
                <c:pt idx="693">
                  <c:v>44118</c:v>
                </c:pt>
                <c:pt idx="694">
                  <c:v>44125</c:v>
                </c:pt>
                <c:pt idx="695">
                  <c:v>44132</c:v>
                </c:pt>
                <c:pt idx="696">
                  <c:v>44139</c:v>
                </c:pt>
                <c:pt idx="697">
                  <c:v>44146</c:v>
                </c:pt>
                <c:pt idx="698">
                  <c:v>44153</c:v>
                </c:pt>
                <c:pt idx="699">
                  <c:v>44160</c:v>
                </c:pt>
                <c:pt idx="700">
                  <c:v>44167</c:v>
                </c:pt>
                <c:pt idx="701">
                  <c:v>44174</c:v>
                </c:pt>
                <c:pt idx="702">
                  <c:v>44181</c:v>
                </c:pt>
                <c:pt idx="703">
                  <c:v>44188</c:v>
                </c:pt>
                <c:pt idx="704">
                  <c:v>44195</c:v>
                </c:pt>
                <c:pt idx="705">
                  <c:v>44202</c:v>
                </c:pt>
                <c:pt idx="706">
                  <c:v>44209</c:v>
                </c:pt>
                <c:pt idx="707">
                  <c:v>44216</c:v>
                </c:pt>
                <c:pt idx="708">
                  <c:v>44223</c:v>
                </c:pt>
                <c:pt idx="709">
                  <c:v>44230</c:v>
                </c:pt>
                <c:pt idx="710">
                  <c:v>44237</c:v>
                </c:pt>
                <c:pt idx="711">
                  <c:v>44244</c:v>
                </c:pt>
                <c:pt idx="712">
                  <c:v>44251</c:v>
                </c:pt>
                <c:pt idx="713">
                  <c:v>44258</c:v>
                </c:pt>
                <c:pt idx="714">
                  <c:v>44265</c:v>
                </c:pt>
                <c:pt idx="715">
                  <c:v>44272</c:v>
                </c:pt>
                <c:pt idx="716">
                  <c:v>44279</c:v>
                </c:pt>
                <c:pt idx="717">
                  <c:v>44286</c:v>
                </c:pt>
                <c:pt idx="718">
                  <c:v>44293</c:v>
                </c:pt>
                <c:pt idx="719">
                  <c:v>44300</c:v>
                </c:pt>
                <c:pt idx="720">
                  <c:v>44307</c:v>
                </c:pt>
                <c:pt idx="721">
                  <c:v>44314</c:v>
                </c:pt>
                <c:pt idx="722">
                  <c:v>44321</c:v>
                </c:pt>
                <c:pt idx="723">
                  <c:v>44328</c:v>
                </c:pt>
                <c:pt idx="724">
                  <c:v>44335</c:v>
                </c:pt>
                <c:pt idx="725">
                  <c:v>44342</c:v>
                </c:pt>
                <c:pt idx="726">
                  <c:v>44349</c:v>
                </c:pt>
                <c:pt idx="727">
                  <c:v>44356</c:v>
                </c:pt>
                <c:pt idx="728">
                  <c:v>44363</c:v>
                </c:pt>
                <c:pt idx="729">
                  <c:v>44370</c:v>
                </c:pt>
                <c:pt idx="730">
                  <c:v>44377</c:v>
                </c:pt>
                <c:pt idx="731">
                  <c:v>44384</c:v>
                </c:pt>
                <c:pt idx="732">
                  <c:v>44391</c:v>
                </c:pt>
                <c:pt idx="733">
                  <c:v>44398</c:v>
                </c:pt>
                <c:pt idx="734">
                  <c:v>44405</c:v>
                </c:pt>
                <c:pt idx="735">
                  <c:v>44412</c:v>
                </c:pt>
                <c:pt idx="736">
                  <c:v>44419</c:v>
                </c:pt>
                <c:pt idx="737">
                  <c:v>44426</c:v>
                </c:pt>
                <c:pt idx="738">
                  <c:v>44433</c:v>
                </c:pt>
                <c:pt idx="739">
                  <c:v>44440</c:v>
                </c:pt>
                <c:pt idx="740">
                  <c:v>44447</c:v>
                </c:pt>
                <c:pt idx="741">
                  <c:v>44454</c:v>
                </c:pt>
                <c:pt idx="742">
                  <c:v>44461</c:v>
                </c:pt>
                <c:pt idx="743">
                  <c:v>44468</c:v>
                </c:pt>
                <c:pt idx="744">
                  <c:v>44475</c:v>
                </c:pt>
                <c:pt idx="745">
                  <c:v>44482</c:v>
                </c:pt>
                <c:pt idx="746">
                  <c:v>44489</c:v>
                </c:pt>
                <c:pt idx="747">
                  <c:v>44496</c:v>
                </c:pt>
                <c:pt idx="748">
                  <c:v>44503</c:v>
                </c:pt>
                <c:pt idx="749">
                  <c:v>44510</c:v>
                </c:pt>
                <c:pt idx="750">
                  <c:v>44517</c:v>
                </c:pt>
                <c:pt idx="751">
                  <c:v>44524</c:v>
                </c:pt>
                <c:pt idx="752">
                  <c:v>44531</c:v>
                </c:pt>
                <c:pt idx="753">
                  <c:v>44538</c:v>
                </c:pt>
                <c:pt idx="754">
                  <c:v>44545</c:v>
                </c:pt>
                <c:pt idx="755">
                  <c:v>44552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45141</c:v>
                </c:pt>
                <c:pt idx="840">
                  <c:v>45148</c:v>
                </c:pt>
                <c:pt idx="841">
                  <c:v>45155</c:v>
                </c:pt>
                <c:pt idx="842">
                  <c:v>45162</c:v>
                </c:pt>
                <c:pt idx="843">
                  <c:v>45169</c:v>
                </c:pt>
                <c:pt idx="844">
                  <c:v>45176</c:v>
                </c:pt>
                <c:pt idx="845">
                  <c:v>45183</c:v>
                </c:pt>
                <c:pt idx="846">
                  <c:v>45190</c:v>
                </c:pt>
                <c:pt idx="847">
                  <c:v>45197</c:v>
                </c:pt>
                <c:pt idx="848">
                  <c:v>45204</c:v>
                </c:pt>
                <c:pt idx="849">
                  <c:v>45211</c:v>
                </c:pt>
                <c:pt idx="850">
                  <c:v>45218</c:v>
                </c:pt>
                <c:pt idx="851">
                  <c:v>45225</c:v>
                </c:pt>
                <c:pt idx="852">
                  <c:v>45232</c:v>
                </c:pt>
                <c:pt idx="853">
                  <c:v>45239</c:v>
                </c:pt>
                <c:pt idx="854">
                  <c:v>45246</c:v>
                </c:pt>
                <c:pt idx="855">
                  <c:v>45253</c:v>
                </c:pt>
                <c:pt idx="856">
                  <c:v>45260</c:v>
                </c:pt>
                <c:pt idx="857">
                  <c:v>45267</c:v>
                </c:pt>
                <c:pt idx="858">
                  <c:v>45274</c:v>
                </c:pt>
                <c:pt idx="859">
                  <c:v>45281</c:v>
                </c:pt>
                <c:pt idx="860">
                  <c:v>45288</c:v>
                </c:pt>
                <c:pt idx="861">
                  <c:v>45295</c:v>
                </c:pt>
                <c:pt idx="862">
                  <c:v>45302</c:v>
                </c:pt>
                <c:pt idx="863">
                  <c:v>45309</c:v>
                </c:pt>
                <c:pt idx="864">
                  <c:v>45316</c:v>
                </c:pt>
                <c:pt idx="865">
                  <c:v>45323</c:v>
                </c:pt>
                <c:pt idx="866">
                  <c:v>45330</c:v>
                </c:pt>
                <c:pt idx="867">
                  <c:v>45337</c:v>
                </c:pt>
                <c:pt idx="868">
                  <c:v>45344</c:v>
                </c:pt>
                <c:pt idx="869">
                  <c:v>45351</c:v>
                </c:pt>
                <c:pt idx="870">
                  <c:v>45358</c:v>
                </c:pt>
                <c:pt idx="871">
                  <c:v>45365</c:v>
                </c:pt>
                <c:pt idx="872">
                  <c:v>45372</c:v>
                </c:pt>
                <c:pt idx="873">
                  <c:v>45379</c:v>
                </c:pt>
                <c:pt idx="874">
                  <c:v>45386</c:v>
                </c:pt>
                <c:pt idx="875">
                  <c:v>45393</c:v>
                </c:pt>
                <c:pt idx="876">
                  <c:v>45400</c:v>
                </c:pt>
                <c:pt idx="877">
                  <c:v>45407</c:v>
                </c:pt>
                <c:pt idx="878">
                  <c:v>45415</c:v>
                </c:pt>
                <c:pt idx="879">
                  <c:v>45425</c:v>
                </c:pt>
                <c:pt idx="880">
                  <c:v>45433</c:v>
                </c:pt>
                <c:pt idx="881">
                  <c:v>45439</c:v>
                </c:pt>
                <c:pt idx="882">
                  <c:v>45446</c:v>
                </c:pt>
                <c:pt idx="883">
                  <c:v>45453</c:v>
                </c:pt>
                <c:pt idx="884">
                  <c:v>45460</c:v>
                </c:pt>
                <c:pt idx="885">
                  <c:v>45467</c:v>
                </c:pt>
                <c:pt idx="886">
                  <c:v>45474</c:v>
                </c:pt>
                <c:pt idx="887">
                  <c:v>45481</c:v>
                </c:pt>
                <c:pt idx="888">
                  <c:v>45488</c:v>
                </c:pt>
                <c:pt idx="889">
                  <c:v>45495</c:v>
                </c:pt>
                <c:pt idx="890">
                  <c:v>45502</c:v>
                </c:pt>
                <c:pt idx="891">
                  <c:v>45509</c:v>
                </c:pt>
                <c:pt idx="892">
                  <c:v>45516</c:v>
                </c:pt>
                <c:pt idx="893">
                  <c:v>45523</c:v>
                </c:pt>
                <c:pt idx="894">
                  <c:v>45530</c:v>
                </c:pt>
                <c:pt idx="895">
                  <c:v>45537</c:v>
                </c:pt>
                <c:pt idx="896">
                  <c:v>45544</c:v>
                </c:pt>
                <c:pt idx="897">
                  <c:v>45551</c:v>
                </c:pt>
                <c:pt idx="898">
                  <c:v>45558</c:v>
                </c:pt>
                <c:pt idx="899">
                  <c:v>45565</c:v>
                </c:pt>
                <c:pt idx="900">
                  <c:v>45572</c:v>
                </c:pt>
                <c:pt idx="901">
                  <c:v>45579</c:v>
                </c:pt>
                <c:pt idx="902">
                  <c:v>45586</c:v>
                </c:pt>
                <c:pt idx="903">
                  <c:v>45593</c:v>
                </c:pt>
                <c:pt idx="904">
                  <c:v>45600</c:v>
                </c:pt>
                <c:pt idx="905">
                  <c:v>45607</c:v>
                </c:pt>
                <c:pt idx="906">
                  <c:v>45614</c:v>
                </c:pt>
                <c:pt idx="907">
                  <c:v>45621</c:v>
                </c:pt>
                <c:pt idx="908">
                  <c:v>45628</c:v>
                </c:pt>
                <c:pt idx="909">
                  <c:v>45635</c:v>
                </c:pt>
                <c:pt idx="910">
                  <c:v>45642</c:v>
                </c:pt>
                <c:pt idx="911">
                  <c:v>45649</c:v>
                </c:pt>
                <c:pt idx="912">
                  <c:v>45656</c:v>
                </c:pt>
                <c:pt idx="913">
                  <c:v>45663</c:v>
                </c:pt>
                <c:pt idx="914">
                  <c:v>45670</c:v>
                </c:pt>
                <c:pt idx="915">
                  <c:v>45677</c:v>
                </c:pt>
                <c:pt idx="916">
                  <c:v>45684</c:v>
                </c:pt>
                <c:pt idx="917">
                  <c:v>45691</c:v>
                </c:pt>
                <c:pt idx="918">
                  <c:v>45698</c:v>
                </c:pt>
                <c:pt idx="919">
                  <c:v>45705</c:v>
                </c:pt>
                <c:pt idx="920">
                  <c:v>45712</c:v>
                </c:pt>
                <c:pt idx="921">
                  <c:v>45719</c:v>
                </c:pt>
                <c:pt idx="922">
                  <c:v>45726</c:v>
                </c:pt>
                <c:pt idx="923">
                  <c:v>45733</c:v>
                </c:pt>
                <c:pt idx="924">
                  <c:v>45740</c:v>
                </c:pt>
                <c:pt idx="925">
                  <c:v>45747</c:v>
                </c:pt>
                <c:pt idx="926">
                  <c:v>45754</c:v>
                </c:pt>
                <c:pt idx="927">
                  <c:v>45761</c:v>
                </c:pt>
                <c:pt idx="928">
                  <c:v>45770</c:v>
                </c:pt>
                <c:pt idx="929">
                  <c:v>45777</c:v>
                </c:pt>
                <c:pt idx="930">
                  <c:v>45784</c:v>
                </c:pt>
                <c:pt idx="931">
                  <c:v>45791</c:v>
                </c:pt>
                <c:pt idx="932">
                  <c:v>45798</c:v>
                </c:pt>
                <c:pt idx="933">
                  <c:v>45805</c:v>
                </c:pt>
                <c:pt idx="934">
                  <c:v>45812</c:v>
                </c:pt>
                <c:pt idx="935">
                  <c:v>45819</c:v>
                </c:pt>
                <c:pt idx="936">
                  <c:v>45826</c:v>
                </c:pt>
                <c:pt idx="937">
                  <c:v>45833</c:v>
                </c:pt>
                <c:pt idx="938">
                  <c:v>45840</c:v>
                </c:pt>
                <c:pt idx="939">
                  <c:v>45847</c:v>
                </c:pt>
                <c:pt idx="940">
                  <c:v>45854</c:v>
                </c:pt>
                <c:pt idx="941">
                  <c:v>45861</c:v>
                </c:pt>
                <c:pt idx="942">
                  <c:v>45868</c:v>
                </c:pt>
                <c:pt idx="943">
                  <c:v>45875</c:v>
                </c:pt>
                <c:pt idx="944">
                  <c:v>45882</c:v>
                </c:pt>
                <c:pt idx="945">
                  <c:v>45889</c:v>
                </c:pt>
                <c:pt idx="946">
                  <c:v>45896</c:v>
                </c:pt>
                <c:pt idx="947">
                  <c:v>45903</c:v>
                </c:pt>
                <c:pt idx="948">
                  <c:v>45910</c:v>
                </c:pt>
                <c:pt idx="949">
                  <c:v>45917</c:v>
                </c:pt>
                <c:pt idx="950">
                  <c:v>45924</c:v>
                </c:pt>
                <c:pt idx="951">
                  <c:v>45931</c:v>
                </c:pt>
                <c:pt idx="952">
                  <c:v>45938</c:v>
                </c:pt>
                <c:pt idx="953">
                  <c:v>45945</c:v>
                </c:pt>
                <c:pt idx="954">
                  <c:v>45952</c:v>
                </c:pt>
                <c:pt idx="955">
                  <c:v>45959</c:v>
                </c:pt>
                <c:pt idx="956">
                  <c:v>45966</c:v>
                </c:pt>
                <c:pt idx="957">
                  <c:v>45973</c:v>
                </c:pt>
                <c:pt idx="958">
                  <c:v>45980</c:v>
                </c:pt>
                <c:pt idx="959">
                  <c:v>45987</c:v>
                </c:pt>
                <c:pt idx="960">
                  <c:v>45994</c:v>
                </c:pt>
                <c:pt idx="961">
                  <c:v>46001</c:v>
                </c:pt>
                <c:pt idx="962">
                  <c:v>46008</c:v>
                </c:pt>
                <c:pt idx="963">
                  <c:v>46015</c:v>
                </c:pt>
                <c:pt idx="964">
                  <c:v>46022</c:v>
                </c:pt>
                <c:pt idx="965">
                  <c:v>46029</c:v>
                </c:pt>
                <c:pt idx="966">
                  <c:v>46036</c:v>
                </c:pt>
                <c:pt idx="967">
                  <c:v>46043</c:v>
                </c:pt>
                <c:pt idx="968">
                  <c:v>46050</c:v>
                </c:pt>
                <c:pt idx="969">
                  <c:v>46057</c:v>
                </c:pt>
                <c:pt idx="970">
                  <c:v>46064</c:v>
                </c:pt>
                <c:pt idx="971">
                  <c:v>46071</c:v>
                </c:pt>
                <c:pt idx="972">
                  <c:v>46078</c:v>
                </c:pt>
                <c:pt idx="973">
                  <c:v>46085</c:v>
                </c:pt>
                <c:pt idx="974">
                  <c:v>46092</c:v>
                </c:pt>
                <c:pt idx="975">
                  <c:v>46099</c:v>
                </c:pt>
                <c:pt idx="976">
                  <c:v>46106</c:v>
                </c:pt>
                <c:pt idx="977">
                  <c:v>46113</c:v>
                </c:pt>
                <c:pt idx="978">
                  <c:v>46120</c:v>
                </c:pt>
                <c:pt idx="979">
                  <c:v>46127</c:v>
                </c:pt>
                <c:pt idx="980">
                  <c:v>46134</c:v>
                </c:pt>
                <c:pt idx="981">
                  <c:v>46141</c:v>
                </c:pt>
                <c:pt idx="982">
                  <c:v>46148</c:v>
                </c:pt>
                <c:pt idx="983">
                  <c:v>46155</c:v>
                </c:pt>
                <c:pt idx="984">
                  <c:v>46162</c:v>
                </c:pt>
                <c:pt idx="985">
                  <c:v>46169</c:v>
                </c:pt>
                <c:pt idx="986">
                  <c:v>46176</c:v>
                </c:pt>
                <c:pt idx="987">
                  <c:v>46183</c:v>
                </c:pt>
                <c:pt idx="988">
                  <c:v>46190</c:v>
                </c:pt>
                <c:pt idx="989">
                  <c:v>46197</c:v>
                </c:pt>
                <c:pt idx="990">
                  <c:v>46204</c:v>
                </c:pt>
                <c:pt idx="991">
                  <c:v>46211</c:v>
                </c:pt>
                <c:pt idx="992">
                  <c:v>46218</c:v>
                </c:pt>
                <c:pt idx="993">
                  <c:v>46225</c:v>
                </c:pt>
                <c:pt idx="994">
                  <c:v>46232</c:v>
                </c:pt>
                <c:pt idx="995">
                  <c:v>46239</c:v>
                </c:pt>
                <c:pt idx="996">
                  <c:v>46246</c:v>
                </c:pt>
                <c:pt idx="997">
                  <c:v>46253</c:v>
                </c:pt>
                <c:pt idx="998">
                  <c:v>46260</c:v>
                </c:pt>
                <c:pt idx="999">
                  <c:v>46267</c:v>
                </c:pt>
                <c:pt idx="1000">
                  <c:v>46274</c:v>
                </c:pt>
                <c:pt idx="1001">
                  <c:v>46281</c:v>
                </c:pt>
                <c:pt idx="1002">
                  <c:v>46288</c:v>
                </c:pt>
                <c:pt idx="1003">
                  <c:v>46295</c:v>
                </c:pt>
                <c:pt idx="1004">
                  <c:v>46302</c:v>
                </c:pt>
                <c:pt idx="1005">
                  <c:v>46309</c:v>
                </c:pt>
                <c:pt idx="1006">
                  <c:v>46316</c:v>
                </c:pt>
                <c:pt idx="1007">
                  <c:v>46323</c:v>
                </c:pt>
                <c:pt idx="1008">
                  <c:v>46330</c:v>
                </c:pt>
                <c:pt idx="1009">
                  <c:v>46337</c:v>
                </c:pt>
                <c:pt idx="1010">
                  <c:v>46344</c:v>
                </c:pt>
                <c:pt idx="1011">
                  <c:v>46351</c:v>
                </c:pt>
                <c:pt idx="1012">
                  <c:v>46358</c:v>
                </c:pt>
                <c:pt idx="1013">
                  <c:v>46365</c:v>
                </c:pt>
                <c:pt idx="1014">
                  <c:v>46372</c:v>
                </c:pt>
                <c:pt idx="1015">
                  <c:v>46379</c:v>
                </c:pt>
                <c:pt idx="1016">
                  <c:v>46386</c:v>
                </c:pt>
                <c:pt idx="1017">
                  <c:v>46393</c:v>
                </c:pt>
                <c:pt idx="1018">
                  <c:v>46400</c:v>
                </c:pt>
                <c:pt idx="1019">
                  <c:v>46407</c:v>
                </c:pt>
                <c:pt idx="1020">
                  <c:v>46414</c:v>
                </c:pt>
                <c:pt idx="1021">
                  <c:v>46421</c:v>
                </c:pt>
                <c:pt idx="1022">
                  <c:v>46428</c:v>
                </c:pt>
                <c:pt idx="1023">
                  <c:v>46435</c:v>
                </c:pt>
                <c:pt idx="1024">
                  <c:v>46442</c:v>
                </c:pt>
                <c:pt idx="1025">
                  <c:v>46449</c:v>
                </c:pt>
                <c:pt idx="1026">
                  <c:v>46456</c:v>
                </c:pt>
                <c:pt idx="1027">
                  <c:v>46463</c:v>
                </c:pt>
                <c:pt idx="1028">
                  <c:v>46470</c:v>
                </c:pt>
                <c:pt idx="1029">
                  <c:v>46477</c:v>
                </c:pt>
                <c:pt idx="1030">
                  <c:v>46484</c:v>
                </c:pt>
                <c:pt idx="1031">
                  <c:v>46491</c:v>
                </c:pt>
                <c:pt idx="1032">
                  <c:v>46498</c:v>
                </c:pt>
                <c:pt idx="1033">
                  <c:v>46505</c:v>
                </c:pt>
                <c:pt idx="1034">
                  <c:v>46512</c:v>
                </c:pt>
                <c:pt idx="1035">
                  <c:v>46519</c:v>
                </c:pt>
                <c:pt idx="1036">
                  <c:v>46526</c:v>
                </c:pt>
                <c:pt idx="1037">
                  <c:v>46533</c:v>
                </c:pt>
                <c:pt idx="1038">
                  <c:v>46540</c:v>
                </c:pt>
                <c:pt idx="1039">
                  <c:v>46547</c:v>
                </c:pt>
                <c:pt idx="1040">
                  <c:v>46554</c:v>
                </c:pt>
                <c:pt idx="1041">
                  <c:v>46561</c:v>
                </c:pt>
                <c:pt idx="1042">
                  <c:v>46568</c:v>
                </c:pt>
                <c:pt idx="1043">
                  <c:v>46575</c:v>
                </c:pt>
                <c:pt idx="1044">
                  <c:v>46582</c:v>
                </c:pt>
                <c:pt idx="1045">
                  <c:v>46589</c:v>
                </c:pt>
                <c:pt idx="1046">
                  <c:v>46596</c:v>
                </c:pt>
                <c:pt idx="1047">
                  <c:v>46603</c:v>
                </c:pt>
                <c:pt idx="1048">
                  <c:v>46610</c:v>
                </c:pt>
                <c:pt idx="1049">
                  <c:v>46617</c:v>
                </c:pt>
                <c:pt idx="1050">
                  <c:v>46624</c:v>
                </c:pt>
                <c:pt idx="1051">
                  <c:v>46631</c:v>
                </c:pt>
                <c:pt idx="1052">
                  <c:v>46638</c:v>
                </c:pt>
                <c:pt idx="1053">
                  <c:v>46645</c:v>
                </c:pt>
                <c:pt idx="1054">
                  <c:v>46652</c:v>
                </c:pt>
                <c:pt idx="1055">
                  <c:v>46659</c:v>
                </c:pt>
                <c:pt idx="1056">
                  <c:v>46666</c:v>
                </c:pt>
                <c:pt idx="1057">
                  <c:v>46673</c:v>
                </c:pt>
                <c:pt idx="1058">
                  <c:v>46680</c:v>
                </c:pt>
                <c:pt idx="1059">
                  <c:v>46687</c:v>
                </c:pt>
                <c:pt idx="1060">
                  <c:v>46694</c:v>
                </c:pt>
                <c:pt idx="1061">
                  <c:v>46701</c:v>
                </c:pt>
                <c:pt idx="1062">
                  <c:v>46708</c:v>
                </c:pt>
                <c:pt idx="1063">
                  <c:v>46715</c:v>
                </c:pt>
                <c:pt idx="1064">
                  <c:v>46722</c:v>
                </c:pt>
                <c:pt idx="1065">
                  <c:v>46729</c:v>
                </c:pt>
                <c:pt idx="1066">
                  <c:v>46736</c:v>
                </c:pt>
                <c:pt idx="1067">
                  <c:v>46743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46968</c:v>
                </c:pt>
                <c:pt idx="1100">
                  <c:v>46975</c:v>
                </c:pt>
                <c:pt idx="1101">
                  <c:v>46982</c:v>
                </c:pt>
                <c:pt idx="1102">
                  <c:v>46989</c:v>
                </c:pt>
                <c:pt idx="1103">
                  <c:v>46996</c:v>
                </c:pt>
                <c:pt idx="1104">
                  <c:v>47003</c:v>
                </c:pt>
                <c:pt idx="1105">
                  <c:v>47010</c:v>
                </c:pt>
                <c:pt idx="1106">
                  <c:v>47017</c:v>
                </c:pt>
                <c:pt idx="1107">
                  <c:v>47024</c:v>
                </c:pt>
                <c:pt idx="1108">
                  <c:v>47031</c:v>
                </c:pt>
                <c:pt idx="1109">
                  <c:v>47038</c:v>
                </c:pt>
                <c:pt idx="1110">
                  <c:v>47045</c:v>
                </c:pt>
                <c:pt idx="1111">
                  <c:v>47052</c:v>
                </c:pt>
                <c:pt idx="1112">
                  <c:v>47059</c:v>
                </c:pt>
                <c:pt idx="1113">
                  <c:v>47066</c:v>
                </c:pt>
                <c:pt idx="1114">
                  <c:v>47073</c:v>
                </c:pt>
                <c:pt idx="1115">
                  <c:v>47080</c:v>
                </c:pt>
                <c:pt idx="1116">
                  <c:v>47087</c:v>
                </c:pt>
                <c:pt idx="1117">
                  <c:v>47094</c:v>
                </c:pt>
                <c:pt idx="1118">
                  <c:v>47101</c:v>
                </c:pt>
                <c:pt idx="1119">
                  <c:v>47108</c:v>
                </c:pt>
                <c:pt idx="1120">
                  <c:v>47115</c:v>
                </c:pt>
                <c:pt idx="1121">
                  <c:v>47122</c:v>
                </c:pt>
                <c:pt idx="1122">
                  <c:v>47129</c:v>
                </c:pt>
                <c:pt idx="1123">
                  <c:v>47136</c:v>
                </c:pt>
                <c:pt idx="1124">
                  <c:v>47143</c:v>
                </c:pt>
                <c:pt idx="1125">
                  <c:v>47150</c:v>
                </c:pt>
                <c:pt idx="1126">
                  <c:v>47157</c:v>
                </c:pt>
                <c:pt idx="1127">
                  <c:v>47164</c:v>
                </c:pt>
                <c:pt idx="1128">
                  <c:v>47171</c:v>
                </c:pt>
                <c:pt idx="1129">
                  <c:v>47178</c:v>
                </c:pt>
                <c:pt idx="1130">
                  <c:v>47185</c:v>
                </c:pt>
                <c:pt idx="1131">
                  <c:v>47192</c:v>
                </c:pt>
                <c:pt idx="1132">
                  <c:v>47199</c:v>
                </c:pt>
                <c:pt idx="1133">
                  <c:v>47206</c:v>
                </c:pt>
                <c:pt idx="1134">
                  <c:v>47213</c:v>
                </c:pt>
                <c:pt idx="1135">
                  <c:v>47220</c:v>
                </c:pt>
                <c:pt idx="1136">
                  <c:v>47227</c:v>
                </c:pt>
                <c:pt idx="1137">
                  <c:v>47234</c:v>
                </c:pt>
                <c:pt idx="1138">
                  <c:v>47241</c:v>
                </c:pt>
                <c:pt idx="1139">
                  <c:v>47249</c:v>
                </c:pt>
                <c:pt idx="1140">
                  <c:v>47255</c:v>
                </c:pt>
                <c:pt idx="1141">
                  <c:v>47262</c:v>
                </c:pt>
                <c:pt idx="1142">
                  <c:v>47269</c:v>
                </c:pt>
                <c:pt idx="1143">
                  <c:v>47276</c:v>
                </c:pt>
                <c:pt idx="1144">
                  <c:v>47283</c:v>
                </c:pt>
                <c:pt idx="1145">
                  <c:v>47290</c:v>
                </c:pt>
                <c:pt idx="1146">
                  <c:v>47297</c:v>
                </c:pt>
                <c:pt idx="1147">
                  <c:v>47304</c:v>
                </c:pt>
                <c:pt idx="1148">
                  <c:v>47311</c:v>
                </c:pt>
                <c:pt idx="1149">
                  <c:v>47318</c:v>
                </c:pt>
                <c:pt idx="1150">
                  <c:v>47325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47480</c:v>
                </c:pt>
                <c:pt idx="1173">
                  <c:v>47487</c:v>
                </c:pt>
                <c:pt idx="1174">
                  <c:v>47494</c:v>
                </c:pt>
                <c:pt idx="1175">
                  <c:v>47501</c:v>
                </c:pt>
                <c:pt idx="1176">
                  <c:v>47508</c:v>
                </c:pt>
                <c:pt idx="1177">
                  <c:v>47515</c:v>
                </c:pt>
                <c:pt idx="1178">
                  <c:v>47522</c:v>
                </c:pt>
                <c:pt idx="1179">
                  <c:v>47529</c:v>
                </c:pt>
                <c:pt idx="1180">
                  <c:v>47536</c:v>
                </c:pt>
                <c:pt idx="1181">
                  <c:v>47543</c:v>
                </c:pt>
                <c:pt idx="1182">
                  <c:v>47550</c:v>
                </c:pt>
                <c:pt idx="1183">
                  <c:v>47557</c:v>
                </c:pt>
                <c:pt idx="1184">
                  <c:v>47564</c:v>
                </c:pt>
                <c:pt idx="1185">
                  <c:v>47571</c:v>
                </c:pt>
                <c:pt idx="1186">
                  <c:v>47578</c:v>
                </c:pt>
                <c:pt idx="1187">
                  <c:v>47585</c:v>
                </c:pt>
                <c:pt idx="1188">
                  <c:v>47596</c:v>
                </c:pt>
                <c:pt idx="1189">
                  <c:v>47599</c:v>
                </c:pt>
                <c:pt idx="1190">
                  <c:v>47606</c:v>
                </c:pt>
                <c:pt idx="1191">
                  <c:v>47613</c:v>
                </c:pt>
                <c:pt idx="1192">
                  <c:v>47620</c:v>
                </c:pt>
                <c:pt idx="1193">
                  <c:v>47627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47721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47847</c:v>
                </c:pt>
                <c:pt idx="1225">
                  <c:v>47854</c:v>
                </c:pt>
                <c:pt idx="1226">
                  <c:v>47861</c:v>
                </c:pt>
                <c:pt idx="1227">
                  <c:v>47868</c:v>
                </c:pt>
                <c:pt idx="1228">
                  <c:v>47875</c:v>
                </c:pt>
                <c:pt idx="1229">
                  <c:v>47882</c:v>
                </c:pt>
                <c:pt idx="1230">
                  <c:v>47889</c:v>
                </c:pt>
                <c:pt idx="1231">
                  <c:v>47896</c:v>
                </c:pt>
                <c:pt idx="1232">
                  <c:v>47903</c:v>
                </c:pt>
                <c:pt idx="1233">
                  <c:v>47910</c:v>
                </c:pt>
                <c:pt idx="1234">
                  <c:v>47917</c:v>
                </c:pt>
                <c:pt idx="1235">
                  <c:v>47924</c:v>
                </c:pt>
                <c:pt idx="1236">
                  <c:v>47931</c:v>
                </c:pt>
                <c:pt idx="1237">
                  <c:v>47938</c:v>
                </c:pt>
                <c:pt idx="1238">
                  <c:v>47945</c:v>
                </c:pt>
                <c:pt idx="1239">
                  <c:v>47954</c:v>
                </c:pt>
                <c:pt idx="1240">
                  <c:v>47961</c:v>
                </c:pt>
                <c:pt idx="1241">
                  <c:v>47968</c:v>
                </c:pt>
                <c:pt idx="1242">
                  <c:v>47975</c:v>
                </c:pt>
                <c:pt idx="1243">
                  <c:v>47982</c:v>
                </c:pt>
                <c:pt idx="1244">
                  <c:v>47989</c:v>
                </c:pt>
                <c:pt idx="1245">
                  <c:v>47996</c:v>
                </c:pt>
                <c:pt idx="1246">
                  <c:v>48003</c:v>
                </c:pt>
                <c:pt idx="1247">
                  <c:v>48010</c:v>
                </c:pt>
                <c:pt idx="1248">
                  <c:v>48017</c:v>
                </c:pt>
                <c:pt idx="1249">
                  <c:v>48024</c:v>
                </c:pt>
                <c:pt idx="1250">
                  <c:v>48031</c:v>
                </c:pt>
                <c:pt idx="1251">
                  <c:v>48038</c:v>
                </c:pt>
                <c:pt idx="1252">
                  <c:v>48045</c:v>
                </c:pt>
                <c:pt idx="1253">
                  <c:v>48052</c:v>
                </c:pt>
                <c:pt idx="1254">
                  <c:v>48059</c:v>
                </c:pt>
                <c:pt idx="1255">
                  <c:v>48066</c:v>
                </c:pt>
                <c:pt idx="1256">
                  <c:v>48073</c:v>
                </c:pt>
                <c:pt idx="1257">
                  <c:v>48080</c:v>
                </c:pt>
                <c:pt idx="1258">
                  <c:v>48087</c:v>
                </c:pt>
                <c:pt idx="1259">
                  <c:v>48094</c:v>
                </c:pt>
                <c:pt idx="1260">
                  <c:v>48101</c:v>
                </c:pt>
                <c:pt idx="1261">
                  <c:v>48108</c:v>
                </c:pt>
                <c:pt idx="1262">
                  <c:v>48115</c:v>
                </c:pt>
                <c:pt idx="1263">
                  <c:v>48122</c:v>
                </c:pt>
                <c:pt idx="1264">
                  <c:v>48129</c:v>
                </c:pt>
                <c:pt idx="1265">
                  <c:v>48136</c:v>
                </c:pt>
                <c:pt idx="1266">
                  <c:v>48143</c:v>
                </c:pt>
                <c:pt idx="1267">
                  <c:v>48150</c:v>
                </c:pt>
                <c:pt idx="1268">
                  <c:v>48157</c:v>
                </c:pt>
                <c:pt idx="1269">
                  <c:v>48164</c:v>
                </c:pt>
                <c:pt idx="1270">
                  <c:v>48171</c:v>
                </c:pt>
                <c:pt idx="1271">
                  <c:v>48178</c:v>
                </c:pt>
                <c:pt idx="1272">
                  <c:v>48185</c:v>
                </c:pt>
                <c:pt idx="1273">
                  <c:v>48192</c:v>
                </c:pt>
                <c:pt idx="1274">
                  <c:v>48199</c:v>
                </c:pt>
                <c:pt idx="1275">
                  <c:v>48206</c:v>
                </c:pt>
                <c:pt idx="1276">
                  <c:v>48213</c:v>
                </c:pt>
                <c:pt idx="1277">
                  <c:v>48220</c:v>
                </c:pt>
                <c:pt idx="1278">
                  <c:v>48227</c:v>
                </c:pt>
                <c:pt idx="1279">
                  <c:v>48234</c:v>
                </c:pt>
                <c:pt idx="1280">
                  <c:v>48241</c:v>
                </c:pt>
                <c:pt idx="1281">
                  <c:v>48248</c:v>
                </c:pt>
                <c:pt idx="1282">
                  <c:v>48255</c:v>
                </c:pt>
                <c:pt idx="1283">
                  <c:v>48262</c:v>
                </c:pt>
                <c:pt idx="1284">
                  <c:v>48269</c:v>
                </c:pt>
                <c:pt idx="1285">
                  <c:v>48276</c:v>
                </c:pt>
                <c:pt idx="1286">
                  <c:v>48283</c:v>
                </c:pt>
                <c:pt idx="1287">
                  <c:v>48290</c:v>
                </c:pt>
                <c:pt idx="1288">
                  <c:v>48297</c:v>
                </c:pt>
                <c:pt idx="1289">
                  <c:v>48304</c:v>
                </c:pt>
                <c:pt idx="1290">
                  <c:v>48311</c:v>
                </c:pt>
                <c:pt idx="1291">
                  <c:v>48318</c:v>
                </c:pt>
                <c:pt idx="1292">
                  <c:v>48325</c:v>
                </c:pt>
                <c:pt idx="1293">
                  <c:v>48332</c:v>
                </c:pt>
                <c:pt idx="1294">
                  <c:v>48339</c:v>
                </c:pt>
                <c:pt idx="1295">
                  <c:v>48346</c:v>
                </c:pt>
                <c:pt idx="1296">
                  <c:v>48353</c:v>
                </c:pt>
                <c:pt idx="1297">
                  <c:v>48360</c:v>
                </c:pt>
                <c:pt idx="1298">
                  <c:v>48367</c:v>
                </c:pt>
                <c:pt idx="1299">
                  <c:v>48374</c:v>
                </c:pt>
                <c:pt idx="1300">
                  <c:v>48381</c:v>
                </c:pt>
                <c:pt idx="1301">
                  <c:v>48388</c:v>
                </c:pt>
                <c:pt idx="1302">
                  <c:v>48395</c:v>
                </c:pt>
                <c:pt idx="1303">
                  <c:v>48402</c:v>
                </c:pt>
                <c:pt idx="1304">
                  <c:v>48409</c:v>
                </c:pt>
                <c:pt idx="1305">
                  <c:v>48416</c:v>
                </c:pt>
                <c:pt idx="1306">
                  <c:v>48423</c:v>
                </c:pt>
                <c:pt idx="1307">
                  <c:v>48430</c:v>
                </c:pt>
                <c:pt idx="1308">
                  <c:v>48437</c:v>
                </c:pt>
                <c:pt idx="1309">
                  <c:v>48444</c:v>
                </c:pt>
                <c:pt idx="1310">
                  <c:v>48451</c:v>
                </c:pt>
                <c:pt idx="1311">
                  <c:v>48458</c:v>
                </c:pt>
                <c:pt idx="1312">
                  <c:v>48465</c:v>
                </c:pt>
                <c:pt idx="1313">
                  <c:v>48472</c:v>
                </c:pt>
                <c:pt idx="1314">
                  <c:v>48479</c:v>
                </c:pt>
                <c:pt idx="1315">
                  <c:v>48486</c:v>
                </c:pt>
                <c:pt idx="1316">
                  <c:v>48493</c:v>
                </c:pt>
                <c:pt idx="1317">
                  <c:v>48500</c:v>
                </c:pt>
                <c:pt idx="1318">
                  <c:v>48507</c:v>
                </c:pt>
                <c:pt idx="1319">
                  <c:v>48514</c:v>
                </c:pt>
                <c:pt idx="1320">
                  <c:v>48521</c:v>
                </c:pt>
                <c:pt idx="1321">
                  <c:v>48528</c:v>
                </c:pt>
                <c:pt idx="1322">
                  <c:v>48535</c:v>
                </c:pt>
                <c:pt idx="1323">
                  <c:v>48542</c:v>
                </c:pt>
                <c:pt idx="1324">
                  <c:v>48549</c:v>
                </c:pt>
                <c:pt idx="1325">
                  <c:v>48556</c:v>
                </c:pt>
                <c:pt idx="1326">
                  <c:v>48563</c:v>
                </c:pt>
                <c:pt idx="1327">
                  <c:v>48570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49159</c:v>
                </c:pt>
                <c:pt idx="1412">
                  <c:v>49166</c:v>
                </c:pt>
                <c:pt idx="1413">
                  <c:v>49173</c:v>
                </c:pt>
                <c:pt idx="1414">
                  <c:v>49180</c:v>
                </c:pt>
                <c:pt idx="1415">
                  <c:v>49187</c:v>
                </c:pt>
                <c:pt idx="1416">
                  <c:v>49194</c:v>
                </c:pt>
                <c:pt idx="1417">
                  <c:v>49201</c:v>
                </c:pt>
                <c:pt idx="1418">
                  <c:v>49208</c:v>
                </c:pt>
                <c:pt idx="1419">
                  <c:v>49215</c:v>
                </c:pt>
                <c:pt idx="1420">
                  <c:v>49222</c:v>
                </c:pt>
                <c:pt idx="1421">
                  <c:v>49229</c:v>
                </c:pt>
                <c:pt idx="1422">
                  <c:v>49236</c:v>
                </c:pt>
                <c:pt idx="1423">
                  <c:v>49243</c:v>
                </c:pt>
                <c:pt idx="1424">
                  <c:v>49250</c:v>
                </c:pt>
                <c:pt idx="1425">
                  <c:v>49257</c:v>
                </c:pt>
                <c:pt idx="1426">
                  <c:v>49264</c:v>
                </c:pt>
                <c:pt idx="1427">
                  <c:v>49271</c:v>
                </c:pt>
                <c:pt idx="1428">
                  <c:v>49278</c:v>
                </c:pt>
                <c:pt idx="1429">
                  <c:v>49285</c:v>
                </c:pt>
                <c:pt idx="1430">
                  <c:v>49292</c:v>
                </c:pt>
                <c:pt idx="1431">
                  <c:v>49299</c:v>
                </c:pt>
                <c:pt idx="1432">
                  <c:v>49306</c:v>
                </c:pt>
                <c:pt idx="1433">
                  <c:v>49313</c:v>
                </c:pt>
                <c:pt idx="1434">
                  <c:v>49320</c:v>
                </c:pt>
                <c:pt idx="1435">
                  <c:v>49327</c:v>
                </c:pt>
                <c:pt idx="1436">
                  <c:v>49334</c:v>
                </c:pt>
                <c:pt idx="1437">
                  <c:v>49341</c:v>
                </c:pt>
                <c:pt idx="1438">
                  <c:v>49348</c:v>
                </c:pt>
                <c:pt idx="1439">
                  <c:v>49355</c:v>
                </c:pt>
                <c:pt idx="1440">
                  <c:v>49362</c:v>
                </c:pt>
                <c:pt idx="1441">
                  <c:v>49369</c:v>
                </c:pt>
                <c:pt idx="1442">
                  <c:v>49376</c:v>
                </c:pt>
                <c:pt idx="1443">
                  <c:v>49383</c:v>
                </c:pt>
                <c:pt idx="1444">
                  <c:v>49390</c:v>
                </c:pt>
                <c:pt idx="1445">
                  <c:v>49397</c:v>
                </c:pt>
                <c:pt idx="1446">
                  <c:v>49404</c:v>
                </c:pt>
                <c:pt idx="1447">
                  <c:v>49411</c:v>
                </c:pt>
                <c:pt idx="1448">
                  <c:v>49418</c:v>
                </c:pt>
                <c:pt idx="1449">
                  <c:v>49425</c:v>
                </c:pt>
                <c:pt idx="1450">
                  <c:v>49433</c:v>
                </c:pt>
                <c:pt idx="1451">
                  <c:v>49439</c:v>
                </c:pt>
                <c:pt idx="1452">
                  <c:v>49446</c:v>
                </c:pt>
                <c:pt idx="1453">
                  <c:v>49453</c:v>
                </c:pt>
                <c:pt idx="1454">
                  <c:v>49460</c:v>
                </c:pt>
                <c:pt idx="1455">
                  <c:v>49467</c:v>
                </c:pt>
                <c:pt idx="1456">
                  <c:v>49474</c:v>
                </c:pt>
                <c:pt idx="1457">
                  <c:v>49481</c:v>
                </c:pt>
                <c:pt idx="1458">
                  <c:v>49488</c:v>
                </c:pt>
                <c:pt idx="1459">
                  <c:v>49495</c:v>
                </c:pt>
                <c:pt idx="1460">
                  <c:v>49502</c:v>
                </c:pt>
                <c:pt idx="1461">
                  <c:v>49509</c:v>
                </c:pt>
                <c:pt idx="1462">
                  <c:v>49516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49671</c:v>
                </c:pt>
                <c:pt idx="1485">
                  <c:v>49678</c:v>
                </c:pt>
                <c:pt idx="1486">
                  <c:v>49685</c:v>
                </c:pt>
                <c:pt idx="1487">
                  <c:v>49692</c:v>
                </c:pt>
                <c:pt idx="1488">
                  <c:v>49699</c:v>
                </c:pt>
                <c:pt idx="1489">
                  <c:v>49706</c:v>
                </c:pt>
                <c:pt idx="1490">
                  <c:v>49713</c:v>
                </c:pt>
                <c:pt idx="1491">
                  <c:v>49720</c:v>
                </c:pt>
                <c:pt idx="1492">
                  <c:v>49727</c:v>
                </c:pt>
                <c:pt idx="1493">
                  <c:v>49734</c:v>
                </c:pt>
                <c:pt idx="1494">
                  <c:v>49741</c:v>
                </c:pt>
                <c:pt idx="1495">
                  <c:v>49748</c:v>
                </c:pt>
                <c:pt idx="1496">
                  <c:v>49755</c:v>
                </c:pt>
                <c:pt idx="1497">
                  <c:v>49762</c:v>
                </c:pt>
                <c:pt idx="1498">
                  <c:v>49769</c:v>
                </c:pt>
                <c:pt idx="1499">
                  <c:v>49780</c:v>
                </c:pt>
                <c:pt idx="1500">
                  <c:v>49783</c:v>
                </c:pt>
                <c:pt idx="1501">
                  <c:v>49790</c:v>
                </c:pt>
                <c:pt idx="1502">
                  <c:v>49800</c:v>
                </c:pt>
                <c:pt idx="1503">
                  <c:v>49807</c:v>
                </c:pt>
                <c:pt idx="1504">
                  <c:v>49814</c:v>
                </c:pt>
                <c:pt idx="1505">
                  <c:v>49821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49892</c:v>
                </c:pt>
                <c:pt idx="1516">
                  <c:v>49899</c:v>
                </c:pt>
                <c:pt idx="1517">
                  <c:v>49906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50138</c:v>
                </c:pt>
                <c:pt idx="1551">
                  <c:v>50145</c:v>
                </c:pt>
                <c:pt idx="1552">
                  <c:v>50152</c:v>
                </c:pt>
                <c:pt idx="1553">
                  <c:v>50159</c:v>
                </c:pt>
                <c:pt idx="1554">
                  <c:v>50166</c:v>
                </c:pt>
                <c:pt idx="1555">
                  <c:v>50173</c:v>
                </c:pt>
                <c:pt idx="1556">
                  <c:v>50180</c:v>
                </c:pt>
                <c:pt idx="1557">
                  <c:v>50187</c:v>
                </c:pt>
                <c:pt idx="1558">
                  <c:v>50194</c:v>
                </c:pt>
                <c:pt idx="1559">
                  <c:v>50201</c:v>
                </c:pt>
                <c:pt idx="1560">
                  <c:v>50208</c:v>
                </c:pt>
                <c:pt idx="1561">
                  <c:v>50215</c:v>
                </c:pt>
                <c:pt idx="1562">
                  <c:v>50222</c:v>
                </c:pt>
                <c:pt idx="1563">
                  <c:v>50229</c:v>
                </c:pt>
                <c:pt idx="1564">
                  <c:v>50236</c:v>
                </c:pt>
                <c:pt idx="1565">
                  <c:v>50243</c:v>
                </c:pt>
                <c:pt idx="1566">
                  <c:v>50250</c:v>
                </c:pt>
                <c:pt idx="1567">
                  <c:v>50257</c:v>
                </c:pt>
                <c:pt idx="1568">
                  <c:v>50264</c:v>
                </c:pt>
                <c:pt idx="1569">
                  <c:v>50271</c:v>
                </c:pt>
                <c:pt idx="1570">
                  <c:v>50278</c:v>
                </c:pt>
                <c:pt idx="1571">
                  <c:v>50285</c:v>
                </c:pt>
                <c:pt idx="1572">
                  <c:v>50292</c:v>
                </c:pt>
                <c:pt idx="1573">
                  <c:v>50299</c:v>
                </c:pt>
                <c:pt idx="1574">
                  <c:v>50306</c:v>
                </c:pt>
                <c:pt idx="1575">
                  <c:v>50313</c:v>
                </c:pt>
                <c:pt idx="1576">
                  <c:v>50320</c:v>
                </c:pt>
                <c:pt idx="1577">
                  <c:v>50327</c:v>
                </c:pt>
                <c:pt idx="1578">
                  <c:v>50334</c:v>
                </c:pt>
                <c:pt idx="1579">
                  <c:v>50341</c:v>
                </c:pt>
                <c:pt idx="1580">
                  <c:v>50348</c:v>
                </c:pt>
                <c:pt idx="1581">
                  <c:v>50355</c:v>
                </c:pt>
                <c:pt idx="1582">
                  <c:v>50362</c:v>
                </c:pt>
                <c:pt idx="1583">
                  <c:v>50369</c:v>
                </c:pt>
                <c:pt idx="1584">
                  <c:v>50376</c:v>
                </c:pt>
                <c:pt idx="1585">
                  <c:v>50383</c:v>
                </c:pt>
                <c:pt idx="1586">
                  <c:v>50390</c:v>
                </c:pt>
                <c:pt idx="1587">
                  <c:v>50397</c:v>
                </c:pt>
                <c:pt idx="1588">
                  <c:v>50404</c:v>
                </c:pt>
                <c:pt idx="1589">
                  <c:v>50411</c:v>
                </c:pt>
                <c:pt idx="1590">
                  <c:v>50418</c:v>
                </c:pt>
                <c:pt idx="1591">
                  <c:v>50425</c:v>
                </c:pt>
                <c:pt idx="1592">
                  <c:v>50432</c:v>
                </c:pt>
                <c:pt idx="1593">
                  <c:v>50439</c:v>
                </c:pt>
                <c:pt idx="1594">
                  <c:v>50446</c:v>
                </c:pt>
                <c:pt idx="1595">
                  <c:v>50453</c:v>
                </c:pt>
                <c:pt idx="1596">
                  <c:v>50460</c:v>
                </c:pt>
                <c:pt idx="1597">
                  <c:v>50467</c:v>
                </c:pt>
                <c:pt idx="1598">
                  <c:v>50474</c:v>
                </c:pt>
                <c:pt idx="1599">
                  <c:v>50481</c:v>
                </c:pt>
                <c:pt idx="1600">
                  <c:v>50488</c:v>
                </c:pt>
                <c:pt idx="1601">
                  <c:v>50495</c:v>
                </c:pt>
                <c:pt idx="1602">
                  <c:v>50502</c:v>
                </c:pt>
                <c:pt idx="1603">
                  <c:v>50509</c:v>
                </c:pt>
                <c:pt idx="1604">
                  <c:v>50516</c:v>
                </c:pt>
                <c:pt idx="1605">
                  <c:v>50523</c:v>
                </c:pt>
                <c:pt idx="1606">
                  <c:v>50530</c:v>
                </c:pt>
                <c:pt idx="1607">
                  <c:v>50537</c:v>
                </c:pt>
                <c:pt idx="1608">
                  <c:v>50544</c:v>
                </c:pt>
                <c:pt idx="1609">
                  <c:v>50551</c:v>
                </c:pt>
                <c:pt idx="1610">
                  <c:v>50558</c:v>
                </c:pt>
                <c:pt idx="1611">
                  <c:v>50565</c:v>
                </c:pt>
                <c:pt idx="1612">
                  <c:v>50572</c:v>
                </c:pt>
                <c:pt idx="1613">
                  <c:v>50579</c:v>
                </c:pt>
                <c:pt idx="1614">
                  <c:v>50586</c:v>
                </c:pt>
                <c:pt idx="1615">
                  <c:v>50593</c:v>
                </c:pt>
                <c:pt idx="1616">
                  <c:v>50600</c:v>
                </c:pt>
                <c:pt idx="1617">
                  <c:v>50607</c:v>
                </c:pt>
                <c:pt idx="1618">
                  <c:v>50614</c:v>
                </c:pt>
                <c:pt idx="1619">
                  <c:v>50621</c:v>
                </c:pt>
                <c:pt idx="1620">
                  <c:v>50628</c:v>
                </c:pt>
                <c:pt idx="1621">
                  <c:v>50635</c:v>
                </c:pt>
                <c:pt idx="1622">
                  <c:v>50642</c:v>
                </c:pt>
                <c:pt idx="1623">
                  <c:v>50649</c:v>
                </c:pt>
                <c:pt idx="1624">
                  <c:v>50656</c:v>
                </c:pt>
                <c:pt idx="1625">
                  <c:v>50663</c:v>
                </c:pt>
                <c:pt idx="1626">
                  <c:v>50670</c:v>
                </c:pt>
                <c:pt idx="1627">
                  <c:v>50677</c:v>
                </c:pt>
                <c:pt idx="1628">
                  <c:v>50684</c:v>
                </c:pt>
                <c:pt idx="1629">
                  <c:v>50691</c:v>
                </c:pt>
                <c:pt idx="1630">
                  <c:v>50698</c:v>
                </c:pt>
                <c:pt idx="1631">
                  <c:v>50705</c:v>
                </c:pt>
                <c:pt idx="1632">
                  <c:v>50712</c:v>
                </c:pt>
                <c:pt idx="1633">
                  <c:v>50719</c:v>
                </c:pt>
                <c:pt idx="1634">
                  <c:v>50726</c:v>
                </c:pt>
                <c:pt idx="1635">
                  <c:v>50733</c:v>
                </c:pt>
                <c:pt idx="1636">
                  <c:v>50740</c:v>
                </c:pt>
                <c:pt idx="1637">
                  <c:v>50747</c:v>
                </c:pt>
                <c:pt idx="1638">
                  <c:v>50754</c:v>
                </c:pt>
                <c:pt idx="1639">
                  <c:v>50761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51259</c:v>
                </c:pt>
                <c:pt idx="1711">
                  <c:v>51267</c:v>
                </c:pt>
                <c:pt idx="1712">
                  <c:v>51273</c:v>
                </c:pt>
                <c:pt idx="1713">
                  <c:v>51280</c:v>
                </c:pt>
                <c:pt idx="1714">
                  <c:v>51287</c:v>
                </c:pt>
                <c:pt idx="1715">
                  <c:v>51294</c:v>
                </c:pt>
                <c:pt idx="1716">
                  <c:v>51301</c:v>
                </c:pt>
                <c:pt idx="1717">
                  <c:v>51308</c:v>
                </c:pt>
                <c:pt idx="1718">
                  <c:v>51315</c:v>
                </c:pt>
                <c:pt idx="1719">
                  <c:v>51322</c:v>
                </c:pt>
                <c:pt idx="1720">
                  <c:v>51329</c:v>
                </c:pt>
                <c:pt idx="1721">
                  <c:v>51336</c:v>
                </c:pt>
                <c:pt idx="1722">
                  <c:v>51343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51498</c:v>
                </c:pt>
                <c:pt idx="1745">
                  <c:v>51505</c:v>
                </c:pt>
                <c:pt idx="1746">
                  <c:v>51512</c:v>
                </c:pt>
                <c:pt idx="1747">
                  <c:v>51519</c:v>
                </c:pt>
                <c:pt idx="1748">
                  <c:v>51526</c:v>
                </c:pt>
                <c:pt idx="1749">
                  <c:v>51533</c:v>
                </c:pt>
                <c:pt idx="1750">
                  <c:v>51540</c:v>
                </c:pt>
                <c:pt idx="1751">
                  <c:v>51547</c:v>
                </c:pt>
                <c:pt idx="1752">
                  <c:v>51554</c:v>
                </c:pt>
                <c:pt idx="1753">
                  <c:v>51561</c:v>
                </c:pt>
                <c:pt idx="1754">
                  <c:v>51568</c:v>
                </c:pt>
                <c:pt idx="1755">
                  <c:v>51575</c:v>
                </c:pt>
                <c:pt idx="1756">
                  <c:v>51582</c:v>
                </c:pt>
                <c:pt idx="1757">
                  <c:v>51589</c:v>
                </c:pt>
                <c:pt idx="1758">
                  <c:v>51596</c:v>
                </c:pt>
                <c:pt idx="1759">
                  <c:v>51603</c:v>
                </c:pt>
                <c:pt idx="1760">
                  <c:v>51614</c:v>
                </c:pt>
                <c:pt idx="1761">
                  <c:v>51617</c:v>
                </c:pt>
                <c:pt idx="1762">
                  <c:v>51624</c:v>
                </c:pt>
                <c:pt idx="1763">
                  <c:v>51631</c:v>
                </c:pt>
                <c:pt idx="1764">
                  <c:v>51638</c:v>
                </c:pt>
                <c:pt idx="1765">
                  <c:v>51645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51739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51865</c:v>
                </c:pt>
                <c:pt idx="1797">
                  <c:v>51872</c:v>
                </c:pt>
                <c:pt idx="1798">
                  <c:v>51879</c:v>
                </c:pt>
                <c:pt idx="1799">
                  <c:v>51886</c:v>
                </c:pt>
                <c:pt idx="1800">
                  <c:v>51893</c:v>
                </c:pt>
                <c:pt idx="1801">
                  <c:v>51900</c:v>
                </c:pt>
                <c:pt idx="1802">
                  <c:v>51907</c:v>
                </c:pt>
                <c:pt idx="1803">
                  <c:v>51914</c:v>
                </c:pt>
                <c:pt idx="1804">
                  <c:v>51921</c:v>
                </c:pt>
                <c:pt idx="1805">
                  <c:v>51928</c:v>
                </c:pt>
                <c:pt idx="1806">
                  <c:v>51935</c:v>
                </c:pt>
                <c:pt idx="1807">
                  <c:v>51942</c:v>
                </c:pt>
                <c:pt idx="1808">
                  <c:v>51949</c:v>
                </c:pt>
                <c:pt idx="1809">
                  <c:v>51956</c:v>
                </c:pt>
                <c:pt idx="1810">
                  <c:v>51965</c:v>
                </c:pt>
                <c:pt idx="1811">
                  <c:v>51972</c:v>
                </c:pt>
                <c:pt idx="1812">
                  <c:v>51979</c:v>
                </c:pt>
                <c:pt idx="1813">
                  <c:v>51986</c:v>
                </c:pt>
                <c:pt idx="1814">
                  <c:v>51993</c:v>
                </c:pt>
                <c:pt idx="1815">
                  <c:v>52000</c:v>
                </c:pt>
                <c:pt idx="1816">
                  <c:v>52007</c:v>
                </c:pt>
                <c:pt idx="1817">
                  <c:v>52014</c:v>
                </c:pt>
                <c:pt idx="1818">
                  <c:v>52021</c:v>
                </c:pt>
                <c:pt idx="1819">
                  <c:v>52028</c:v>
                </c:pt>
                <c:pt idx="1820">
                  <c:v>52035</c:v>
                </c:pt>
                <c:pt idx="1821">
                  <c:v>52042</c:v>
                </c:pt>
                <c:pt idx="1822">
                  <c:v>52049</c:v>
                </c:pt>
                <c:pt idx="1823">
                  <c:v>52056</c:v>
                </c:pt>
                <c:pt idx="1824">
                  <c:v>52063</c:v>
                </c:pt>
                <c:pt idx="1825">
                  <c:v>52070</c:v>
                </c:pt>
                <c:pt idx="1826">
                  <c:v>52077</c:v>
                </c:pt>
                <c:pt idx="1827">
                  <c:v>52084</c:v>
                </c:pt>
                <c:pt idx="1828">
                  <c:v>52091</c:v>
                </c:pt>
                <c:pt idx="1829">
                  <c:v>52098</c:v>
                </c:pt>
                <c:pt idx="1830">
                  <c:v>52105</c:v>
                </c:pt>
                <c:pt idx="1831">
                  <c:v>52112</c:v>
                </c:pt>
                <c:pt idx="1832">
                  <c:v>52119</c:v>
                </c:pt>
                <c:pt idx="1833">
                  <c:v>52126</c:v>
                </c:pt>
                <c:pt idx="1834">
                  <c:v>52133</c:v>
                </c:pt>
                <c:pt idx="1835">
                  <c:v>52140</c:v>
                </c:pt>
                <c:pt idx="1836">
                  <c:v>52147</c:v>
                </c:pt>
                <c:pt idx="1837">
                  <c:v>52154</c:v>
                </c:pt>
                <c:pt idx="1838">
                  <c:v>52161</c:v>
                </c:pt>
                <c:pt idx="1839">
                  <c:v>52168</c:v>
                </c:pt>
                <c:pt idx="1840">
                  <c:v>52175</c:v>
                </c:pt>
                <c:pt idx="1841">
                  <c:v>52182</c:v>
                </c:pt>
                <c:pt idx="1842">
                  <c:v>52189</c:v>
                </c:pt>
                <c:pt idx="1843">
                  <c:v>52196</c:v>
                </c:pt>
                <c:pt idx="1844">
                  <c:v>52203</c:v>
                </c:pt>
                <c:pt idx="1845">
                  <c:v>52210</c:v>
                </c:pt>
                <c:pt idx="1846">
                  <c:v>52217</c:v>
                </c:pt>
                <c:pt idx="1847">
                  <c:v>52224</c:v>
                </c:pt>
                <c:pt idx="1848">
                  <c:v>52231</c:v>
                </c:pt>
                <c:pt idx="1849">
                  <c:v>52238</c:v>
                </c:pt>
                <c:pt idx="1850">
                  <c:v>52245</c:v>
                </c:pt>
                <c:pt idx="1851">
                  <c:v>52252</c:v>
                </c:pt>
                <c:pt idx="1852">
                  <c:v>52259</c:v>
                </c:pt>
                <c:pt idx="1853">
                  <c:v>52266</c:v>
                </c:pt>
                <c:pt idx="1854">
                  <c:v>52273</c:v>
                </c:pt>
                <c:pt idx="1855">
                  <c:v>52280</c:v>
                </c:pt>
                <c:pt idx="1856">
                  <c:v>52287</c:v>
                </c:pt>
                <c:pt idx="1857">
                  <c:v>52294</c:v>
                </c:pt>
                <c:pt idx="1858">
                  <c:v>52301</c:v>
                </c:pt>
                <c:pt idx="1859">
                  <c:v>52308</c:v>
                </c:pt>
                <c:pt idx="1860">
                  <c:v>52315</c:v>
                </c:pt>
                <c:pt idx="1861">
                  <c:v>52322</c:v>
                </c:pt>
                <c:pt idx="1862">
                  <c:v>52329</c:v>
                </c:pt>
                <c:pt idx="1863">
                  <c:v>52336</c:v>
                </c:pt>
                <c:pt idx="1864">
                  <c:v>52343</c:v>
                </c:pt>
                <c:pt idx="1865">
                  <c:v>52350</c:v>
                </c:pt>
                <c:pt idx="1866">
                  <c:v>52357</c:v>
                </c:pt>
                <c:pt idx="1867">
                  <c:v>52364</c:v>
                </c:pt>
                <c:pt idx="1868">
                  <c:v>52371</c:v>
                </c:pt>
                <c:pt idx="1869">
                  <c:v>52378</c:v>
                </c:pt>
                <c:pt idx="1870">
                  <c:v>52385</c:v>
                </c:pt>
                <c:pt idx="1871">
                  <c:v>52392</c:v>
                </c:pt>
                <c:pt idx="1872">
                  <c:v>52399</c:v>
                </c:pt>
                <c:pt idx="1873">
                  <c:v>52406</c:v>
                </c:pt>
                <c:pt idx="1874">
                  <c:v>52413</c:v>
                </c:pt>
                <c:pt idx="1875">
                  <c:v>52420</c:v>
                </c:pt>
                <c:pt idx="1876">
                  <c:v>52427</c:v>
                </c:pt>
                <c:pt idx="1877">
                  <c:v>52434</c:v>
                </c:pt>
                <c:pt idx="1878">
                  <c:v>52441</c:v>
                </c:pt>
                <c:pt idx="1879">
                  <c:v>52448</c:v>
                </c:pt>
                <c:pt idx="1880">
                  <c:v>52455</c:v>
                </c:pt>
                <c:pt idx="1881">
                  <c:v>52462</c:v>
                </c:pt>
                <c:pt idx="1882">
                  <c:v>52469</c:v>
                </c:pt>
                <c:pt idx="1883">
                  <c:v>52476</c:v>
                </c:pt>
                <c:pt idx="1884">
                  <c:v>52483</c:v>
                </c:pt>
                <c:pt idx="1885">
                  <c:v>52490</c:v>
                </c:pt>
                <c:pt idx="1886">
                  <c:v>52497</c:v>
                </c:pt>
                <c:pt idx="1887">
                  <c:v>52504</c:v>
                </c:pt>
                <c:pt idx="1888">
                  <c:v>52511</c:v>
                </c:pt>
                <c:pt idx="1889">
                  <c:v>52518</c:v>
                </c:pt>
                <c:pt idx="1890">
                  <c:v>52525</c:v>
                </c:pt>
                <c:pt idx="1891">
                  <c:v>52532</c:v>
                </c:pt>
                <c:pt idx="1892">
                  <c:v>52539</c:v>
                </c:pt>
                <c:pt idx="1893">
                  <c:v>52546</c:v>
                </c:pt>
                <c:pt idx="1894">
                  <c:v>52553</c:v>
                </c:pt>
                <c:pt idx="1895">
                  <c:v>52560</c:v>
                </c:pt>
                <c:pt idx="1896">
                  <c:v>52567</c:v>
                </c:pt>
                <c:pt idx="1897">
                  <c:v>52574</c:v>
                </c:pt>
                <c:pt idx="1898">
                  <c:v>52581</c:v>
                </c:pt>
                <c:pt idx="1899">
                  <c:v>52588</c:v>
                </c:pt>
                <c:pt idx="1900">
                  <c:v>52595</c:v>
                </c:pt>
                <c:pt idx="1901">
                  <c:v>52602</c:v>
                </c:pt>
                <c:pt idx="1902">
                  <c:v>52609</c:v>
                </c:pt>
                <c:pt idx="1903">
                  <c:v>52616</c:v>
                </c:pt>
                <c:pt idx="1904">
                  <c:v>52623</c:v>
                </c:pt>
                <c:pt idx="1905">
                  <c:v>52630</c:v>
                </c:pt>
                <c:pt idx="1906">
                  <c:v>52637</c:v>
                </c:pt>
                <c:pt idx="1907">
                  <c:v>52644</c:v>
                </c:pt>
                <c:pt idx="1908">
                  <c:v>52651</c:v>
                </c:pt>
                <c:pt idx="1909">
                  <c:v>52658</c:v>
                </c:pt>
                <c:pt idx="1910">
                  <c:v>52665</c:v>
                </c:pt>
                <c:pt idx="1911">
                  <c:v>52672</c:v>
                </c:pt>
                <c:pt idx="1912">
                  <c:v>52679</c:v>
                </c:pt>
                <c:pt idx="1913">
                  <c:v>52686</c:v>
                </c:pt>
                <c:pt idx="1914">
                  <c:v>52693</c:v>
                </c:pt>
                <c:pt idx="1915">
                  <c:v>52700</c:v>
                </c:pt>
                <c:pt idx="1916">
                  <c:v>52707</c:v>
                </c:pt>
                <c:pt idx="1917">
                  <c:v>52714</c:v>
                </c:pt>
                <c:pt idx="1918">
                  <c:v>52721</c:v>
                </c:pt>
                <c:pt idx="1919">
                  <c:v>52728</c:v>
                </c:pt>
                <c:pt idx="1920">
                  <c:v>52735</c:v>
                </c:pt>
                <c:pt idx="1921">
                  <c:v>52742</c:v>
                </c:pt>
                <c:pt idx="1922">
                  <c:v>52749</c:v>
                </c:pt>
                <c:pt idx="1923">
                  <c:v>52756</c:v>
                </c:pt>
                <c:pt idx="1924">
                  <c:v>52763</c:v>
                </c:pt>
                <c:pt idx="1925">
                  <c:v>52770</c:v>
                </c:pt>
                <c:pt idx="1926">
                  <c:v>52777</c:v>
                </c:pt>
                <c:pt idx="1927">
                  <c:v>52784</c:v>
                </c:pt>
                <c:pt idx="1928">
                  <c:v>52791</c:v>
                </c:pt>
                <c:pt idx="1929">
                  <c:v>52798</c:v>
                </c:pt>
                <c:pt idx="1930">
                  <c:v>52805</c:v>
                </c:pt>
                <c:pt idx="1931">
                  <c:v>52812</c:v>
                </c:pt>
                <c:pt idx="1932">
                  <c:v>52819</c:v>
                </c:pt>
                <c:pt idx="1933">
                  <c:v>52826</c:v>
                </c:pt>
                <c:pt idx="1934">
                  <c:v>52833</c:v>
                </c:pt>
                <c:pt idx="1935">
                  <c:v>52840</c:v>
                </c:pt>
                <c:pt idx="1936">
                  <c:v>52847</c:v>
                </c:pt>
                <c:pt idx="1937">
                  <c:v>52854</c:v>
                </c:pt>
                <c:pt idx="1938">
                  <c:v>52861</c:v>
                </c:pt>
                <c:pt idx="1939">
                  <c:v>52868</c:v>
                </c:pt>
                <c:pt idx="1940">
                  <c:v>52875</c:v>
                </c:pt>
                <c:pt idx="1941">
                  <c:v>52882</c:v>
                </c:pt>
                <c:pt idx="1942">
                  <c:v>52889</c:v>
                </c:pt>
                <c:pt idx="1943">
                  <c:v>52896</c:v>
                </c:pt>
                <c:pt idx="1944">
                  <c:v>52903</c:v>
                </c:pt>
                <c:pt idx="1945">
                  <c:v>52910</c:v>
                </c:pt>
                <c:pt idx="1946">
                  <c:v>52917</c:v>
                </c:pt>
                <c:pt idx="1947">
                  <c:v>52924</c:v>
                </c:pt>
                <c:pt idx="1948">
                  <c:v>52931</c:v>
                </c:pt>
                <c:pt idx="1949">
                  <c:v>52938</c:v>
                </c:pt>
                <c:pt idx="1950">
                  <c:v>52945</c:v>
                </c:pt>
                <c:pt idx="1951">
                  <c:v>52952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53177</c:v>
                </c:pt>
                <c:pt idx="1984">
                  <c:v>53184</c:v>
                </c:pt>
                <c:pt idx="1985">
                  <c:v>53191</c:v>
                </c:pt>
                <c:pt idx="1986">
                  <c:v>53198</c:v>
                </c:pt>
                <c:pt idx="1987">
                  <c:v>53205</c:v>
                </c:pt>
                <c:pt idx="1988">
                  <c:v>53212</c:v>
                </c:pt>
                <c:pt idx="1989">
                  <c:v>53219</c:v>
                </c:pt>
                <c:pt idx="1990">
                  <c:v>53226</c:v>
                </c:pt>
                <c:pt idx="1991">
                  <c:v>53233</c:v>
                </c:pt>
                <c:pt idx="1992">
                  <c:v>53240</c:v>
                </c:pt>
                <c:pt idx="1993">
                  <c:v>53247</c:v>
                </c:pt>
                <c:pt idx="1994">
                  <c:v>53254</c:v>
                </c:pt>
                <c:pt idx="1995">
                  <c:v>53261</c:v>
                </c:pt>
                <c:pt idx="1996">
                  <c:v>53268</c:v>
                </c:pt>
                <c:pt idx="1997">
                  <c:v>53275</c:v>
                </c:pt>
                <c:pt idx="1998">
                  <c:v>53282</c:v>
                </c:pt>
                <c:pt idx="1999">
                  <c:v>53289</c:v>
                </c:pt>
                <c:pt idx="2000">
                  <c:v>53296</c:v>
                </c:pt>
                <c:pt idx="2001">
                  <c:v>53303</c:v>
                </c:pt>
                <c:pt idx="2002">
                  <c:v>53310</c:v>
                </c:pt>
                <c:pt idx="2003">
                  <c:v>53317</c:v>
                </c:pt>
                <c:pt idx="2004">
                  <c:v>53324</c:v>
                </c:pt>
                <c:pt idx="2005">
                  <c:v>53331</c:v>
                </c:pt>
                <c:pt idx="2006">
                  <c:v>53338</c:v>
                </c:pt>
                <c:pt idx="2007">
                  <c:v>53345</c:v>
                </c:pt>
                <c:pt idx="2008">
                  <c:v>53352</c:v>
                </c:pt>
                <c:pt idx="2009">
                  <c:v>53359</c:v>
                </c:pt>
                <c:pt idx="2010">
                  <c:v>53366</c:v>
                </c:pt>
                <c:pt idx="2011">
                  <c:v>53373</c:v>
                </c:pt>
                <c:pt idx="2012">
                  <c:v>53380</c:v>
                </c:pt>
                <c:pt idx="2013">
                  <c:v>53387</c:v>
                </c:pt>
                <c:pt idx="2014">
                  <c:v>53394</c:v>
                </c:pt>
                <c:pt idx="2015">
                  <c:v>53401</c:v>
                </c:pt>
                <c:pt idx="2016">
                  <c:v>53408</c:v>
                </c:pt>
                <c:pt idx="2017">
                  <c:v>53415</c:v>
                </c:pt>
                <c:pt idx="2018">
                  <c:v>53422</c:v>
                </c:pt>
                <c:pt idx="2019">
                  <c:v>53429</c:v>
                </c:pt>
                <c:pt idx="2020">
                  <c:v>53436</c:v>
                </c:pt>
                <c:pt idx="2021">
                  <c:v>53443</c:v>
                </c:pt>
                <c:pt idx="2022">
                  <c:v>53451</c:v>
                </c:pt>
                <c:pt idx="2023">
                  <c:v>53457</c:v>
                </c:pt>
                <c:pt idx="2024">
                  <c:v>53464</c:v>
                </c:pt>
                <c:pt idx="2025">
                  <c:v>53471</c:v>
                </c:pt>
                <c:pt idx="2026">
                  <c:v>53478</c:v>
                </c:pt>
                <c:pt idx="2027">
                  <c:v>53485</c:v>
                </c:pt>
                <c:pt idx="2028">
                  <c:v>53492</c:v>
                </c:pt>
                <c:pt idx="2029">
                  <c:v>53499</c:v>
                </c:pt>
                <c:pt idx="2030">
                  <c:v>53506</c:v>
                </c:pt>
                <c:pt idx="2031">
                  <c:v>53513</c:v>
                </c:pt>
                <c:pt idx="2032">
                  <c:v>53520</c:v>
                </c:pt>
                <c:pt idx="2033">
                  <c:v>53527</c:v>
                </c:pt>
                <c:pt idx="2034">
                  <c:v>53534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53689</c:v>
                </c:pt>
                <c:pt idx="2057">
                  <c:v>53696</c:v>
                </c:pt>
                <c:pt idx="2058">
                  <c:v>53703</c:v>
                </c:pt>
                <c:pt idx="2059">
                  <c:v>53710</c:v>
                </c:pt>
                <c:pt idx="2060">
                  <c:v>53717</c:v>
                </c:pt>
                <c:pt idx="2061">
                  <c:v>53724</c:v>
                </c:pt>
                <c:pt idx="2062">
                  <c:v>53731</c:v>
                </c:pt>
                <c:pt idx="2063">
                  <c:v>53738</c:v>
                </c:pt>
                <c:pt idx="2064">
                  <c:v>53745</c:v>
                </c:pt>
                <c:pt idx="2065">
                  <c:v>53752</c:v>
                </c:pt>
                <c:pt idx="2066">
                  <c:v>53759</c:v>
                </c:pt>
                <c:pt idx="2067">
                  <c:v>53766</c:v>
                </c:pt>
                <c:pt idx="2068">
                  <c:v>53773</c:v>
                </c:pt>
                <c:pt idx="2069">
                  <c:v>53780</c:v>
                </c:pt>
                <c:pt idx="2070">
                  <c:v>53787</c:v>
                </c:pt>
                <c:pt idx="2071">
                  <c:v>53798</c:v>
                </c:pt>
                <c:pt idx="2072">
                  <c:v>53801</c:v>
                </c:pt>
                <c:pt idx="2073">
                  <c:v>53808</c:v>
                </c:pt>
                <c:pt idx="2074">
                  <c:v>53815</c:v>
                </c:pt>
                <c:pt idx="2075">
                  <c:v>53822</c:v>
                </c:pt>
                <c:pt idx="2076">
                  <c:v>53829</c:v>
                </c:pt>
                <c:pt idx="2077">
                  <c:v>53839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53930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54056</c:v>
                </c:pt>
                <c:pt idx="2109">
                  <c:v>54063</c:v>
                </c:pt>
                <c:pt idx="2110">
                  <c:v>54070</c:v>
                </c:pt>
                <c:pt idx="2111">
                  <c:v>54077</c:v>
                </c:pt>
                <c:pt idx="2112">
                  <c:v>54084</c:v>
                </c:pt>
                <c:pt idx="2113">
                  <c:v>54091</c:v>
                </c:pt>
                <c:pt idx="2114">
                  <c:v>54098</c:v>
                </c:pt>
                <c:pt idx="2115">
                  <c:v>54105</c:v>
                </c:pt>
                <c:pt idx="2116">
                  <c:v>54112</c:v>
                </c:pt>
                <c:pt idx="2117">
                  <c:v>54119</c:v>
                </c:pt>
                <c:pt idx="2118">
                  <c:v>54126</c:v>
                </c:pt>
                <c:pt idx="2119">
                  <c:v>54133</c:v>
                </c:pt>
                <c:pt idx="2120">
                  <c:v>54140</c:v>
                </c:pt>
                <c:pt idx="2121">
                  <c:v>54147</c:v>
                </c:pt>
                <c:pt idx="2122">
                  <c:v>54156</c:v>
                </c:pt>
                <c:pt idx="2123">
                  <c:v>54163</c:v>
                </c:pt>
                <c:pt idx="2124">
                  <c:v>54170</c:v>
                </c:pt>
                <c:pt idx="2125">
                  <c:v>54177</c:v>
                </c:pt>
                <c:pt idx="2126">
                  <c:v>54184</c:v>
                </c:pt>
                <c:pt idx="2127">
                  <c:v>54191</c:v>
                </c:pt>
                <c:pt idx="2128">
                  <c:v>54198</c:v>
                </c:pt>
                <c:pt idx="2129">
                  <c:v>54205</c:v>
                </c:pt>
                <c:pt idx="2130">
                  <c:v>54212</c:v>
                </c:pt>
                <c:pt idx="2131">
                  <c:v>54219</c:v>
                </c:pt>
                <c:pt idx="2132">
                  <c:v>54226</c:v>
                </c:pt>
                <c:pt idx="2133">
                  <c:v>54233</c:v>
                </c:pt>
                <c:pt idx="2134">
                  <c:v>54240</c:v>
                </c:pt>
                <c:pt idx="2135">
                  <c:v>54247</c:v>
                </c:pt>
                <c:pt idx="2136">
                  <c:v>54254</c:v>
                </c:pt>
                <c:pt idx="2137">
                  <c:v>54261</c:v>
                </c:pt>
                <c:pt idx="2138">
                  <c:v>54268</c:v>
                </c:pt>
                <c:pt idx="2139">
                  <c:v>54275</c:v>
                </c:pt>
                <c:pt idx="2140">
                  <c:v>54282</c:v>
                </c:pt>
                <c:pt idx="2141">
                  <c:v>54289</c:v>
                </c:pt>
                <c:pt idx="2142">
                  <c:v>54296</c:v>
                </c:pt>
                <c:pt idx="2143">
                  <c:v>54303</c:v>
                </c:pt>
                <c:pt idx="2144">
                  <c:v>54310</c:v>
                </c:pt>
                <c:pt idx="2145">
                  <c:v>54317</c:v>
                </c:pt>
                <c:pt idx="2146">
                  <c:v>54324</c:v>
                </c:pt>
                <c:pt idx="2147">
                  <c:v>54331</c:v>
                </c:pt>
                <c:pt idx="2148">
                  <c:v>54338</c:v>
                </c:pt>
                <c:pt idx="2149">
                  <c:v>54345</c:v>
                </c:pt>
                <c:pt idx="2150">
                  <c:v>54352</c:v>
                </c:pt>
                <c:pt idx="2151">
                  <c:v>54359</c:v>
                </c:pt>
                <c:pt idx="2152">
                  <c:v>54366</c:v>
                </c:pt>
                <c:pt idx="2153">
                  <c:v>54373</c:v>
                </c:pt>
                <c:pt idx="2154">
                  <c:v>54380</c:v>
                </c:pt>
                <c:pt idx="2155">
                  <c:v>54387</c:v>
                </c:pt>
                <c:pt idx="2156">
                  <c:v>54394</c:v>
                </c:pt>
                <c:pt idx="2157">
                  <c:v>54401</c:v>
                </c:pt>
                <c:pt idx="2158">
                  <c:v>54408</c:v>
                </c:pt>
                <c:pt idx="2159">
                  <c:v>54415</c:v>
                </c:pt>
                <c:pt idx="2160">
                  <c:v>54422</c:v>
                </c:pt>
                <c:pt idx="2161">
                  <c:v>54429</c:v>
                </c:pt>
                <c:pt idx="2162">
                  <c:v>54436</c:v>
                </c:pt>
                <c:pt idx="2163">
                  <c:v>54443</c:v>
                </c:pt>
                <c:pt idx="2164">
                  <c:v>54450</c:v>
                </c:pt>
                <c:pt idx="2165">
                  <c:v>54457</c:v>
                </c:pt>
                <c:pt idx="2166">
                  <c:v>54464</c:v>
                </c:pt>
                <c:pt idx="2167">
                  <c:v>54471</c:v>
                </c:pt>
                <c:pt idx="2168">
                  <c:v>54478</c:v>
                </c:pt>
                <c:pt idx="2169">
                  <c:v>54485</c:v>
                </c:pt>
                <c:pt idx="2170">
                  <c:v>54492</c:v>
                </c:pt>
                <c:pt idx="2171">
                  <c:v>54499</c:v>
                </c:pt>
                <c:pt idx="2172">
                  <c:v>54506</c:v>
                </c:pt>
                <c:pt idx="2173">
                  <c:v>54513</c:v>
                </c:pt>
                <c:pt idx="2174">
                  <c:v>54520</c:v>
                </c:pt>
                <c:pt idx="2175">
                  <c:v>54527</c:v>
                </c:pt>
                <c:pt idx="2176">
                  <c:v>54534</c:v>
                </c:pt>
                <c:pt idx="2177">
                  <c:v>54541</c:v>
                </c:pt>
                <c:pt idx="2178">
                  <c:v>54548</c:v>
                </c:pt>
                <c:pt idx="2179">
                  <c:v>54555</c:v>
                </c:pt>
                <c:pt idx="2180">
                  <c:v>54562</c:v>
                </c:pt>
                <c:pt idx="2181">
                  <c:v>54569</c:v>
                </c:pt>
                <c:pt idx="2182">
                  <c:v>54576</c:v>
                </c:pt>
                <c:pt idx="2183">
                  <c:v>54583</c:v>
                </c:pt>
                <c:pt idx="2184">
                  <c:v>54590</c:v>
                </c:pt>
                <c:pt idx="2185">
                  <c:v>54597</c:v>
                </c:pt>
                <c:pt idx="2186">
                  <c:v>54604</c:v>
                </c:pt>
                <c:pt idx="2187">
                  <c:v>54611</c:v>
                </c:pt>
                <c:pt idx="2188">
                  <c:v>54618</c:v>
                </c:pt>
                <c:pt idx="2189">
                  <c:v>54625</c:v>
                </c:pt>
                <c:pt idx="2190">
                  <c:v>54632</c:v>
                </c:pt>
                <c:pt idx="2191">
                  <c:v>54639</c:v>
                </c:pt>
                <c:pt idx="2192">
                  <c:v>54646</c:v>
                </c:pt>
                <c:pt idx="2193">
                  <c:v>54653</c:v>
                </c:pt>
                <c:pt idx="2194">
                  <c:v>54660</c:v>
                </c:pt>
                <c:pt idx="2195">
                  <c:v>54667</c:v>
                </c:pt>
                <c:pt idx="2196">
                  <c:v>54674</c:v>
                </c:pt>
                <c:pt idx="2197">
                  <c:v>54681</c:v>
                </c:pt>
                <c:pt idx="2198">
                  <c:v>54688</c:v>
                </c:pt>
                <c:pt idx="2199">
                  <c:v>54695</c:v>
                </c:pt>
                <c:pt idx="2200">
                  <c:v>54702</c:v>
                </c:pt>
                <c:pt idx="2201">
                  <c:v>54709</c:v>
                </c:pt>
                <c:pt idx="2202">
                  <c:v>54716</c:v>
                </c:pt>
                <c:pt idx="2203">
                  <c:v>54723</c:v>
                </c:pt>
                <c:pt idx="2204">
                  <c:v>54730</c:v>
                </c:pt>
                <c:pt idx="2205">
                  <c:v>54737</c:v>
                </c:pt>
                <c:pt idx="2206">
                  <c:v>54744</c:v>
                </c:pt>
                <c:pt idx="2207">
                  <c:v>54751</c:v>
                </c:pt>
                <c:pt idx="2208">
                  <c:v>54758</c:v>
                </c:pt>
                <c:pt idx="2209">
                  <c:v>54765</c:v>
                </c:pt>
                <c:pt idx="2210">
                  <c:v>54772</c:v>
                </c:pt>
                <c:pt idx="2211">
                  <c:v>54779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55368</c:v>
                </c:pt>
                <c:pt idx="2296">
                  <c:v>55375</c:v>
                </c:pt>
                <c:pt idx="2297">
                  <c:v>55382</c:v>
                </c:pt>
                <c:pt idx="2298">
                  <c:v>55389</c:v>
                </c:pt>
                <c:pt idx="2299">
                  <c:v>55396</c:v>
                </c:pt>
                <c:pt idx="2300">
                  <c:v>55403</c:v>
                </c:pt>
                <c:pt idx="2301">
                  <c:v>55410</c:v>
                </c:pt>
                <c:pt idx="2302">
                  <c:v>55417</c:v>
                </c:pt>
                <c:pt idx="2303">
                  <c:v>55424</c:v>
                </c:pt>
                <c:pt idx="2304">
                  <c:v>55431</c:v>
                </c:pt>
                <c:pt idx="2305">
                  <c:v>55438</c:v>
                </c:pt>
                <c:pt idx="2306">
                  <c:v>55445</c:v>
                </c:pt>
                <c:pt idx="2307">
                  <c:v>55452</c:v>
                </c:pt>
                <c:pt idx="2308">
                  <c:v>55459</c:v>
                </c:pt>
                <c:pt idx="2309">
                  <c:v>55466</c:v>
                </c:pt>
                <c:pt idx="2310">
                  <c:v>55473</c:v>
                </c:pt>
                <c:pt idx="2311">
                  <c:v>55480</c:v>
                </c:pt>
                <c:pt idx="2312">
                  <c:v>55487</c:v>
                </c:pt>
                <c:pt idx="2313">
                  <c:v>55494</c:v>
                </c:pt>
                <c:pt idx="2314">
                  <c:v>55501</c:v>
                </c:pt>
                <c:pt idx="2315">
                  <c:v>55508</c:v>
                </c:pt>
                <c:pt idx="2316">
                  <c:v>55515</c:v>
                </c:pt>
                <c:pt idx="2317">
                  <c:v>55522</c:v>
                </c:pt>
                <c:pt idx="2318">
                  <c:v>55529</c:v>
                </c:pt>
                <c:pt idx="2319">
                  <c:v>55536</c:v>
                </c:pt>
                <c:pt idx="2320">
                  <c:v>55543</c:v>
                </c:pt>
                <c:pt idx="2321">
                  <c:v>55550</c:v>
                </c:pt>
                <c:pt idx="2322">
                  <c:v>55557</c:v>
                </c:pt>
                <c:pt idx="2323">
                  <c:v>55564</c:v>
                </c:pt>
                <c:pt idx="2324">
                  <c:v>55571</c:v>
                </c:pt>
                <c:pt idx="2325">
                  <c:v>55578</c:v>
                </c:pt>
                <c:pt idx="2326">
                  <c:v>55585</c:v>
                </c:pt>
                <c:pt idx="2327">
                  <c:v>55592</c:v>
                </c:pt>
                <c:pt idx="2328">
                  <c:v>55599</c:v>
                </c:pt>
                <c:pt idx="2329">
                  <c:v>55606</c:v>
                </c:pt>
                <c:pt idx="2330">
                  <c:v>55613</c:v>
                </c:pt>
                <c:pt idx="2331">
                  <c:v>55620</c:v>
                </c:pt>
                <c:pt idx="2332">
                  <c:v>55627</c:v>
                </c:pt>
                <c:pt idx="2333">
                  <c:v>55634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55673</c:v>
                </c:pt>
                <c:pt idx="2339">
                  <c:v>55681</c:v>
                </c:pt>
                <c:pt idx="2340">
                  <c:v>55687</c:v>
                </c:pt>
                <c:pt idx="2341">
                  <c:v>55694</c:v>
                </c:pt>
                <c:pt idx="2342">
                  <c:v>55701</c:v>
                </c:pt>
                <c:pt idx="2343">
                  <c:v>55708</c:v>
                </c:pt>
                <c:pt idx="2344">
                  <c:v>55715</c:v>
                </c:pt>
                <c:pt idx="2345">
                  <c:v>55722</c:v>
                </c:pt>
                <c:pt idx="2346">
                  <c:v>55729</c:v>
                </c:pt>
                <c:pt idx="2347">
                  <c:v>55736</c:v>
                </c:pt>
                <c:pt idx="2348">
                  <c:v>55743</c:v>
                </c:pt>
                <c:pt idx="2349">
                  <c:v>55750</c:v>
                </c:pt>
                <c:pt idx="2350">
                  <c:v>55757</c:v>
                </c:pt>
                <c:pt idx="2351">
                  <c:v>55764</c:v>
                </c:pt>
                <c:pt idx="2352">
                  <c:v>55771</c:v>
                </c:pt>
                <c:pt idx="2353">
                  <c:v>55778</c:v>
                </c:pt>
                <c:pt idx="2354">
                  <c:v>55785</c:v>
                </c:pt>
                <c:pt idx="2355">
                  <c:v>55792</c:v>
                </c:pt>
                <c:pt idx="2356">
                  <c:v>55799</c:v>
                </c:pt>
                <c:pt idx="2357">
                  <c:v>55806</c:v>
                </c:pt>
                <c:pt idx="2358">
                  <c:v>55813</c:v>
                </c:pt>
                <c:pt idx="2359">
                  <c:v>55820</c:v>
                </c:pt>
                <c:pt idx="2360">
                  <c:v>55827</c:v>
                </c:pt>
                <c:pt idx="2361">
                  <c:v>55834</c:v>
                </c:pt>
                <c:pt idx="2362">
                  <c:v>55841</c:v>
                </c:pt>
                <c:pt idx="2363">
                  <c:v>55848</c:v>
                </c:pt>
                <c:pt idx="2364">
                  <c:v>55855</c:v>
                </c:pt>
                <c:pt idx="2365">
                  <c:v>55862</c:v>
                </c:pt>
                <c:pt idx="2366">
                  <c:v>55869</c:v>
                </c:pt>
                <c:pt idx="2367">
                  <c:v>55876</c:v>
                </c:pt>
                <c:pt idx="2368">
                  <c:v>55883</c:v>
                </c:pt>
                <c:pt idx="2369">
                  <c:v>55890</c:v>
                </c:pt>
                <c:pt idx="2370">
                  <c:v>55897</c:v>
                </c:pt>
                <c:pt idx="2371">
                  <c:v>55904</c:v>
                </c:pt>
                <c:pt idx="2372">
                  <c:v>55911</c:v>
                </c:pt>
                <c:pt idx="2373">
                  <c:v>55918</c:v>
                </c:pt>
                <c:pt idx="2374">
                  <c:v>55925</c:v>
                </c:pt>
                <c:pt idx="2375">
                  <c:v>55932</c:v>
                </c:pt>
                <c:pt idx="2376">
                  <c:v>55939</c:v>
                </c:pt>
                <c:pt idx="2377">
                  <c:v>55946</c:v>
                </c:pt>
                <c:pt idx="2378">
                  <c:v>55953</c:v>
                </c:pt>
                <c:pt idx="2379">
                  <c:v>55960</c:v>
                </c:pt>
                <c:pt idx="2380">
                  <c:v>55967</c:v>
                </c:pt>
                <c:pt idx="2381">
                  <c:v>55974</c:v>
                </c:pt>
                <c:pt idx="2382">
                  <c:v>55983</c:v>
                </c:pt>
                <c:pt idx="2383">
                  <c:v>55990</c:v>
                </c:pt>
                <c:pt idx="2384">
                  <c:v>55997</c:v>
                </c:pt>
                <c:pt idx="2385">
                  <c:v>56004</c:v>
                </c:pt>
                <c:pt idx="2386">
                  <c:v>56011</c:v>
                </c:pt>
                <c:pt idx="2387">
                  <c:v>56018</c:v>
                </c:pt>
                <c:pt idx="2388">
                  <c:v>56025</c:v>
                </c:pt>
                <c:pt idx="2389">
                  <c:v>56032</c:v>
                </c:pt>
                <c:pt idx="2390">
                  <c:v>56039</c:v>
                </c:pt>
                <c:pt idx="2391">
                  <c:v>56046</c:v>
                </c:pt>
                <c:pt idx="2392">
                  <c:v>56053</c:v>
                </c:pt>
                <c:pt idx="2393">
                  <c:v>56060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56158</c:v>
                </c:pt>
                <c:pt idx="2408">
                  <c:v>56165</c:v>
                </c:pt>
                <c:pt idx="2409">
                  <c:v>56172</c:v>
                </c:pt>
                <c:pt idx="2410">
                  <c:v>56179</c:v>
                </c:pt>
                <c:pt idx="2411">
                  <c:v>56186</c:v>
                </c:pt>
                <c:pt idx="2412">
                  <c:v>56193</c:v>
                </c:pt>
                <c:pt idx="2413">
                  <c:v>56200</c:v>
                </c:pt>
                <c:pt idx="2414">
                  <c:v>56207</c:v>
                </c:pt>
                <c:pt idx="2415">
                  <c:v>56214</c:v>
                </c:pt>
                <c:pt idx="2416">
                  <c:v>56221</c:v>
                </c:pt>
                <c:pt idx="2417">
                  <c:v>56228</c:v>
                </c:pt>
                <c:pt idx="2418">
                  <c:v>56235</c:v>
                </c:pt>
                <c:pt idx="2419">
                  <c:v>56242</c:v>
                </c:pt>
                <c:pt idx="2420">
                  <c:v>56249</c:v>
                </c:pt>
                <c:pt idx="2421">
                  <c:v>56256</c:v>
                </c:pt>
                <c:pt idx="2422">
                  <c:v>56263</c:v>
                </c:pt>
                <c:pt idx="2423">
                  <c:v>56270</c:v>
                </c:pt>
                <c:pt idx="2424">
                  <c:v>56277</c:v>
                </c:pt>
                <c:pt idx="2425">
                  <c:v>56284</c:v>
                </c:pt>
                <c:pt idx="2426">
                  <c:v>56291</c:v>
                </c:pt>
                <c:pt idx="2427">
                  <c:v>56298</c:v>
                </c:pt>
                <c:pt idx="2428">
                  <c:v>56305</c:v>
                </c:pt>
                <c:pt idx="2429">
                  <c:v>56312</c:v>
                </c:pt>
                <c:pt idx="2430">
                  <c:v>56319</c:v>
                </c:pt>
                <c:pt idx="2431">
                  <c:v>56326</c:v>
                </c:pt>
                <c:pt idx="2432">
                  <c:v>56333</c:v>
                </c:pt>
                <c:pt idx="2433">
                  <c:v>56340</c:v>
                </c:pt>
                <c:pt idx="2434">
                  <c:v>56347</c:v>
                </c:pt>
                <c:pt idx="2435">
                  <c:v>56354</c:v>
                </c:pt>
                <c:pt idx="2436">
                  <c:v>56361</c:v>
                </c:pt>
                <c:pt idx="2437">
                  <c:v>56368</c:v>
                </c:pt>
                <c:pt idx="2438">
                  <c:v>56375</c:v>
                </c:pt>
                <c:pt idx="2439">
                  <c:v>56382</c:v>
                </c:pt>
                <c:pt idx="2440">
                  <c:v>56389</c:v>
                </c:pt>
                <c:pt idx="2441">
                  <c:v>56396</c:v>
                </c:pt>
                <c:pt idx="2442">
                  <c:v>56403</c:v>
                </c:pt>
                <c:pt idx="2443">
                  <c:v>56410</c:v>
                </c:pt>
                <c:pt idx="2444">
                  <c:v>56417</c:v>
                </c:pt>
                <c:pt idx="2445">
                  <c:v>56424</c:v>
                </c:pt>
                <c:pt idx="2446">
                  <c:v>56431</c:v>
                </c:pt>
                <c:pt idx="2447">
                  <c:v>56438</c:v>
                </c:pt>
                <c:pt idx="2448">
                  <c:v>56445</c:v>
                </c:pt>
                <c:pt idx="2449">
                  <c:v>56452</c:v>
                </c:pt>
                <c:pt idx="2450">
                  <c:v>56459</c:v>
                </c:pt>
                <c:pt idx="2451">
                  <c:v>56466</c:v>
                </c:pt>
                <c:pt idx="2452">
                  <c:v>56473</c:v>
                </c:pt>
                <c:pt idx="2453">
                  <c:v>56480</c:v>
                </c:pt>
                <c:pt idx="2454">
                  <c:v>56487</c:v>
                </c:pt>
                <c:pt idx="2455">
                  <c:v>56494</c:v>
                </c:pt>
                <c:pt idx="2456">
                  <c:v>56501</c:v>
                </c:pt>
                <c:pt idx="2457">
                  <c:v>56508</c:v>
                </c:pt>
                <c:pt idx="2458">
                  <c:v>56515</c:v>
                </c:pt>
                <c:pt idx="2459">
                  <c:v>56522</c:v>
                </c:pt>
                <c:pt idx="2460">
                  <c:v>56529</c:v>
                </c:pt>
                <c:pt idx="2461">
                  <c:v>56536</c:v>
                </c:pt>
                <c:pt idx="2462">
                  <c:v>56543</c:v>
                </c:pt>
                <c:pt idx="2463">
                  <c:v>56550</c:v>
                </c:pt>
                <c:pt idx="2464">
                  <c:v>56557</c:v>
                </c:pt>
                <c:pt idx="2465">
                  <c:v>56564</c:v>
                </c:pt>
                <c:pt idx="2466">
                  <c:v>56571</c:v>
                </c:pt>
                <c:pt idx="2467">
                  <c:v>56578</c:v>
                </c:pt>
                <c:pt idx="2468">
                  <c:v>56585</c:v>
                </c:pt>
                <c:pt idx="2469">
                  <c:v>56592</c:v>
                </c:pt>
                <c:pt idx="2470">
                  <c:v>56599</c:v>
                </c:pt>
                <c:pt idx="2471">
                  <c:v>56606</c:v>
                </c:pt>
                <c:pt idx="2472">
                  <c:v>56613</c:v>
                </c:pt>
                <c:pt idx="2473">
                  <c:v>56620</c:v>
                </c:pt>
                <c:pt idx="2474">
                  <c:v>56627</c:v>
                </c:pt>
                <c:pt idx="2475">
                  <c:v>56634</c:v>
                </c:pt>
                <c:pt idx="2476">
                  <c:v>56641</c:v>
                </c:pt>
                <c:pt idx="2477">
                  <c:v>56648</c:v>
                </c:pt>
                <c:pt idx="2478">
                  <c:v>56655</c:v>
                </c:pt>
                <c:pt idx="2479">
                  <c:v>56662</c:v>
                </c:pt>
                <c:pt idx="2480">
                  <c:v>56669</c:v>
                </c:pt>
                <c:pt idx="2481">
                  <c:v>56676</c:v>
                </c:pt>
                <c:pt idx="2482">
                  <c:v>56683</c:v>
                </c:pt>
                <c:pt idx="2483">
                  <c:v>56690</c:v>
                </c:pt>
                <c:pt idx="2484">
                  <c:v>56697</c:v>
                </c:pt>
                <c:pt idx="2485">
                  <c:v>56704</c:v>
                </c:pt>
                <c:pt idx="2486">
                  <c:v>56711</c:v>
                </c:pt>
                <c:pt idx="2487">
                  <c:v>56718</c:v>
                </c:pt>
                <c:pt idx="2488">
                  <c:v>56725</c:v>
                </c:pt>
                <c:pt idx="2489">
                  <c:v>56732</c:v>
                </c:pt>
                <c:pt idx="2490">
                  <c:v>56739</c:v>
                </c:pt>
                <c:pt idx="2491">
                  <c:v>56746</c:v>
                </c:pt>
                <c:pt idx="2492">
                  <c:v>56753</c:v>
                </c:pt>
                <c:pt idx="2493">
                  <c:v>56760</c:v>
                </c:pt>
                <c:pt idx="2494">
                  <c:v>56767</c:v>
                </c:pt>
                <c:pt idx="2495">
                  <c:v>56774</c:v>
                </c:pt>
                <c:pt idx="2496">
                  <c:v>56781</c:v>
                </c:pt>
                <c:pt idx="2497">
                  <c:v>56788</c:v>
                </c:pt>
                <c:pt idx="2498">
                  <c:v>56795</c:v>
                </c:pt>
                <c:pt idx="2499">
                  <c:v>56802</c:v>
                </c:pt>
                <c:pt idx="2500">
                  <c:v>56809</c:v>
                </c:pt>
                <c:pt idx="2501">
                  <c:v>56816</c:v>
                </c:pt>
                <c:pt idx="2502">
                  <c:v>56823</c:v>
                </c:pt>
                <c:pt idx="2503">
                  <c:v>56830</c:v>
                </c:pt>
                <c:pt idx="2504">
                  <c:v>56837</c:v>
                </c:pt>
                <c:pt idx="2505">
                  <c:v>56844</c:v>
                </c:pt>
                <c:pt idx="2506">
                  <c:v>56851</c:v>
                </c:pt>
                <c:pt idx="2507">
                  <c:v>56858</c:v>
                </c:pt>
                <c:pt idx="2508">
                  <c:v>56865</c:v>
                </c:pt>
                <c:pt idx="2509">
                  <c:v>56872</c:v>
                </c:pt>
                <c:pt idx="2510">
                  <c:v>56879</c:v>
                </c:pt>
                <c:pt idx="2511">
                  <c:v>56886</c:v>
                </c:pt>
                <c:pt idx="2512">
                  <c:v>56893</c:v>
                </c:pt>
                <c:pt idx="2513">
                  <c:v>56900</c:v>
                </c:pt>
                <c:pt idx="2514">
                  <c:v>56907</c:v>
                </c:pt>
                <c:pt idx="2515">
                  <c:v>56914</c:v>
                </c:pt>
                <c:pt idx="2516">
                  <c:v>56921</c:v>
                </c:pt>
                <c:pt idx="2517">
                  <c:v>56928</c:v>
                </c:pt>
                <c:pt idx="2518">
                  <c:v>56935</c:v>
                </c:pt>
                <c:pt idx="2519">
                  <c:v>56942</c:v>
                </c:pt>
                <c:pt idx="2520">
                  <c:v>56949</c:v>
                </c:pt>
                <c:pt idx="2521">
                  <c:v>56956</c:v>
                </c:pt>
                <c:pt idx="2522">
                  <c:v>56963</c:v>
                </c:pt>
                <c:pt idx="2523">
                  <c:v>56970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57195</c:v>
                </c:pt>
                <c:pt idx="2556">
                  <c:v>57202</c:v>
                </c:pt>
                <c:pt idx="2557">
                  <c:v>57209</c:v>
                </c:pt>
                <c:pt idx="2558">
                  <c:v>57216</c:v>
                </c:pt>
                <c:pt idx="2559">
                  <c:v>57223</c:v>
                </c:pt>
                <c:pt idx="2560">
                  <c:v>57230</c:v>
                </c:pt>
                <c:pt idx="2561">
                  <c:v>57237</c:v>
                </c:pt>
                <c:pt idx="2562">
                  <c:v>57244</c:v>
                </c:pt>
                <c:pt idx="2563">
                  <c:v>57251</c:v>
                </c:pt>
                <c:pt idx="2564">
                  <c:v>57258</c:v>
                </c:pt>
                <c:pt idx="2565">
                  <c:v>57265</c:v>
                </c:pt>
                <c:pt idx="2566">
                  <c:v>57272</c:v>
                </c:pt>
                <c:pt idx="2567">
                  <c:v>57279</c:v>
                </c:pt>
                <c:pt idx="2568">
                  <c:v>57286</c:v>
                </c:pt>
                <c:pt idx="2569">
                  <c:v>57293</c:v>
                </c:pt>
                <c:pt idx="2570">
                  <c:v>57300</c:v>
                </c:pt>
                <c:pt idx="2571">
                  <c:v>57307</c:v>
                </c:pt>
                <c:pt idx="2572">
                  <c:v>57314</c:v>
                </c:pt>
                <c:pt idx="2573">
                  <c:v>57321</c:v>
                </c:pt>
                <c:pt idx="2574">
                  <c:v>57328</c:v>
                </c:pt>
                <c:pt idx="2575">
                  <c:v>57335</c:v>
                </c:pt>
                <c:pt idx="2576">
                  <c:v>57342</c:v>
                </c:pt>
                <c:pt idx="2577">
                  <c:v>57349</c:v>
                </c:pt>
                <c:pt idx="2578">
                  <c:v>57356</c:v>
                </c:pt>
                <c:pt idx="2579">
                  <c:v>57363</c:v>
                </c:pt>
                <c:pt idx="2580">
                  <c:v>57370</c:v>
                </c:pt>
                <c:pt idx="2581">
                  <c:v>57377</c:v>
                </c:pt>
                <c:pt idx="2582">
                  <c:v>57384</c:v>
                </c:pt>
                <c:pt idx="2583">
                  <c:v>57391</c:v>
                </c:pt>
                <c:pt idx="2584">
                  <c:v>57398</c:v>
                </c:pt>
                <c:pt idx="2585">
                  <c:v>57405</c:v>
                </c:pt>
                <c:pt idx="2586">
                  <c:v>57412</c:v>
                </c:pt>
                <c:pt idx="2587">
                  <c:v>57419</c:v>
                </c:pt>
                <c:pt idx="2588">
                  <c:v>57426</c:v>
                </c:pt>
                <c:pt idx="2589">
                  <c:v>57433</c:v>
                </c:pt>
                <c:pt idx="2590">
                  <c:v>57440</c:v>
                </c:pt>
                <c:pt idx="2591">
                  <c:v>57447</c:v>
                </c:pt>
                <c:pt idx="2592">
                  <c:v>57454</c:v>
                </c:pt>
                <c:pt idx="2593">
                  <c:v>57461</c:v>
                </c:pt>
                <c:pt idx="2594">
                  <c:v>57468</c:v>
                </c:pt>
                <c:pt idx="2595">
                  <c:v>57475</c:v>
                </c:pt>
                <c:pt idx="2596">
                  <c:v>57482</c:v>
                </c:pt>
                <c:pt idx="2597">
                  <c:v>57489</c:v>
                </c:pt>
                <c:pt idx="2598">
                  <c:v>57497</c:v>
                </c:pt>
                <c:pt idx="2599">
                  <c:v>57503</c:v>
                </c:pt>
                <c:pt idx="2600">
                  <c:v>57510</c:v>
                </c:pt>
                <c:pt idx="2601">
                  <c:v>57517</c:v>
                </c:pt>
                <c:pt idx="2602">
                  <c:v>57524</c:v>
                </c:pt>
                <c:pt idx="2603">
                  <c:v>57531</c:v>
                </c:pt>
                <c:pt idx="2604">
                  <c:v>57538</c:v>
                </c:pt>
                <c:pt idx="2605">
                  <c:v>57545</c:v>
                </c:pt>
                <c:pt idx="2606">
                  <c:v>57552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57707</c:v>
                </c:pt>
                <c:pt idx="2629">
                  <c:v>57714</c:v>
                </c:pt>
                <c:pt idx="2630">
                  <c:v>57721</c:v>
                </c:pt>
                <c:pt idx="2631">
                  <c:v>57728</c:v>
                </c:pt>
                <c:pt idx="2632">
                  <c:v>57735</c:v>
                </c:pt>
                <c:pt idx="2633">
                  <c:v>57742</c:v>
                </c:pt>
                <c:pt idx="2634">
                  <c:v>57749</c:v>
                </c:pt>
                <c:pt idx="2635">
                  <c:v>57756</c:v>
                </c:pt>
                <c:pt idx="2636">
                  <c:v>57763</c:v>
                </c:pt>
                <c:pt idx="2637">
                  <c:v>57770</c:v>
                </c:pt>
                <c:pt idx="2638">
                  <c:v>57777</c:v>
                </c:pt>
                <c:pt idx="2639">
                  <c:v>57784</c:v>
                </c:pt>
                <c:pt idx="2640">
                  <c:v>57791</c:v>
                </c:pt>
                <c:pt idx="2641">
                  <c:v>57798</c:v>
                </c:pt>
                <c:pt idx="2642">
                  <c:v>57805</c:v>
                </c:pt>
                <c:pt idx="2643">
                  <c:v>57816</c:v>
                </c:pt>
                <c:pt idx="2644">
                  <c:v>57819</c:v>
                </c:pt>
                <c:pt idx="2645">
                  <c:v>57826</c:v>
                </c:pt>
                <c:pt idx="2646">
                  <c:v>57833</c:v>
                </c:pt>
                <c:pt idx="2647">
                  <c:v>57840</c:v>
                </c:pt>
                <c:pt idx="2648">
                  <c:v>57847</c:v>
                </c:pt>
                <c:pt idx="2649">
                  <c:v>57857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57948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58074</c:v>
                </c:pt>
                <c:pt idx="2681">
                  <c:v>58081</c:v>
                </c:pt>
                <c:pt idx="2682">
                  <c:v>58088</c:v>
                </c:pt>
                <c:pt idx="2683">
                  <c:v>58095</c:v>
                </c:pt>
                <c:pt idx="2684">
                  <c:v>58102</c:v>
                </c:pt>
                <c:pt idx="2685">
                  <c:v>58109</c:v>
                </c:pt>
                <c:pt idx="2686">
                  <c:v>58116</c:v>
                </c:pt>
                <c:pt idx="2687">
                  <c:v>58123</c:v>
                </c:pt>
                <c:pt idx="2688">
                  <c:v>58130</c:v>
                </c:pt>
                <c:pt idx="2689">
                  <c:v>58137</c:v>
                </c:pt>
                <c:pt idx="2690">
                  <c:v>58144</c:v>
                </c:pt>
                <c:pt idx="2691">
                  <c:v>58151</c:v>
                </c:pt>
                <c:pt idx="2692">
                  <c:v>58158</c:v>
                </c:pt>
                <c:pt idx="2693">
                  <c:v>58167</c:v>
                </c:pt>
                <c:pt idx="2694">
                  <c:v>58174</c:v>
                </c:pt>
                <c:pt idx="2695">
                  <c:v>58181</c:v>
                </c:pt>
                <c:pt idx="2696">
                  <c:v>58188</c:v>
                </c:pt>
                <c:pt idx="2697">
                  <c:v>58195</c:v>
                </c:pt>
                <c:pt idx="2698">
                  <c:v>58202</c:v>
                </c:pt>
                <c:pt idx="2699">
                  <c:v>58209</c:v>
                </c:pt>
                <c:pt idx="2700">
                  <c:v>58216</c:v>
                </c:pt>
                <c:pt idx="2701">
                  <c:v>58223</c:v>
                </c:pt>
                <c:pt idx="2702">
                  <c:v>58230</c:v>
                </c:pt>
                <c:pt idx="2703">
                  <c:v>58237</c:v>
                </c:pt>
                <c:pt idx="2704">
                  <c:v>58244</c:v>
                </c:pt>
                <c:pt idx="2705">
                  <c:v>58251</c:v>
                </c:pt>
                <c:pt idx="2706">
                  <c:v>58258</c:v>
                </c:pt>
                <c:pt idx="2707">
                  <c:v>58265</c:v>
                </c:pt>
                <c:pt idx="2708">
                  <c:v>58272</c:v>
                </c:pt>
                <c:pt idx="2709">
                  <c:v>58279</c:v>
                </c:pt>
                <c:pt idx="2710">
                  <c:v>58286</c:v>
                </c:pt>
                <c:pt idx="2711">
                  <c:v>58293</c:v>
                </c:pt>
                <c:pt idx="2712">
                  <c:v>58300</c:v>
                </c:pt>
                <c:pt idx="2713">
                  <c:v>58307</c:v>
                </c:pt>
                <c:pt idx="2714">
                  <c:v>58314</c:v>
                </c:pt>
                <c:pt idx="2715">
                  <c:v>58321</c:v>
                </c:pt>
                <c:pt idx="2716">
                  <c:v>58328</c:v>
                </c:pt>
                <c:pt idx="2717">
                  <c:v>58335</c:v>
                </c:pt>
                <c:pt idx="2718">
                  <c:v>58342</c:v>
                </c:pt>
                <c:pt idx="2719">
                  <c:v>58349</c:v>
                </c:pt>
                <c:pt idx="2720">
                  <c:v>58356</c:v>
                </c:pt>
                <c:pt idx="2721">
                  <c:v>58363</c:v>
                </c:pt>
                <c:pt idx="2722">
                  <c:v>58370</c:v>
                </c:pt>
                <c:pt idx="2723">
                  <c:v>58377</c:v>
                </c:pt>
                <c:pt idx="2724">
                  <c:v>58384</c:v>
                </c:pt>
                <c:pt idx="2725">
                  <c:v>58391</c:v>
                </c:pt>
                <c:pt idx="2726">
                  <c:v>58398</c:v>
                </c:pt>
                <c:pt idx="2727">
                  <c:v>58405</c:v>
                </c:pt>
                <c:pt idx="2728">
                  <c:v>58412</c:v>
                </c:pt>
                <c:pt idx="2729">
                  <c:v>58419</c:v>
                </c:pt>
                <c:pt idx="2730">
                  <c:v>58426</c:v>
                </c:pt>
                <c:pt idx="2731">
                  <c:v>58433</c:v>
                </c:pt>
                <c:pt idx="2732">
                  <c:v>58440</c:v>
                </c:pt>
                <c:pt idx="2733">
                  <c:v>58447</c:v>
                </c:pt>
                <c:pt idx="2734">
                  <c:v>58454</c:v>
                </c:pt>
                <c:pt idx="2735">
                  <c:v>58461</c:v>
                </c:pt>
                <c:pt idx="2736">
                  <c:v>58468</c:v>
                </c:pt>
                <c:pt idx="2737">
                  <c:v>58475</c:v>
                </c:pt>
                <c:pt idx="2738">
                  <c:v>58482</c:v>
                </c:pt>
                <c:pt idx="2739">
                  <c:v>58489</c:v>
                </c:pt>
                <c:pt idx="2740">
                  <c:v>58496</c:v>
                </c:pt>
                <c:pt idx="2741">
                  <c:v>58503</c:v>
                </c:pt>
                <c:pt idx="2742">
                  <c:v>58510</c:v>
                </c:pt>
                <c:pt idx="2743">
                  <c:v>58517</c:v>
                </c:pt>
                <c:pt idx="2744">
                  <c:v>58524</c:v>
                </c:pt>
                <c:pt idx="2745">
                  <c:v>58531</c:v>
                </c:pt>
                <c:pt idx="2746">
                  <c:v>58538</c:v>
                </c:pt>
                <c:pt idx="2747">
                  <c:v>58545</c:v>
                </c:pt>
                <c:pt idx="2748">
                  <c:v>58552</c:v>
                </c:pt>
                <c:pt idx="2749">
                  <c:v>58559</c:v>
                </c:pt>
                <c:pt idx="2750">
                  <c:v>58566</c:v>
                </c:pt>
                <c:pt idx="2751">
                  <c:v>58573</c:v>
                </c:pt>
                <c:pt idx="2752">
                  <c:v>58580</c:v>
                </c:pt>
                <c:pt idx="2753">
                  <c:v>58587</c:v>
                </c:pt>
                <c:pt idx="2754">
                  <c:v>58594</c:v>
                </c:pt>
                <c:pt idx="2755">
                  <c:v>58601</c:v>
                </c:pt>
                <c:pt idx="2756">
                  <c:v>58608</c:v>
                </c:pt>
                <c:pt idx="2757">
                  <c:v>58615</c:v>
                </c:pt>
                <c:pt idx="2758">
                  <c:v>58622</c:v>
                </c:pt>
                <c:pt idx="2759">
                  <c:v>58629</c:v>
                </c:pt>
                <c:pt idx="2760">
                  <c:v>58636</c:v>
                </c:pt>
                <c:pt idx="2761">
                  <c:v>58643</c:v>
                </c:pt>
                <c:pt idx="2762">
                  <c:v>58650</c:v>
                </c:pt>
                <c:pt idx="2763">
                  <c:v>58657</c:v>
                </c:pt>
                <c:pt idx="2764">
                  <c:v>58664</c:v>
                </c:pt>
                <c:pt idx="2765">
                  <c:v>58671</c:v>
                </c:pt>
                <c:pt idx="2766">
                  <c:v>58678</c:v>
                </c:pt>
                <c:pt idx="2767">
                  <c:v>58685</c:v>
                </c:pt>
                <c:pt idx="2768">
                  <c:v>58692</c:v>
                </c:pt>
                <c:pt idx="2769">
                  <c:v>58699</c:v>
                </c:pt>
                <c:pt idx="2770">
                  <c:v>58706</c:v>
                </c:pt>
                <c:pt idx="2771">
                  <c:v>58713</c:v>
                </c:pt>
                <c:pt idx="2772">
                  <c:v>58720</c:v>
                </c:pt>
                <c:pt idx="2773">
                  <c:v>58727</c:v>
                </c:pt>
                <c:pt idx="2774">
                  <c:v>58734</c:v>
                </c:pt>
                <c:pt idx="2775">
                  <c:v>58741</c:v>
                </c:pt>
                <c:pt idx="2776">
                  <c:v>58748</c:v>
                </c:pt>
                <c:pt idx="2777">
                  <c:v>58755</c:v>
                </c:pt>
                <c:pt idx="2778">
                  <c:v>58762</c:v>
                </c:pt>
                <c:pt idx="2779">
                  <c:v>58769</c:v>
                </c:pt>
                <c:pt idx="2780">
                  <c:v>58776</c:v>
                </c:pt>
                <c:pt idx="2781">
                  <c:v>58783</c:v>
                </c:pt>
                <c:pt idx="2782">
                  <c:v>58790</c:v>
                </c:pt>
                <c:pt idx="2783">
                  <c:v>58797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59386</c:v>
                </c:pt>
                <c:pt idx="2868">
                  <c:v>59393</c:v>
                </c:pt>
                <c:pt idx="2869">
                  <c:v>59400</c:v>
                </c:pt>
                <c:pt idx="2870">
                  <c:v>59407</c:v>
                </c:pt>
                <c:pt idx="2871">
                  <c:v>59414</c:v>
                </c:pt>
                <c:pt idx="2872">
                  <c:v>59421</c:v>
                </c:pt>
                <c:pt idx="2873">
                  <c:v>59428</c:v>
                </c:pt>
                <c:pt idx="2874">
                  <c:v>59435</c:v>
                </c:pt>
                <c:pt idx="2875">
                  <c:v>59442</c:v>
                </c:pt>
                <c:pt idx="2876">
                  <c:v>59449</c:v>
                </c:pt>
                <c:pt idx="2877">
                  <c:v>59456</c:v>
                </c:pt>
                <c:pt idx="2878">
                  <c:v>59463</c:v>
                </c:pt>
                <c:pt idx="2879">
                  <c:v>59470</c:v>
                </c:pt>
                <c:pt idx="2880">
                  <c:v>59477</c:v>
                </c:pt>
                <c:pt idx="2881">
                  <c:v>59484</c:v>
                </c:pt>
                <c:pt idx="2882">
                  <c:v>59491</c:v>
                </c:pt>
                <c:pt idx="2883">
                  <c:v>59498</c:v>
                </c:pt>
                <c:pt idx="2884">
                  <c:v>59505</c:v>
                </c:pt>
                <c:pt idx="2885">
                  <c:v>59512</c:v>
                </c:pt>
                <c:pt idx="2886">
                  <c:v>59519</c:v>
                </c:pt>
                <c:pt idx="2887">
                  <c:v>59526</c:v>
                </c:pt>
                <c:pt idx="2888">
                  <c:v>59533</c:v>
                </c:pt>
                <c:pt idx="2889">
                  <c:v>59540</c:v>
                </c:pt>
                <c:pt idx="2890">
                  <c:v>59547</c:v>
                </c:pt>
                <c:pt idx="2891">
                  <c:v>59554</c:v>
                </c:pt>
                <c:pt idx="2892">
                  <c:v>59561</c:v>
                </c:pt>
                <c:pt idx="2893">
                  <c:v>59568</c:v>
                </c:pt>
                <c:pt idx="2894">
                  <c:v>59575</c:v>
                </c:pt>
                <c:pt idx="2895">
                  <c:v>59582</c:v>
                </c:pt>
                <c:pt idx="2896">
                  <c:v>59589</c:v>
                </c:pt>
                <c:pt idx="2897">
                  <c:v>59596</c:v>
                </c:pt>
                <c:pt idx="2898">
                  <c:v>59603</c:v>
                </c:pt>
                <c:pt idx="2899">
                  <c:v>59610</c:v>
                </c:pt>
                <c:pt idx="2900">
                  <c:v>59617</c:v>
                </c:pt>
                <c:pt idx="2901">
                  <c:v>59624</c:v>
                </c:pt>
                <c:pt idx="2902">
                  <c:v>59631</c:v>
                </c:pt>
                <c:pt idx="2903">
                  <c:v>59638</c:v>
                </c:pt>
                <c:pt idx="2904">
                  <c:v>59645</c:v>
                </c:pt>
                <c:pt idx="2905">
                  <c:v>59652</c:v>
                </c:pt>
                <c:pt idx="2906">
                  <c:v>59659</c:v>
                </c:pt>
                <c:pt idx="2907">
                  <c:v>59666</c:v>
                </c:pt>
                <c:pt idx="2908">
                  <c:v>59673</c:v>
                </c:pt>
                <c:pt idx="2909">
                  <c:v>59681</c:v>
                </c:pt>
                <c:pt idx="2910">
                  <c:v>59687</c:v>
                </c:pt>
                <c:pt idx="2911">
                  <c:v>59694</c:v>
                </c:pt>
                <c:pt idx="2912">
                  <c:v>59701</c:v>
                </c:pt>
                <c:pt idx="2913">
                  <c:v>59708</c:v>
                </c:pt>
                <c:pt idx="2914">
                  <c:v>59715</c:v>
                </c:pt>
                <c:pt idx="2915">
                  <c:v>59722</c:v>
                </c:pt>
                <c:pt idx="2916">
                  <c:v>59729</c:v>
                </c:pt>
                <c:pt idx="2917">
                  <c:v>59736</c:v>
                </c:pt>
                <c:pt idx="2918">
                  <c:v>59743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59898</c:v>
                </c:pt>
                <c:pt idx="2941">
                  <c:v>59905</c:v>
                </c:pt>
                <c:pt idx="2942">
                  <c:v>59912</c:v>
                </c:pt>
                <c:pt idx="2943">
                  <c:v>59919</c:v>
                </c:pt>
                <c:pt idx="2944">
                  <c:v>59926</c:v>
                </c:pt>
                <c:pt idx="2945">
                  <c:v>59933</c:v>
                </c:pt>
                <c:pt idx="2946">
                  <c:v>59940</c:v>
                </c:pt>
                <c:pt idx="2947">
                  <c:v>59947</c:v>
                </c:pt>
                <c:pt idx="2948">
                  <c:v>59954</c:v>
                </c:pt>
                <c:pt idx="2949">
                  <c:v>59961</c:v>
                </c:pt>
                <c:pt idx="2950">
                  <c:v>59968</c:v>
                </c:pt>
                <c:pt idx="2951">
                  <c:v>59975</c:v>
                </c:pt>
                <c:pt idx="2952">
                  <c:v>59982</c:v>
                </c:pt>
                <c:pt idx="2953">
                  <c:v>59989</c:v>
                </c:pt>
                <c:pt idx="2954">
                  <c:v>60000</c:v>
                </c:pt>
                <c:pt idx="2955">
                  <c:v>60003</c:v>
                </c:pt>
                <c:pt idx="2956">
                  <c:v>60010</c:v>
                </c:pt>
                <c:pt idx="2957">
                  <c:v>60017</c:v>
                </c:pt>
                <c:pt idx="2958">
                  <c:v>60027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60119</c:v>
                </c:pt>
                <c:pt idx="2972">
                  <c:v>60126</c:v>
                </c:pt>
                <c:pt idx="2973">
                  <c:v>60133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60358</c:v>
                </c:pt>
                <c:pt idx="3006">
                  <c:v>60365</c:v>
                </c:pt>
                <c:pt idx="3007">
                  <c:v>60372</c:v>
                </c:pt>
                <c:pt idx="3008">
                  <c:v>60379</c:v>
                </c:pt>
                <c:pt idx="3009">
                  <c:v>60386</c:v>
                </c:pt>
                <c:pt idx="3010">
                  <c:v>60393</c:v>
                </c:pt>
                <c:pt idx="3011">
                  <c:v>60400</c:v>
                </c:pt>
                <c:pt idx="3012">
                  <c:v>60407</c:v>
                </c:pt>
                <c:pt idx="3013">
                  <c:v>60414</c:v>
                </c:pt>
                <c:pt idx="3014">
                  <c:v>60421</c:v>
                </c:pt>
                <c:pt idx="3015">
                  <c:v>60428</c:v>
                </c:pt>
                <c:pt idx="3016">
                  <c:v>60435</c:v>
                </c:pt>
                <c:pt idx="3017">
                  <c:v>60442</c:v>
                </c:pt>
                <c:pt idx="3018">
                  <c:v>60449</c:v>
                </c:pt>
                <c:pt idx="3019">
                  <c:v>60456</c:v>
                </c:pt>
                <c:pt idx="3020">
                  <c:v>60463</c:v>
                </c:pt>
                <c:pt idx="3021">
                  <c:v>60470</c:v>
                </c:pt>
                <c:pt idx="3022">
                  <c:v>60477</c:v>
                </c:pt>
                <c:pt idx="3023">
                  <c:v>60484</c:v>
                </c:pt>
                <c:pt idx="3024">
                  <c:v>60491</c:v>
                </c:pt>
                <c:pt idx="3025">
                  <c:v>60498</c:v>
                </c:pt>
                <c:pt idx="3026">
                  <c:v>60505</c:v>
                </c:pt>
                <c:pt idx="3027">
                  <c:v>60512</c:v>
                </c:pt>
                <c:pt idx="3028">
                  <c:v>60519</c:v>
                </c:pt>
                <c:pt idx="3029">
                  <c:v>60526</c:v>
                </c:pt>
                <c:pt idx="3030">
                  <c:v>60533</c:v>
                </c:pt>
                <c:pt idx="3031">
                  <c:v>60540</c:v>
                </c:pt>
                <c:pt idx="3032">
                  <c:v>60547</c:v>
                </c:pt>
                <c:pt idx="3033">
                  <c:v>60554</c:v>
                </c:pt>
                <c:pt idx="3034">
                  <c:v>60561</c:v>
                </c:pt>
                <c:pt idx="3035">
                  <c:v>60568</c:v>
                </c:pt>
                <c:pt idx="3036">
                  <c:v>60575</c:v>
                </c:pt>
                <c:pt idx="3037">
                  <c:v>60582</c:v>
                </c:pt>
                <c:pt idx="3038">
                  <c:v>60589</c:v>
                </c:pt>
                <c:pt idx="3039">
                  <c:v>60596</c:v>
                </c:pt>
                <c:pt idx="3040">
                  <c:v>60603</c:v>
                </c:pt>
                <c:pt idx="3041">
                  <c:v>60610</c:v>
                </c:pt>
                <c:pt idx="3042">
                  <c:v>60617</c:v>
                </c:pt>
                <c:pt idx="3043">
                  <c:v>60624</c:v>
                </c:pt>
                <c:pt idx="3044">
                  <c:v>60631</c:v>
                </c:pt>
                <c:pt idx="3045">
                  <c:v>60638</c:v>
                </c:pt>
                <c:pt idx="3046">
                  <c:v>60645</c:v>
                </c:pt>
                <c:pt idx="3047">
                  <c:v>60652</c:v>
                </c:pt>
                <c:pt idx="3048">
                  <c:v>60659</c:v>
                </c:pt>
                <c:pt idx="3049">
                  <c:v>60666</c:v>
                </c:pt>
                <c:pt idx="3050">
                  <c:v>60673</c:v>
                </c:pt>
                <c:pt idx="3051">
                  <c:v>60680</c:v>
                </c:pt>
                <c:pt idx="3052">
                  <c:v>60687</c:v>
                </c:pt>
                <c:pt idx="3053">
                  <c:v>60694</c:v>
                </c:pt>
                <c:pt idx="3054">
                  <c:v>60701</c:v>
                </c:pt>
                <c:pt idx="3055">
                  <c:v>60708</c:v>
                </c:pt>
                <c:pt idx="3056">
                  <c:v>60715</c:v>
                </c:pt>
                <c:pt idx="3057">
                  <c:v>60722</c:v>
                </c:pt>
                <c:pt idx="3058">
                  <c:v>60729</c:v>
                </c:pt>
                <c:pt idx="3059">
                  <c:v>60736</c:v>
                </c:pt>
                <c:pt idx="3060">
                  <c:v>60743</c:v>
                </c:pt>
                <c:pt idx="3061">
                  <c:v>60750</c:v>
                </c:pt>
                <c:pt idx="3062">
                  <c:v>60757</c:v>
                </c:pt>
                <c:pt idx="3063">
                  <c:v>60764</c:v>
                </c:pt>
                <c:pt idx="3064">
                  <c:v>60771</c:v>
                </c:pt>
                <c:pt idx="3065">
                  <c:v>60778</c:v>
                </c:pt>
                <c:pt idx="3066">
                  <c:v>60785</c:v>
                </c:pt>
                <c:pt idx="3067">
                  <c:v>60792</c:v>
                </c:pt>
                <c:pt idx="3068">
                  <c:v>60799</c:v>
                </c:pt>
                <c:pt idx="3069">
                  <c:v>60806</c:v>
                </c:pt>
                <c:pt idx="3070">
                  <c:v>60813</c:v>
                </c:pt>
                <c:pt idx="3071">
                  <c:v>60820</c:v>
                </c:pt>
                <c:pt idx="3072">
                  <c:v>60827</c:v>
                </c:pt>
                <c:pt idx="3073">
                  <c:v>60834</c:v>
                </c:pt>
                <c:pt idx="3074">
                  <c:v>60841</c:v>
                </c:pt>
                <c:pt idx="3075">
                  <c:v>60848</c:v>
                </c:pt>
                <c:pt idx="3076">
                  <c:v>60855</c:v>
                </c:pt>
                <c:pt idx="3077">
                  <c:v>60862</c:v>
                </c:pt>
                <c:pt idx="3078">
                  <c:v>60869</c:v>
                </c:pt>
                <c:pt idx="3079">
                  <c:v>60876</c:v>
                </c:pt>
                <c:pt idx="3080">
                  <c:v>60883</c:v>
                </c:pt>
                <c:pt idx="3081">
                  <c:v>60890</c:v>
                </c:pt>
                <c:pt idx="3082">
                  <c:v>60897</c:v>
                </c:pt>
                <c:pt idx="3083">
                  <c:v>60904</c:v>
                </c:pt>
                <c:pt idx="3084">
                  <c:v>60911</c:v>
                </c:pt>
                <c:pt idx="3085">
                  <c:v>60918</c:v>
                </c:pt>
                <c:pt idx="3086">
                  <c:v>60925</c:v>
                </c:pt>
                <c:pt idx="3087">
                  <c:v>60932</c:v>
                </c:pt>
                <c:pt idx="3088">
                  <c:v>60939</c:v>
                </c:pt>
                <c:pt idx="3089">
                  <c:v>60946</c:v>
                </c:pt>
                <c:pt idx="3090">
                  <c:v>60953</c:v>
                </c:pt>
                <c:pt idx="3091">
                  <c:v>60960</c:v>
                </c:pt>
                <c:pt idx="3092">
                  <c:v>60967</c:v>
                </c:pt>
                <c:pt idx="3093">
                  <c:v>60974</c:v>
                </c:pt>
                <c:pt idx="3094">
                  <c:v>60981</c:v>
                </c:pt>
                <c:pt idx="3095">
                  <c:v>60988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61486</c:v>
                </c:pt>
                <c:pt idx="3167">
                  <c:v>61493</c:v>
                </c:pt>
                <c:pt idx="3168">
                  <c:v>61500</c:v>
                </c:pt>
                <c:pt idx="3169">
                  <c:v>61507</c:v>
                </c:pt>
                <c:pt idx="3170">
                  <c:v>61515</c:v>
                </c:pt>
                <c:pt idx="3171">
                  <c:v>61521</c:v>
                </c:pt>
                <c:pt idx="3172">
                  <c:v>61528</c:v>
                </c:pt>
                <c:pt idx="3173">
                  <c:v>61535</c:v>
                </c:pt>
                <c:pt idx="3174">
                  <c:v>61542</c:v>
                </c:pt>
                <c:pt idx="3175">
                  <c:v>61549</c:v>
                </c:pt>
                <c:pt idx="3176">
                  <c:v>61556</c:v>
                </c:pt>
                <c:pt idx="3177">
                  <c:v>61563</c:v>
                </c:pt>
                <c:pt idx="3178">
                  <c:v>61570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61725</c:v>
                </c:pt>
                <c:pt idx="3201">
                  <c:v>61732</c:v>
                </c:pt>
                <c:pt idx="3202">
                  <c:v>61739</c:v>
                </c:pt>
                <c:pt idx="3203">
                  <c:v>61746</c:v>
                </c:pt>
                <c:pt idx="3204">
                  <c:v>61753</c:v>
                </c:pt>
                <c:pt idx="3205">
                  <c:v>61760</c:v>
                </c:pt>
                <c:pt idx="3206">
                  <c:v>61767</c:v>
                </c:pt>
                <c:pt idx="3207">
                  <c:v>61774</c:v>
                </c:pt>
                <c:pt idx="3208">
                  <c:v>61781</c:v>
                </c:pt>
                <c:pt idx="3209">
                  <c:v>61788</c:v>
                </c:pt>
                <c:pt idx="3210">
                  <c:v>61795</c:v>
                </c:pt>
                <c:pt idx="3211">
                  <c:v>61802</c:v>
                </c:pt>
                <c:pt idx="3212">
                  <c:v>61809</c:v>
                </c:pt>
                <c:pt idx="3213">
                  <c:v>61816</c:v>
                </c:pt>
                <c:pt idx="3214">
                  <c:v>61823</c:v>
                </c:pt>
                <c:pt idx="3215">
                  <c:v>61834</c:v>
                </c:pt>
                <c:pt idx="3216">
                  <c:v>61837</c:v>
                </c:pt>
                <c:pt idx="3217">
                  <c:v>61844</c:v>
                </c:pt>
                <c:pt idx="3218">
                  <c:v>61851</c:v>
                </c:pt>
                <c:pt idx="3219">
                  <c:v>61858</c:v>
                </c:pt>
                <c:pt idx="3220">
                  <c:v>61865</c:v>
                </c:pt>
                <c:pt idx="3221">
                  <c:v>61875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61966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62092</c:v>
                </c:pt>
                <c:pt idx="3253">
                  <c:v>62099</c:v>
                </c:pt>
                <c:pt idx="3254">
                  <c:v>62106</c:v>
                </c:pt>
                <c:pt idx="3255">
                  <c:v>62113</c:v>
                </c:pt>
                <c:pt idx="3256">
                  <c:v>62120</c:v>
                </c:pt>
                <c:pt idx="3257">
                  <c:v>62127</c:v>
                </c:pt>
                <c:pt idx="3258">
                  <c:v>62134</c:v>
                </c:pt>
                <c:pt idx="3259">
                  <c:v>62141</c:v>
                </c:pt>
                <c:pt idx="3260">
                  <c:v>62148</c:v>
                </c:pt>
                <c:pt idx="3261">
                  <c:v>62155</c:v>
                </c:pt>
                <c:pt idx="3262">
                  <c:v>62162</c:v>
                </c:pt>
                <c:pt idx="3263">
                  <c:v>62169</c:v>
                </c:pt>
                <c:pt idx="3264">
                  <c:v>62176</c:v>
                </c:pt>
                <c:pt idx="3265">
                  <c:v>62185</c:v>
                </c:pt>
                <c:pt idx="3266">
                  <c:v>62192</c:v>
                </c:pt>
                <c:pt idx="3267">
                  <c:v>62199</c:v>
                </c:pt>
                <c:pt idx="3268">
                  <c:v>62206</c:v>
                </c:pt>
                <c:pt idx="3269">
                  <c:v>62213</c:v>
                </c:pt>
                <c:pt idx="3270">
                  <c:v>62220</c:v>
                </c:pt>
                <c:pt idx="3271">
                  <c:v>62227</c:v>
                </c:pt>
                <c:pt idx="3272">
                  <c:v>62234</c:v>
                </c:pt>
                <c:pt idx="3273">
                  <c:v>62241</c:v>
                </c:pt>
                <c:pt idx="3274">
                  <c:v>62248</c:v>
                </c:pt>
                <c:pt idx="3275">
                  <c:v>62255</c:v>
                </c:pt>
                <c:pt idx="3276">
                  <c:v>62262</c:v>
                </c:pt>
                <c:pt idx="3277">
                  <c:v>62269</c:v>
                </c:pt>
                <c:pt idx="3278">
                  <c:v>62276</c:v>
                </c:pt>
                <c:pt idx="3279">
                  <c:v>62283</c:v>
                </c:pt>
                <c:pt idx="3280">
                  <c:v>62290</c:v>
                </c:pt>
                <c:pt idx="3281">
                  <c:v>62297</c:v>
                </c:pt>
                <c:pt idx="3282">
                  <c:v>62304</c:v>
                </c:pt>
                <c:pt idx="3283">
                  <c:v>62311</c:v>
                </c:pt>
                <c:pt idx="3284">
                  <c:v>62318</c:v>
                </c:pt>
                <c:pt idx="3285">
                  <c:v>62325</c:v>
                </c:pt>
                <c:pt idx="3286">
                  <c:v>62332</c:v>
                </c:pt>
                <c:pt idx="3287">
                  <c:v>62339</c:v>
                </c:pt>
                <c:pt idx="3288">
                  <c:v>62346</c:v>
                </c:pt>
                <c:pt idx="3289">
                  <c:v>62353</c:v>
                </c:pt>
                <c:pt idx="3290">
                  <c:v>62360</c:v>
                </c:pt>
                <c:pt idx="3291">
                  <c:v>62367</c:v>
                </c:pt>
                <c:pt idx="3292">
                  <c:v>62374</c:v>
                </c:pt>
                <c:pt idx="3293">
                  <c:v>62381</c:v>
                </c:pt>
                <c:pt idx="3294">
                  <c:v>62388</c:v>
                </c:pt>
                <c:pt idx="3295">
                  <c:v>62395</c:v>
                </c:pt>
                <c:pt idx="3296">
                  <c:v>62402</c:v>
                </c:pt>
                <c:pt idx="3297">
                  <c:v>62409</c:v>
                </c:pt>
                <c:pt idx="3298">
                  <c:v>62416</c:v>
                </c:pt>
                <c:pt idx="3299">
                  <c:v>62423</c:v>
                </c:pt>
                <c:pt idx="3300">
                  <c:v>62430</c:v>
                </c:pt>
                <c:pt idx="3301">
                  <c:v>62437</c:v>
                </c:pt>
                <c:pt idx="3302">
                  <c:v>62444</c:v>
                </c:pt>
                <c:pt idx="3303">
                  <c:v>62451</c:v>
                </c:pt>
                <c:pt idx="3304">
                  <c:v>62458</c:v>
                </c:pt>
                <c:pt idx="3305">
                  <c:v>62465</c:v>
                </c:pt>
                <c:pt idx="3306">
                  <c:v>62472</c:v>
                </c:pt>
                <c:pt idx="3307">
                  <c:v>62479</c:v>
                </c:pt>
                <c:pt idx="3308">
                  <c:v>62486</c:v>
                </c:pt>
                <c:pt idx="3309">
                  <c:v>62493</c:v>
                </c:pt>
                <c:pt idx="3310">
                  <c:v>62500</c:v>
                </c:pt>
                <c:pt idx="3311">
                  <c:v>62507</c:v>
                </c:pt>
                <c:pt idx="3312">
                  <c:v>62514</c:v>
                </c:pt>
                <c:pt idx="3313">
                  <c:v>62521</c:v>
                </c:pt>
                <c:pt idx="3314">
                  <c:v>62528</c:v>
                </c:pt>
                <c:pt idx="3315">
                  <c:v>62535</c:v>
                </c:pt>
                <c:pt idx="3316">
                  <c:v>62542</c:v>
                </c:pt>
                <c:pt idx="3317">
                  <c:v>62549</c:v>
                </c:pt>
                <c:pt idx="3318">
                  <c:v>62556</c:v>
                </c:pt>
                <c:pt idx="3319">
                  <c:v>62563</c:v>
                </c:pt>
                <c:pt idx="3320">
                  <c:v>62570</c:v>
                </c:pt>
                <c:pt idx="3321">
                  <c:v>62577</c:v>
                </c:pt>
                <c:pt idx="3322">
                  <c:v>62584</c:v>
                </c:pt>
                <c:pt idx="3323">
                  <c:v>62591</c:v>
                </c:pt>
                <c:pt idx="3324">
                  <c:v>62598</c:v>
                </c:pt>
                <c:pt idx="3325">
                  <c:v>62605</c:v>
                </c:pt>
                <c:pt idx="3326">
                  <c:v>62612</c:v>
                </c:pt>
                <c:pt idx="3327">
                  <c:v>62619</c:v>
                </c:pt>
                <c:pt idx="3328">
                  <c:v>62626</c:v>
                </c:pt>
                <c:pt idx="3329">
                  <c:v>62633</c:v>
                </c:pt>
                <c:pt idx="3330">
                  <c:v>62640</c:v>
                </c:pt>
                <c:pt idx="3331">
                  <c:v>62647</c:v>
                </c:pt>
                <c:pt idx="3332">
                  <c:v>62654</c:v>
                </c:pt>
                <c:pt idx="3333">
                  <c:v>62661</c:v>
                </c:pt>
                <c:pt idx="3334">
                  <c:v>62668</c:v>
                </c:pt>
                <c:pt idx="3335">
                  <c:v>62675</c:v>
                </c:pt>
                <c:pt idx="3336">
                  <c:v>62682</c:v>
                </c:pt>
                <c:pt idx="3337">
                  <c:v>62689</c:v>
                </c:pt>
                <c:pt idx="3338">
                  <c:v>62696</c:v>
                </c:pt>
                <c:pt idx="3339">
                  <c:v>62703</c:v>
                </c:pt>
                <c:pt idx="3340">
                  <c:v>62710</c:v>
                </c:pt>
                <c:pt idx="3341">
                  <c:v>62717</c:v>
                </c:pt>
                <c:pt idx="3342">
                  <c:v>62724</c:v>
                </c:pt>
                <c:pt idx="3343">
                  <c:v>62731</c:v>
                </c:pt>
                <c:pt idx="3344">
                  <c:v>62738</c:v>
                </c:pt>
                <c:pt idx="3345">
                  <c:v>62745</c:v>
                </c:pt>
                <c:pt idx="3346">
                  <c:v>62752</c:v>
                </c:pt>
                <c:pt idx="3347">
                  <c:v>62759</c:v>
                </c:pt>
                <c:pt idx="3348">
                  <c:v>62766</c:v>
                </c:pt>
                <c:pt idx="3349">
                  <c:v>62773</c:v>
                </c:pt>
                <c:pt idx="3350">
                  <c:v>62780</c:v>
                </c:pt>
                <c:pt idx="3351">
                  <c:v>62787</c:v>
                </c:pt>
                <c:pt idx="3352">
                  <c:v>62794</c:v>
                </c:pt>
                <c:pt idx="3353">
                  <c:v>62801</c:v>
                </c:pt>
                <c:pt idx="3354">
                  <c:v>62808</c:v>
                </c:pt>
                <c:pt idx="3355">
                  <c:v>62815</c:v>
                </c:pt>
                <c:pt idx="3356">
                  <c:v>62822</c:v>
                </c:pt>
                <c:pt idx="3357">
                  <c:v>62829</c:v>
                </c:pt>
                <c:pt idx="3358">
                  <c:v>62836</c:v>
                </c:pt>
                <c:pt idx="3359">
                  <c:v>62843</c:v>
                </c:pt>
                <c:pt idx="3360">
                  <c:v>62850</c:v>
                </c:pt>
                <c:pt idx="3361">
                  <c:v>62857</c:v>
                </c:pt>
                <c:pt idx="3362">
                  <c:v>62864</c:v>
                </c:pt>
                <c:pt idx="3363">
                  <c:v>62871</c:v>
                </c:pt>
                <c:pt idx="3364">
                  <c:v>62878</c:v>
                </c:pt>
                <c:pt idx="3365">
                  <c:v>62885</c:v>
                </c:pt>
                <c:pt idx="3366">
                  <c:v>62892</c:v>
                </c:pt>
                <c:pt idx="3367">
                  <c:v>62899</c:v>
                </c:pt>
                <c:pt idx="3368">
                  <c:v>62906</c:v>
                </c:pt>
                <c:pt idx="3369">
                  <c:v>62913</c:v>
                </c:pt>
                <c:pt idx="3370">
                  <c:v>62920</c:v>
                </c:pt>
                <c:pt idx="3371">
                  <c:v>62927</c:v>
                </c:pt>
                <c:pt idx="3372">
                  <c:v>62934</c:v>
                </c:pt>
                <c:pt idx="3373">
                  <c:v>62941</c:v>
                </c:pt>
                <c:pt idx="3374">
                  <c:v>62948</c:v>
                </c:pt>
                <c:pt idx="3375">
                  <c:v>62955</c:v>
                </c:pt>
                <c:pt idx="3376">
                  <c:v>62962</c:v>
                </c:pt>
                <c:pt idx="3377">
                  <c:v>62969</c:v>
                </c:pt>
                <c:pt idx="3378">
                  <c:v>62976</c:v>
                </c:pt>
                <c:pt idx="3379">
                  <c:v>62983</c:v>
                </c:pt>
                <c:pt idx="3380">
                  <c:v>62990</c:v>
                </c:pt>
                <c:pt idx="3381">
                  <c:v>62997</c:v>
                </c:pt>
                <c:pt idx="3382">
                  <c:v>63004</c:v>
                </c:pt>
                <c:pt idx="3383">
                  <c:v>63011</c:v>
                </c:pt>
                <c:pt idx="3384">
                  <c:v>63018</c:v>
                </c:pt>
                <c:pt idx="3385">
                  <c:v>63025</c:v>
                </c:pt>
                <c:pt idx="3386">
                  <c:v>63032</c:v>
                </c:pt>
                <c:pt idx="3387">
                  <c:v>63039</c:v>
                </c:pt>
                <c:pt idx="3388">
                  <c:v>63046</c:v>
                </c:pt>
                <c:pt idx="3389">
                  <c:v>63053</c:v>
                </c:pt>
                <c:pt idx="3390">
                  <c:v>63060</c:v>
                </c:pt>
                <c:pt idx="3391">
                  <c:v>63067</c:v>
                </c:pt>
                <c:pt idx="3392">
                  <c:v>63074</c:v>
                </c:pt>
                <c:pt idx="3393">
                  <c:v>63081</c:v>
                </c:pt>
                <c:pt idx="3394">
                  <c:v>63088</c:v>
                </c:pt>
                <c:pt idx="3395">
                  <c:v>63095</c:v>
                </c:pt>
                <c:pt idx="3396">
                  <c:v>63102</c:v>
                </c:pt>
                <c:pt idx="3397">
                  <c:v>63109</c:v>
                </c:pt>
                <c:pt idx="3398">
                  <c:v>63116</c:v>
                </c:pt>
                <c:pt idx="3399">
                  <c:v>63123</c:v>
                </c:pt>
                <c:pt idx="3400">
                  <c:v>63130</c:v>
                </c:pt>
                <c:pt idx="3401">
                  <c:v>63137</c:v>
                </c:pt>
                <c:pt idx="3402">
                  <c:v>63144</c:v>
                </c:pt>
                <c:pt idx="3403">
                  <c:v>63151</c:v>
                </c:pt>
                <c:pt idx="3404">
                  <c:v>63158</c:v>
                </c:pt>
                <c:pt idx="3405">
                  <c:v>63165</c:v>
                </c:pt>
                <c:pt idx="3406">
                  <c:v>63172</c:v>
                </c:pt>
                <c:pt idx="3407">
                  <c:v>63179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63404</c:v>
                </c:pt>
                <c:pt idx="3440">
                  <c:v>63411</c:v>
                </c:pt>
                <c:pt idx="3441">
                  <c:v>63418</c:v>
                </c:pt>
                <c:pt idx="3442">
                  <c:v>63425</c:v>
                </c:pt>
                <c:pt idx="3443">
                  <c:v>63432</c:v>
                </c:pt>
                <c:pt idx="3444">
                  <c:v>63439</c:v>
                </c:pt>
                <c:pt idx="3445">
                  <c:v>63446</c:v>
                </c:pt>
                <c:pt idx="3446">
                  <c:v>63453</c:v>
                </c:pt>
                <c:pt idx="3447">
                  <c:v>63460</c:v>
                </c:pt>
                <c:pt idx="3448">
                  <c:v>63467</c:v>
                </c:pt>
                <c:pt idx="3449">
                  <c:v>63474</c:v>
                </c:pt>
                <c:pt idx="3450">
                  <c:v>63481</c:v>
                </c:pt>
                <c:pt idx="3451">
                  <c:v>63488</c:v>
                </c:pt>
                <c:pt idx="3452">
                  <c:v>63495</c:v>
                </c:pt>
                <c:pt idx="3453">
                  <c:v>63502</c:v>
                </c:pt>
                <c:pt idx="3454">
                  <c:v>63509</c:v>
                </c:pt>
                <c:pt idx="3455">
                  <c:v>63516</c:v>
                </c:pt>
                <c:pt idx="3456">
                  <c:v>63523</c:v>
                </c:pt>
                <c:pt idx="3457">
                  <c:v>63530</c:v>
                </c:pt>
                <c:pt idx="3458">
                  <c:v>63537</c:v>
                </c:pt>
                <c:pt idx="3459">
                  <c:v>63544</c:v>
                </c:pt>
                <c:pt idx="3460">
                  <c:v>63551</c:v>
                </c:pt>
                <c:pt idx="3461">
                  <c:v>63558</c:v>
                </c:pt>
                <c:pt idx="3462">
                  <c:v>63565</c:v>
                </c:pt>
                <c:pt idx="3463">
                  <c:v>63572</c:v>
                </c:pt>
                <c:pt idx="3464">
                  <c:v>63579</c:v>
                </c:pt>
                <c:pt idx="3465">
                  <c:v>63586</c:v>
                </c:pt>
                <c:pt idx="3466">
                  <c:v>63593</c:v>
                </c:pt>
                <c:pt idx="3467">
                  <c:v>63600</c:v>
                </c:pt>
                <c:pt idx="3468">
                  <c:v>63607</c:v>
                </c:pt>
                <c:pt idx="3469">
                  <c:v>63614</c:v>
                </c:pt>
                <c:pt idx="3470">
                  <c:v>63621</c:v>
                </c:pt>
                <c:pt idx="3471">
                  <c:v>63628</c:v>
                </c:pt>
                <c:pt idx="3472">
                  <c:v>63635</c:v>
                </c:pt>
                <c:pt idx="3473">
                  <c:v>63642</c:v>
                </c:pt>
                <c:pt idx="3474">
                  <c:v>63649</c:v>
                </c:pt>
                <c:pt idx="3475">
                  <c:v>63656</c:v>
                </c:pt>
                <c:pt idx="3476">
                  <c:v>63663</c:v>
                </c:pt>
                <c:pt idx="3477">
                  <c:v>63670</c:v>
                </c:pt>
                <c:pt idx="3478">
                  <c:v>63677</c:v>
                </c:pt>
                <c:pt idx="3479">
                  <c:v>63684</c:v>
                </c:pt>
                <c:pt idx="3480">
                  <c:v>63691</c:v>
                </c:pt>
                <c:pt idx="3481">
                  <c:v>63699</c:v>
                </c:pt>
                <c:pt idx="3482">
                  <c:v>63705</c:v>
                </c:pt>
                <c:pt idx="3483">
                  <c:v>63712</c:v>
                </c:pt>
                <c:pt idx="3484">
                  <c:v>63719</c:v>
                </c:pt>
                <c:pt idx="3485">
                  <c:v>63726</c:v>
                </c:pt>
                <c:pt idx="3486">
                  <c:v>63733</c:v>
                </c:pt>
                <c:pt idx="3487">
                  <c:v>63740</c:v>
                </c:pt>
                <c:pt idx="3488">
                  <c:v>63747</c:v>
                </c:pt>
                <c:pt idx="3489">
                  <c:v>63754</c:v>
                </c:pt>
                <c:pt idx="3490">
                  <c:v>63761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63916</c:v>
                </c:pt>
                <c:pt idx="3513">
                  <c:v>63923</c:v>
                </c:pt>
                <c:pt idx="3514">
                  <c:v>63930</c:v>
                </c:pt>
                <c:pt idx="3515">
                  <c:v>63937</c:v>
                </c:pt>
                <c:pt idx="3516">
                  <c:v>63944</c:v>
                </c:pt>
                <c:pt idx="3517">
                  <c:v>63951</c:v>
                </c:pt>
                <c:pt idx="3518">
                  <c:v>63958</c:v>
                </c:pt>
                <c:pt idx="3519">
                  <c:v>63965</c:v>
                </c:pt>
                <c:pt idx="3520">
                  <c:v>63972</c:v>
                </c:pt>
                <c:pt idx="3521">
                  <c:v>63979</c:v>
                </c:pt>
                <c:pt idx="3522">
                  <c:v>63986</c:v>
                </c:pt>
                <c:pt idx="3523">
                  <c:v>63993</c:v>
                </c:pt>
                <c:pt idx="3524">
                  <c:v>64000</c:v>
                </c:pt>
                <c:pt idx="3525">
                  <c:v>64007</c:v>
                </c:pt>
                <c:pt idx="3526">
                  <c:v>64018</c:v>
                </c:pt>
                <c:pt idx="3527">
                  <c:v>64021</c:v>
                </c:pt>
                <c:pt idx="3528">
                  <c:v>64028</c:v>
                </c:pt>
                <c:pt idx="3529">
                  <c:v>64035</c:v>
                </c:pt>
                <c:pt idx="3530">
                  <c:v>64042</c:v>
                </c:pt>
                <c:pt idx="3531">
                  <c:v>64049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-3.7249999999744432E-3</c:v>
                </c:pt>
                <c:pt idx="1">
                  <c:v>-3.6917180262974192E-3</c:v>
                </c:pt>
                <c:pt idx="2">
                  <c:v>-3.6424553013914007E-3</c:v>
                </c:pt>
                <c:pt idx="3">
                  <c:v>-3.6145494773265341E-3</c:v>
                </c:pt>
                <c:pt idx="4">
                  <c:v>-3.6053502893151901E-3</c:v>
                </c:pt>
                <c:pt idx="5">
                  <c:v>-3.5990143927078222E-3</c:v>
                </c:pt>
                <c:pt idx="6">
                  <c:v>-3.5955417873445583E-3</c:v>
                </c:pt>
                <c:pt idx="7">
                  <c:v>-3.6011226962495702E-3</c:v>
                </c:pt>
                <c:pt idx="8">
                  <c:v>-3.6211281315079447E-3</c:v>
                </c:pt>
                <c:pt idx="9">
                  <c:v>-3.6348352736892409E-3</c:v>
                </c:pt>
                <c:pt idx="10">
                  <c:v>-3.6514057063552485E-3</c:v>
                </c:pt>
                <c:pt idx="11">
                  <c:v>-3.6940529654394538E-3</c:v>
                </c:pt>
                <c:pt idx="12">
                  <c:v>-3.7463203329535233E-3</c:v>
                </c:pt>
                <c:pt idx="13">
                  <c:v>-3.7772072108888111E-3</c:v>
                </c:pt>
                <c:pt idx="14">
                  <c:v>-3.8109573759514959E-3</c:v>
                </c:pt>
                <c:pt idx="15">
                  <c:v>-3.8475708271024089E-3</c:v>
                </c:pt>
                <c:pt idx="16">
                  <c:v>-3.9302991048373315E-3</c:v>
                </c:pt>
                <c:pt idx="17">
                  <c:v>-4.0226574767610046E-3</c:v>
                </c:pt>
                <c:pt idx="18">
                  <c:v>-4.0735873450037374E-3</c:v>
                </c:pt>
                <c:pt idx="19">
                  <c:v>-4.1273804934194303E-3</c:v>
                </c:pt>
                <c:pt idx="20">
                  <c:v>-4.1840369204093619E-3</c:v>
                </c:pt>
                <c:pt idx="21">
                  <c:v>-4.3068425082948281E-3</c:v>
                </c:pt>
                <c:pt idx="22">
                  <c:v>-4.4382232637030228E-3</c:v>
                </c:pt>
                <c:pt idx="23">
                  <c:v>-4.5027633174044013E-3</c:v>
                </c:pt>
                <c:pt idx="24">
                  <c:v>-4.563733898468314E-3</c:v>
                </c:pt>
                <c:pt idx="25">
                  <c:v>-4.6211350088132264E-3</c:v>
                </c:pt>
                <c:pt idx="26">
                  <c:v>-4.7239770141649373E-3</c:v>
                </c:pt>
                <c:pt idx="27">
                  <c:v>-4.8150447755768155E-3</c:v>
                </c:pt>
                <c:pt idx="28">
                  <c:v>-4.854598555867895E-3</c:v>
                </c:pt>
                <c:pt idx="29">
                  <c:v>-4.8905828739531643E-3</c:v>
                </c:pt>
                <c:pt idx="30">
                  <c:v>-4.9229977310716322E-3</c:v>
                </c:pt>
                <c:pt idx="31">
                  <c:v>-4.975860470124438E-3</c:v>
                </c:pt>
                <c:pt idx="32">
                  <c:v>-5.0169625674234553E-3</c:v>
                </c:pt>
                <c:pt idx="33">
                  <c:v>-5.0315301318981653E-3</c:v>
                </c:pt>
                <c:pt idx="34">
                  <c:v>-5.0425282395627491E-3</c:v>
                </c:pt>
                <c:pt idx="35">
                  <c:v>-5.0499568908168868E-3</c:v>
                </c:pt>
                <c:pt idx="36">
                  <c:v>-5.0528450839948391E-3</c:v>
                </c:pt>
                <c:pt idx="37">
                  <c:v>-5.0439769335675066E-3</c:v>
                </c:pt>
                <c:pt idx="38">
                  <c:v>-5.0335583035288067E-3</c:v>
                </c:pt>
                <c:pt idx="39">
                  <c:v>-5.0195702167199485E-3</c:v>
                </c:pt>
                <c:pt idx="40">
                  <c:v>-5.0020126727412517E-3</c:v>
                </c:pt>
                <c:pt idx="41">
                  <c:v>-4.954931192426848E-3</c:v>
                </c:pt>
                <c:pt idx="42">
                  <c:v>-4.8971812244991142E-3</c:v>
                </c:pt>
                <c:pt idx="43">
                  <c:v>-4.868336252328298E-3</c:v>
                </c:pt>
                <c:pt idx="44">
                  <c:v>-4.8424816875591858E-3</c:v>
                </c:pt>
                <c:pt idx="45">
                  <c:v>-4.8196175308312661E-3</c:v>
                </c:pt>
                <c:pt idx="46">
                  <c:v>-4.7837936770145362E-3</c:v>
                </c:pt>
                <c:pt idx="47">
                  <c:v>-4.7580649943235187E-3</c:v>
                </c:pt>
                <c:pt idx="48">
                  <c:v>-4.7501528847559982E-3</c:v>
                </c:pt>
                <c:pt idx="49">
                  <c:v>-4.7452311854678797E-3</c:v>
                </c:pt>
                <c:pt idx="50">
                  <c:v>-4.7432998966989715E-3</c:v>
                </c:pt>
                <c:pt idx="51">
                  <c:v>-4.749342696293013E-3</c:v>
                </c:pt>
                <c:pt idx="52">
                  <c:v>-4.765478845696336E-3</c:v>
                </c:pt>
                <c:pt idx="53">
                  <c:v>-4.7784996082445019E-3</c:v>
                </c:pt>
                <c:pt idx="54">
                  <c:v>-4.7945107804725495E-3</c:v>
                </c:pt>
                <c:pt idx="55">
                  <c:v>-4.8135123620207665E-3</c:v>
                </c:pt>
                <c:pt idx="56">
                  <c:v>-4.8614179039407901E-3</c:v>
                </c:pt>
                <c:pt idx="57">
                  <c:v>-4.9194227693449832E-3</c:v>
                </c:pt>
                <c:pt idx="58">
                  <c:v>-4.9533763882614323E-3</c:v>
                </c:pt>
                <c:pt idx="59">
                  <c:v>-4.9903204125012479E-3</c:v>
                </c:pt>
                <c:pt idx="60">
                  <c:v>-5.0302548410252612E-3</c:v>
                </c:pt>
                <c:pt idx="61">
                  <c:v>-5.1200188894062748E-3</c:v>
                </c:pt>
                <c:pt idx="62">
                  <c:v>-5.2198965774596928E-3</c:v>
                </c:pt>
                <c:pt idx="63">
                  <c:v>-5.2747830112576111E-3</c:v>
                </c:pt>
                <c:pt idx="64">
                  <c:v>-5.3326598422254179E-3</c:v>
                </c:pt>
                <c:pt idx="65">
                  <c:v>-5.3925677333133137E-3</c:v>
                </c:pt>
                <c:pt idx="66">
                  <c:v>-5.504999278906908E-3</c:v>
                </c:pt>
                <c:pt idx="67">
                  <c:v>-5.6083804626405609E-3</c:v>
                </c:pt>
                <c:pt idx="68">
                  <c:v>-5.6554196064206863E-3</c:v>
                </c:pt>
                <c:pt idx="69">
                  <c:v>-5.6996931371022796E-3</c:v>
                </c:pt>
                <c:pt idx="70">
                  <c:v>-5.7412010557245097E-3</c:v>
                </c:pt>
                <c:pt idx="71">
                  <c:v>-5.8149042638078186E-3</c:v>
                </c:pt>
                <c:pt idx="72">
                  <c:v>-5.8795766272856653E-3</c:v>
                </c:pt>
                <c:pt idx="73">
                  <c:v>-5.907256498400848E-3</c:v>
                </c:pt>
                <c:pt idx="74">
                  <c:v>-5.9321707621728947E-3</c:v>
                </c:pt>
                <c:pt idx="75">
                  <c:v>-5.9543194192812621E-3</c:v>
                </c:pt>
                <c:pt idx="76">
                  <c:v>-5.9892984005527339E-3</c:v>
                </c:pt>
                <c:pt idx="77">
                  <c:v>-6.0152579893912872E-3</c:v>
                </c:pt>
                <c:pt idx="78">
                  <c:v>-6.0235786190965257E-3</c:v>
                </c:pt>
                <c:pt idx="79">
                  <c:v>-6.0291336440965182E-3</c:v>
                </c:pt>
                <c:pt idx="80">
                  <c:v>-6.031923064790945E-3</c:v>
                </c:pt>
                <c:pt idx="81">
                  <c:v>-6.0281822798957663E-3</c:v>
                </c:pt>
                <c:pt idx="82">
                  <c:v>-6.0154247021948493E-3</c:v>
                </c:pt>
                <c:pt idx="83">
                  <c:v>-6.0043860999225984E-3</c:v>
                </c:pt>
                <c:pt idx="84">
                  <c:v>-5.9905818924255172E-3</c:v>
                </c:pt>
                <c:pt idx="85">
                  <c:v>-5.9740120797036056E-3</c:v>
                </c:pt>
                <c:pt idx="86">
                  <c:v>-5.9315560336381523E-3</c:v>
                </c:pt>
                <c:pt idx="87">
                  <c:v>-5.8807260179083443E-3</c:v>
                </c:pt>
                <c:pt idx="88">
                  <c:v>-5.8542236833813988E-3</c:v>
                </c:pt>
                <c:pt idx="89">
                  <c:v>-5.8288512535042969E-3</c:v>
                </c:pt>
                <c:pt idx="90">
                  <c:v>-5.8046087283569747E-3</c:v>
                </c:pt>
                <c:pt idx="91">
                  <c:v>-5.75979787326375E-3</c:v>
                </c:pt>
                <c:pt idx="92">
                  <c:v>-5.7189376808608472E-3</c:v>
                </c:pt>
                <c:pt idx="93">
                  <c:v>-5.7003446830394822E-3</c:v>
                </c:pt>
                <c:pt idx="94">
                  <c:v>-5.6828815913467778E-3</c:v>
                </c:pt>
                <c:pt idx="95">
                  <c:v>-5.6665484058626703E-3</c:v>
                </c:pt>
                <c:pt idx="96">
                  <c:v>-5.6375601039171386E-3</c:v>
                </c:pt>
                <c:pt idx="97">
                  <c:v>-5.6125147286900656E-3</c:v>
                </c:pt>
                <c:pt idx="98">
                  <c:v>-5.6018310764072154E-3</c:v>
                </c:pt>
                <c:pt idx="99">
                  <c:v>-5.5922773308925144E-3</c:v>
                </c:pt>
                <c:pt idx="100">
                  <c:v>-5.5838534924257388E-3</c:v>
                </c:pt>
                <c:pt idx="101">
                  <c:v>-5.570685969193967E-3</c:v>
                </c:pt>
                <c:pt idx="102">
                  <c:v>-5.5614572108364513E-3</c:v>
                </c:pt>
                <c:pt idx="103">
                  <c:v>-5.5586829086085032E-3</c:v>
                </c:pt>
                <c:pt idx="104">
                  <c:v>-5.5570385137881928E-3</c:v>
                </c:pt>
                <c:pt idx="105">
                  <c:v>-5.5565240264554561E-3</c:v>
                </c:pt>
                <c:pt idx="106">
                  <c:v>-5.5591755616868355E-3</c:v>
                </c:pt>
                <c:pt idx="107">
                  <c:v>-5.5657651504814609E-3</c:v>
                </c:pt>
                <c:pt idx="108">
                  <c:v>-5.5706692514068124E-3</c:v>
                </c:pt>
                <c:pt idx="109">
                  <c:v>-5.5755485170783103E-3</c:v>
                </c:pt>
                <c:pt idx="110">
                  <c:v>-5.5801719993153753E-3</c:v>
                </c:pt>
                <c:pt idx="111">
                  <c:v>-5.5884795961391731E-3</c:v>
                </c:pt>
                <c:pt idx="112">
                  <c:v>-5.5961080917210637E-3</c:v>
                </c:pt>
                <c:pt idx="113">
                  <c:v>-5.5994526559466351E-3</c:v>
                </c:pt>
                <c:pt idx="114">
                  <c:v>-5.6025414364180293E-3</c:v>
                </c:pt>
                <c:pt idx="115">
                  <c:v>-5.6053744335349265E-3</c:v>
                </c:pt>
                <c:pt idx="116">
                  <c:v>-5.6101003878694655E-3</c:v>
                </c:pt>
                <c:pt idx="117">
                  <c:v>-5.6141485862193363E-3</c:v>
                </c:pt>
                <c:pt idx="118">
                  <c:v>-5.6157026654846121E-3</c:v>
                </c:pt>
                <c:pt idx="119">
                  <c:v>-5.6170009613154548E-3</c:v>
                </c:pt>
                <c:pt idx="120">
                  <c:v>-5.6180434735120244E-3</c:v>
                </c:pt>
                <c:pt idx="121">
                  <c:v>-5.6191881749523276E-3</c:v>
                </c:pt>
                <c:pt idx="122">
                  <c:v>-5.6196556872745163E-3</c:v>
                </c:pt>
                <c:pt idx="123">
                  <c:v>-5.6194192819791766E-3</c:v>
                </c:pt>
                <c:pt idx="124">
                  <c:v>-5.6189270930495638E-3</c:v>
                </c:pt>
                <c:pt idx="125">
                  <c:v>-5.61817912064555E-3</c:v>
                </c:pt>
                <c:pt idx="126">
                  <c:v>-5.6157429602121667E-3</c:v>
                </c:pt>
                <c:pt idx="127">
                  <c:v>-5.6126293956859641E-3</c:v>
                </c:pt>
                <c:pt idx="128">
                  <c:v>-5.6106025055902009E-3</c:v>
                </c:pt>
                <c:pt idx="129">
                  <c:v>-5.6083198320200367E-3</c:v>
                </c:pt>
                <c:pt idx="130">
                  <c:v>-5.6057813748155993E-3</c:v>
                </c:pt>
                <c:pt idx="131">
                  <c:v>-5.5992225500789417E-3</c:v>
                </c:pt>
                <c:pt idx="132">
                  <c:v>-5.5908406274163269E-3</c:v>
                </c:pt>
                <c:pt idx="133">
                  <c:v>-5.5855773607538239E-3</c:v>
                </c:pt>
                <c:pt idx="134">
                  <c:v>-5.5796968373655886E-3</c:v>
                </c:pt>
                <c:pt idx="135">
                  <c:v>-5.5731990573715251E-3</c:v>
                </c:pt>
                <c:pt idx="136">
                  <c:v>-5.5580601619409364E-3</c:v>
                </c:pt>
                <c:pt idx="137">
                  <c:v>-5.5410353707774362E-3</c:v>
                </c:pt>
                <c:pt idx="138">
                  <c:v>-5.5314513073145832E-3</c:v>
                </c:pt>
                <c:pt idx="139">
                  <c:v>-5.5212499868861897E-3</c:v>
                </c:pt>
                <c:pt idx="140">
                  <c:v>-5.5104314095322238E-3</c:v>
                </c:pt>
                <c:pt idx="141">
                  <c:v>-5.4866531092434556E-3</c:v>
                </c:pt>
                <c:pt idx="142">
                  <c:v>-5.4609845301412108E-3</c:v>
                </c:pt>
                <c:pt idx="143">
                  <c:v>-5.4470796673999899E-3</c:v>
                </c:pt>
                <c:pt idx="144">
                  <c:v>-5.4325575474134524E-3</c:v>
                </c:pt>
                <c:pt idx="145">
                  <c:v>-5.4174181700616941E-3</c:v>
                </c:pt>
                <c:pt idx="146">
                  <c:v>-5.3850013379763695E-3</c:v>
                </c:pt>
                <c:pt idx="147">
                  <c:v>-5.3506880853237959E-3</c:v>
                </c:pt>
                <c:pt idx="148">
                  <c:v>-5.3324624199069248E-3</c:v>
                </c:pt>
                <c:pt idx="149">
                  <c:v>-5.3136194966452166E-3</c:v>
                </c:pt>
                <c:pt idx="150">
                  <c:v>-5.2941593154187672E-3</c:v>
                </c:pt>
                <c:pt idx="151">
                  <c:v>-5.2531047712545131E-3</c:v>
                </c:pt>
                <c:pt idx="152">
                  <c:v>-5.2105540943525597E-3</c:v>
                </c:pt>
                <c:pt idx="153">
                  <c:v>-5.1904561362148272E-3</c:v>
                </c:pt>
                <c:pt idx="154">
                  <c:v>-5.1721894346634656E-3</c:v>
                </c:pt>
                <c:pt idx="155">
                  <c:v>-5.155753989778411E-3</c:v>
                </c:pt>
                <c:pt idx="156">
                  <c:v>-5.1289142170007906E-3</c:v>
                </c:pt>
                <c:pt idx="157">
                  <c:v>-5.1083247818572985E-3</c:v>
                </c:pt>
                <c:pt idx="158">
                  <c:v>-5.1010456235811574E-3</c:v>
                </c:pt>
                <c:pt idx="159">
                  <c:v>-5.0955977232503002E-3</c:v>
                </c:pt>
                <c:pt idx="160">
                  <c:v>-5.0910262642889226E-3</c:v>
                </c:pt>
                <c:pt idx="161">
                  <c:v>-5.0958270901357849E-3</c:v>
                </c:pt>
                <c:pt idx="162">
                  <c:v>-5.1013667371968552E-3</c:v>
                </c:pt>
                <c:pt idx="163">
                  <c:v>-5.1087376422032094E-3</c:v>
                </c:pt>
                <c:pt idx="164">
                  <c:v>-5.1362112694164352E-3</c:v>
                </c:pt>
                <c:pt idx="165">
                  <c:v>-5.1730610286204737E-3</c:v>
                </c:pt>
                <c:pt idx="166">
                  <c:v>-5.1914194769420163E-3</c:v>
                </c:pt>
                <c:pt idx="167">
                  <c:v>-5.2116091816101218E-3</c:v>
                </c:pt>
                <c:pt idx="168">
                  <c:v>-5.2336301424249498E-3</c:v>
                </c:pt>
                <c:pt idx="169">
                  <c:v>-5.2836986995385971E-3</c:v>
                </c:pt>
                <c:pt idx="170">
                  <c:v>-5.340026539517595E-3</c:v>
                </c:pt>
                <c:pt idx="171">
                  <c:v>-5.3712037752706721E-3</c:v>
                </c:pt>
                <c:pt idx="172">
                  <c:v>-5.4035949836261921E-3</c:v>
                </c:pt>
                <c:pt idx="173">
                  <c:v>-5.4347310403990434E-3</c:v>
                </c:pt>
                <c:pt idx="174">
                  <c:v>-5.4906779692220908E-3</c:v>
                </c:pt>
                <c:pt idx="175">
                  <c:v>-5.5405509495143335E-3</c:v>
                </c:pt>
                <c:pt idx="176">
                  <c:v>-5.5623248494773847E-3</c:v>
                </c:pt>
                <c:pt idx="177">
                  <c:v>-5.5822263191096511E-3</c:v>
                </c:pt>
                <c:pt idx="178">
                  <c:v>-5.6002553588507809E-3</c:v>
                </c:pt>
                <c:pt idx="179">
                  <c:v>-5.6299839580464806E-3</c:v>
                </c:pt>
                <c:pt idx="180">
                  <c:v>-5.65364722385997E-3</c:v>
                </c:pt>
                <c:pt idx="181">
                  <c:v>-5.6623141175826674E-3</c:v>
                </c:pt>
                <c:pt idx="182">
                  <c:v>-5.6691085826932053E-3</c:v>
                </c:pt>
                <c:pt idx="183">
                  <c:v>-5.6740306192315515E-3</c:v>
                </c:pt>
                <c:pt idx="184">
                  <c:v>-5.6775437214140467E-3</c:v>
                </c:pt>
                <c:pt idx="185">
                  <c:v>-5.6749944807821251E-3</c:v>
                </c:pt>
                <c:pt idx="186">
                  <c:v>-5.6705543750590337E-3</c:v>
                </c:pt>
                <c:pt idx="187">
                  <c:v>-5.6642418408037187E-3</c:v>
                </c:pt>
                <c:pt idx="188">
                  <c:v>-5.65605687781634E-3</c:v>
                </c:pt>
                <c:pt idx="189">
                  <c:v>-5.6333573684108629E-3</c:v>
                </c:pt>
                <c:pt idx="190">
                  <c:v>-5.6045927367875947E-3</c:v>
                </c:pt>
                <c:pt idx="191">
                  <c:v>-5.587045628221432E-3</c:v>
                </c:pt>
                <c:pt idx="192">
                  <c:v>-5.5676260896841967E-3</c:v>
                </c:pt>
                <c:pt idx="193">
                  <c:v>-5.5463341210160166E-3</c:v>
                </c:pt>
                <c:pt idx="194">
                  <c:v>-5.4974247976780077E-3</c:v>
                </c:pt>
                <c:pt idx="195">
                  <c:v>-5.4429680230150268E-3</c:v>
                </c:pt>
                <c:pt idx="196">
                  <c:v>-5.415470408030032E-3</c:v>
                </c:pt>
                <c:pt idx="197">
                  <c:v>-5.3892568714486444E-3</c:v>
                </c:pt>
                <c:pt idx="198">
                  <c:v>-5.364327413230896E-3</c:v>
                </c:pt>
                <c:pt idx="199">
                  <c:v>-5.3186701798235703E-3</c:v>
                </c:pt>
                <c:pt idx="200">
                  <c:v>-5.2774503705110831E-3</c:v>
                </c:pt>
                <c:pt idx="201">
                  <c:v>-5.2589413084680459E-3</c:v>
                </c:pt>
                <c:pt idx="202">
                  <c:v>-5.241716326387369E-3</c:v>
                </c:pt>
                <c:pt idx="203">
                  <c:v>-5.2257754243090204E-3</c:v>
                </c:pt>
                <c:pt idx="204">
                  <c:v>-5.198098830012654E-3</c:v>
                </c:pt>
                <c:pt idx="205">
                  <c:v>-5.1748526199357769E-3</c:v>
                </c:pt>
                <c:pt idx="206">
                  <c:v>-5.1653321203870561E-3</c:v>
                </c:pt>
                <c:pt idx="207">
                  <c:v>-5.1570957019198005E-3</c:v>
                </c:pt>
                <c:pt idx="208">
                  <c:v>-5.1501433642942018E-3</c:v>
                </c:pt>
                <c:pt idx="209">
                  <c:v>-5.140445557123563E-3</c:v>
                </c:pt>
                <c:pt idx="210">
                  <c:v>-5.135174824926203E-3</c:v>
                </c:pt>
                <c:pt idx="211">
                  <c:v>-5.1346428930276744E-3</c:v>
                </c:pt>
                <c:pt idx="212">
                  <c:v>-5.135395042330515E-3</c:v>
                </c:pt>
                <c:pt idx="213">
                  <c:v>-5.1374312728746929E-3</c:v>
                </c:pt>
                <c:pt idx="214">
                  <c:v>-5.145710451830432E-3</c:v>
                </c:pt>
                <c:pt idx="215">
                  <c:v>-5.1581607486106407E-3</c:v>
                </c:pt>
                <c:pt idx="216">
                  <c:v>-5.1650798375924012E-3</c:v>
                </c:pt>
                <c:pt idx="217">
                  <c:v>-5.1717454606459157E-3</c:v>
                </c:pt>
                <c:pt idx="218">
                  <c:v>-5.1781576177711841E-3</c:v>
                </c:pt>
                <c:pt idx="219">
                  <c:v>-5.190062219502245E-3</c:v>
                </c:pt>
                <c:pt idx="220">
                  <c:v>-5.2012715869897974E-3</c:v>
                </c:pt>
                <c:pt idx="221">
                  <c:v>-5.2064164145937397E-3</c:v>
                </c:pt>
                <c:pt idx="222">
                  <c:v>-5.2113077762294679E-3</c:v>
                </c:pt>
                <c:pt idx="223">
                  <c:v>-5.2240559784673124E-3</c:v>
                </c:pt>
                <c:pt idx="224">
                  <c:v>-5.2353331635890399E-3</c:v>
                </c:pt>
                <c:pt idx="225">
                  <c:v>-5.2384502644464703E-3</c:v>
                </c:pt>
                <c:pt idx="226">
                  <c:v>-5.2413138995355268E-3</c:v>
                </c:pt>
                <c:pt idx="227">
                  <c:v>-5.2461198323072722E-3</c:v>
                </c:pt>
                <c:pt idx="228">
                  <c:v>-5.2502337816884292E-3</c:v>
                </c:pt>
                <c:pt idx="229">
                  <c:v>-5.2518300876558399E-3</c:v>
                </c:pt>
                <c:pt idx="230">
                  <c:v>-5.2531729280147488E-3</c:v>
                </c:pt>
                <c:pt idx="231">
                  <c:v>-5.2542623025253476E-3</c:v>
                </c:pt>
                <c:pt idx="232">
                  <c:v>-5.2555194402392758E-3</c:v>
                </c:pt>
                <c:pt idx="233">
                  <c:v>-5.2560851429639399E-3</c:v>
                </c:pt>
                <c:pt idx="234">
                  <c:v>-5.2559071885527331E-3</c:v>
                </c:pt>
                <c:pt idx="235">
                  <c:v>-5.2554926773273891E-3</c:v>
                </c:pt>
                <c:pt idx="236">
                  <c:v>-5.2549092443454626E-3</c:v>
                </c:pt>
                <c:pt idx="237">
                  <c:v>-5.2531590123328087E-3</c:v>
                </c:pt>
                <c:pt idx="238">
                  <c:v>-5.2510553837148422E-3</c:v>
                </c:pt>
                <c:pt idx="239">
                  <c:v>-5.2497118865613146E-3</c:v>
                </c:pt>
                <c:pt idx="240">
                  <c:v>-5.2482163763256651E-3</c:v>
                </c:pt>
                <c:pt idx="241">
                  <c:v>-5.2465688532477017E-3</c:v>
                </c:pt>
                <c:pt idx="242">
                  <c:v>-5.2426907462121974E-3</c:v>
                </c:pt>
                <c:pt idx="243">
                  <c:v>-5.238458632192966E-3</c:v>
                </c:pt>
                <c:pt idx="244">
                  <c:v>-5.2360510447435615E-3</c:v>
                </c:pt>
                <c:pt idx="245">
                  <c:v>-5.2334914443319391E-3</c:v>
                </c:pt>
                <c:pt idx="246">
                  <c:v>-5.230779831117971E-3</c:v>
                </c:pt>
                <c:pt idx="247">
                  <c:v>-5.224774064567228E-3</c:v>
                </c:pt>
                <c:pt idx="248">
                  <c:v>-5.2184132490395996E-3</c:v>
                </c:pt>
                <c:pt idx="249">
                  <c:v>-5.214941571174414E-3</c:v>
                </c:pt>
                <c:pt idx="250">
                  <c:v>-5.2093923368423667E-3</c:v>
                </c:pt>
                <c:pt idx="251">
                  <c:v>-5.1994089640405861E-3</c:v>
                </c:pt>
                <c:pt idx="252">
                  <c:v>-5.1909192330557019E-3</c:v>
                </c:pt>
                <c:pt idx="253">
                  <c:v>-5.1863834648147034E-3</c:v>
                </c:pt>
                <c:pt idx="254">
                  <c:v>-5.1816956834116468E-3</c:v>
                </c:pt>
                <c:pt idx="255">
                  <c:v>-5.1768558892462124E-3</c:v>
                </c:pt>
                <c:pt idx="256">
                  <c:v>-5.1643207604012975E-3</c:v>
                </c:pt>
                <c:pt idx="257">
                  <c:v>-5.1520372622926303E-3</c:v>
                </c:pt>
                <c:pt idx="258">
                  <c:v>-5.1471020486548724E-3</c:v>
                </c:pt>
                <c:pt idx="259">
                  <c:v>-5.142178153643151E-3</c:v>
                </c:pt>
                <c:pt idx="260">
                  <c:v>-5.132294923209102E-3</c:v>
                </c:pt>
                <c:pt idx="261">
                  <c:v>-5.1225957610157025E-3</c:v>
                </c:pt>
                <c:pt idx="262">
                  <c:v>-5.1177284596137795E-3</c:v>
                </c:pt>
                <c:pt idx="263">
                  <c:v>-5.1128724769977651E-3</c:v>
                </c:pt>
                <c:pt idx="264">
                  <c:v>-5.1080278130077872E-3</c:v>
                </c:pt>
                <c:pt idx="265">
                  <c:v>-5.0983040105245792E-3</c:v>
                </c:pt>
                <c:pt idx="266">
                  <c:v>-5.0887623444273444E-3</c:v>
                </c:pt>
                <c:pt idx="267">
                  <c:v>-5.0839742739672289E-3</c:v>
                </c:pt>
                <c:pt idx="268">
                  <c:v>-5.0791975222930219E-3</c:v>
                </c:pt>
                <c:pt idx="269">
                  <c:v>-5.0744320893247874E-3</c:v>
                </c:pt>
                <c:pt idx="270">
                  <c:v>-5.0648676928632952E-3</c:v>
                </c:pt>
                <c:pt idx="271">
                  <c:v>-5.0554835447513824E-3</c:v>
                </c:pt>
                <c:pt idx="272">
                  <c:v>-5.0507747053529783E-3</c:v>
                </c:pt>
                <c:pt idx="273">
                  <c:v>-5.0460771847804509E-3</c:v>
                </c:pt>
                <c:pt idx="274">
                  <c:v>-5.0413909828339598E-3</c:v>
                </c:pt>
                <c:pt idx="275">
                  <c:v>-5.0319859706782211E-3</c:v>
                </c:pt>
                <c:pt idx="276">
                  <c:v>-5.0227593623874967E-3</c:v>
                </c:pt>
                <c:pt idx="277">
                  <c:v>-5.0181297540508041E-3</c:v>
                </c:pt>
                <c:pt idx="278">
                  <c:v>-5.0135114645000201E-3</c:v>
                </c:pt>
                <c:pt idx="279">
                  <c:v>-5.0089044935752725E-3</c:v>
                </c:pt>
                <c:pt idx="280">
                  <c:v>-4.9996588444090051E-3</c:v>
                </c:pt>
                <c:pt idx="281">
                  <c:v>-4.9905897974156233E-3</c:v>
                </c:pt>
                <c:pt idx="282">
                  <c:v>-4.9860394201806102E-3</c:v>
                </c:pt>
                <c:pt idx="283">
                  <c:v>-4.9815003616515696E-3</c:v>
                </c:pt>
                <c:pt idx="284">
                  <c:v>-4.9769726218285015E-3</c:v>
                </c:pt>
                <c:pt idx="285">
                  <c:v>-4.9678863145352636E-3</c:v>
                </c:pt>
                <c:pt idx="286">
                  <c:v>-4.9589748499556663E-3</c:v>
                </c:pt>
                <c:pt idx="287">
                  <c:v>-4.9545037038223327E-3</c:v>
                </c:pt>
                <c:pt idx="288">
                  <c:v>-4.9500438763150356E-3</c:v>
                </c:pt>
                <c:pt idx="289">
                  <c:v>-4.9455953677135511E-3</c:v>
                </c:pt>
                <c:pt idx="290">
                  <c:v>-4.9366683814833223E-3</c:v>
                </c:pt>
                <c:pt idx="291">
                  <c:v>-4.9279145202474339E-3</c:v>
                </c:pt>
                <c:pt idx="292">
                  <c:v>-4.9235226051758119E-3</c:v>
                </c:pt>
                <c:pt idx="293">
                  <c:v>-4.9191420088101623E-3</c:v>
                </c:pt>
                <c:pt idx="294">
                  <c:v>-4.9147727312703893E-3</c:v>
                </c:pt>
                <c:pt idx="295">
                  <c:v>-4.9060050456928295E-3</c:v>
                </c:pt>
                <c:pt idx="296">
                  <c:v>-4.8974088082509581E-3</c:v>
                </c:pt>
                <c:pt idx="297">
                  <c:v>-4.8930961244009197E-3</c:v>
                </c:pt>
                <c:pt idx="298">
                  <c:v>-4.8887947591369496E-3</c:v>
                </c:pt>
                <c:pt idx="299">
                  <c:v>-4.8845047126988561E-3</c:v>
                </c:pt>
                <c:pt idx="300">
                  <c:v>-4.8758963075901107E-3</c:v>
                </c:pt>
                <c:pt idx="301">
                  <c:v>-4.8674577143259512E-3</c:v>
                </c:pt>
                <c:pt idx="302">
                  <c:v>-4.8632242615376242E-3</c:v>
                </c:pt>
                <c:pt idx="303">
                  <c:v>-4.8590021274552697E-3</c:v>
                </c:pt>
                <c:pt idx="304">
                  <c:v>-4.8547913121987918E-3</c:v>
                </c:pt>
                <c:pt idx="305">
                  <c:v>-4.8463421675615237E-3</c:v>
                </c:pt>
                <c:pt idx="306">
                  <c:v>-4.8380612384724131E-3</c:v>
                </c:pt>
                <c:pt idx="307">
                  <c:v>-4.8339070168657017E-3</c:v>
                </c:pt>
                <c:pt idx="308">
                  <c:v>-4.8297641139649627E-3</c:v>
                </c:pt>
                <c:pt idx="309">
                  <c:v>-4.8256325298501324E-3</c:v>
                </c:pt>
                <c:pt idx="310">
                  <c:v>-4.8152635487863638E-3</c:v>
                </c:pt>
                <c:pt idx="311">
                  <c:v>-4.8051443903851521E-3</c:v>
                </c:pt>
                <c:pt idx="312">
                  <c:v>-4.8010807187059967E-3</c:v>
                </c:pt>
                <c:pt idx="313">
                  <c:v>-4.7970283658127499E-3</c:v>
                </c:pt>
                <c:pt idx="314">
                  <c:v>-4.78889768344537E-3</c:v>
                </c:pt>
                <c:pt idx="315">
                  <c:v>-4.7809321415392958E-3</c:v>
                </c:pt>
                <c:pt idx="316">
                  <c:v>-4.7769363823757516E-3</c:v>
                </c:pt>
                <c:pt idx="317">
                  <c:v>-4.7729519418782118E-3</c:v>
                </c:pt>
                <c:pt idx="318">
                  <c:v>-4.7689788202065486E-3</c:v>
                </c:pt>
                <c:pt idx="319">
                  <c:v>-4.7610073401305186E-3</c:v>
                </c:pt>
                <c:pt idx="320">
                  <c:v>-4.753194863704735E-3</c:v>
                </c:pt>
                <c:pt idx="321">
                  <c:v>-4.749250392994675E-3</c:v>
                </c:pt>
                <c:pt idx="322">
                  <c:v>-4.7452892983024242E-3</c:v>
                </c:pt>
                <c:pt idx="323">
                  <c:v>-4.7413115795080785E-3</c:v>
                </c:pt>
                <c:pt idx="324">
                  <c:v>-4.7332384954668072E-3</c:v>
                </c:pt>
                <c:pt idx="325">
                  <c:v>-4.7252344648684996E-3</c:v>
                </c:pt>
                <c:pt idx="326">
                  <c:v>-4.7211736262031678E-3</c:v>
                </c:pt>
                <c:pt idx="327">
                  <c:v>-4.7170961636355813E-3</c:v>
                </c:pt>
                <c:pt idx="328">
                  <c:v>-4.7130020768459957E-3</c:v>
                </c:pt>
                <c:pt idx="329">
                  <c:v>-4.7046970051489723E-3</c:v>
                </c:pt>
                <c:pt idx="330">
                  <c:v>-4.6964594904252976E-3</c:v>
                </c:pt>
                <c:pt idx="331">
                  <c:v>-4.6922822836448219E-3</c:v>
                </c:pt>
                <c:pt idx="332">
                  <c:v>-4.6880884530819955E-3</c:v>
                </c:pt>
                <c:pt idx="333">
                  <c:v>-4.6838779984970103E-3</c:v>
                </c:pt>
                <c:pt idx="334">
                  <c:v>-4.6753409556243852E-3</c:v>
                </c:pt>
                <c:pt idx="335">
                  <c:v>-4.6668699399354807E-3</c:v>
                </c:pt>
                <c:pt idx="336">
                  <c:v>-4.6625763651997332E-3</c:v>
                </c:pt>
                <c:pt idx="337">
                  <c:v>-4.658266166721603E-3</c:v>
                </c:pt>
                <c:pt idx="338">
                  <c:v>-4.6539393440214738E-3</c:v>
                </c:pt>
                <c:pt idx="339">
                  <c:v>-4.645170346280203E-3</c:v>
                </c:pt>
                <c:pt idx="340">
                  <c:v>-4.6364658133990488E-3</c:v>
                </c:pt>
                <c:pt idx="341">
                  <c:v>-4.6320558707479975E-3</c:v>
                </c:pt>
                <c:pt idx="342">
                  <c:v>-4.6276293040348193E-3</c:v>
                </c:pt>
                <c:pt idx="343">
                  <c:v>-4.6231861134193863E-3</c:v>
                </c:pt>
                <c:pt idx="344">
                  <c:v>-4.6141851765302277E-3</c:v>
                </c:pt>
                <c:pt idx="345">
                  <c:v>-4.6052471106161619E-3</c:v>
                </c:pt>
                <c:pt idx="346">
                  <c:v>-4.6007207997700306E-3</c:v>
                </c:pt>
                <c:pt idx="347">
                  <c:v>-4.5961778651015806E-3</c:v>
                </c:pt>
                <c:pt idx="348">
                  <c:v>-4.5916183062910676E-3</c:v>
                </c:pt>
                <c:pt idx="349">
                  <c:v>-4.5823854457482938E-3</c:v>
                </c:pt>
                <c:pt idx="350">
                  <c:v>-4.5732138312271076E-3</c:v>
                </c:pt>
                <c:pt idx="351">
                  <c:v>-4.5685711523457684E-3</c:v>
                </c:pt>
                <c:pt idx="352">
                  <c:v>-4.5639118495621744E-3</c:v>
                </c:pt>
                <c:pt idx="353">
                  <c:v>-4.5592359226365176E-3</c:v>
                </c:pt>
                <c:pt idx="354">
                  <c:v>-4.5497711532282992E-3</c:v>
                </c:pt>
                <c:pt idx="355">
                  <c:v>-4.5403659750720138E-3</c:v>
                </c:pt>
                <c:pt idx="356">
                  <c:v>-4.5356069281554667E-3</c:v>
                </c:pt>
                <c:pt idx="357">
                  <c:v>-4.5308312571368248E-3</c:v>
                </c:pt>
                <c:pt idx="358">
                  <c:v>-4.52603896217596E-3</c:v>
                </c:pt>
                <c:pt idx="359">
                  <c:v>-4.5163422983440782E-3</c:v>
                </c:pt>
                <c:pt idx="360">
                  <c:v>-4.5067035420709445E-3</c:v>
                </c:pt>
                <c:pt idx="361">
                  <c:v>-4.5018281268793814E-3</c:v>
                </c:pt>
                <c:pt idx="362">
                  <c:v>-4.4969360877855635E-3</c:v>
                </c:pt>
                <c:pt idx="363">
                  <c:v>-4.4920274246296188E-3</c:v>
                </c:pt>
                <c:pt idx="364">
                  <c:v>-4.4820988804428197E-3</c:v>
                </c:pt>
                <c:pt idx="365">
                  <c:v>-4.4722265317442833E-3</c:v>
                </c:pt>
                <c:pt idx="366">
                  <c:v>-4.4672347484775443E-3</c:v>
                </c:pt>
                <c:pt idx="367">
                  <c:v>-4.4622263411886465E-3</c:v>
                </c:pt>
                <c:pt idx="368">
                  <c:v>-4.4572013098376217E-3</c:v>
                </c:pt>
                <c:pt idx="369">
                  <c:v>-4.4470408987651311E-3</c:v>
                </c:pt>
                <c:pt idx="370">
                  <c:v>-4.4369349440520622E-3</c:v>
                </c:pt>
                <c:pt idx="371">
                  <c:v>-4.4318267926302113E-3</c:v>
                </c:pt>
                <c:pt idx="372">
                  <c:v>-4.4267020170263294E-3</c:v>
                </c:pt>
                <c:pt idx="373">
                  <c:v>-4.4215606174002886E-3</c:v>
                </c:pt>
                <c:pt idx="374">
                  <c:v>-4.4111683526315559E-3</c:v>
                </c:pt>
                <c:pt idx="375">
                  <c:v>-4.4008287787544731E-3</c:v>
                </c:pt>
                <c:pt idx="376">
                  <c:v>-4.3956042590176381E-3</c:v>
                </c:pt>
                <c:pt idx="377">
                  <c:v>-4.3903631151787081E-3</c:v>
                </c:pt>
                <c:pt idx="378">
                  <c:v>-4.3851053472776513E-3</c:v>
                </c:pt>
                <c:pt idx="379">
                  <c:v>-4.374481241309347E-3</c:v>
                </c:pt>
                <c:pt idx="380">
                  <c:v>-4.3639080355317716E-3</c:v>
                </c:pt>
                <c:pt idx="381">
                  <c:v>-4.3585671474399845E-3</c:v>
                </c:pt>
                <c:pt idx="382">
                  <c:v>-4.3532096352860705E-3</c:v>
                </c:pt>
                <c:pt idx="383">
                  <c:v>-4.3478354992299018E-3</c:v>
                </c:pt>
                <c:pt idx="384">
                  <c:v>-4.3369795640391118E-3</c:v>
                </c:pt>
                <c:pt idx="385">
                  <c:v>-4.3261664620652951E-3</c:v>
                </c:pt>
                <c:pt idx="386">
                  <c:v>-4.3206716932653322E-3</c:v>
                </c:pt>
                <c:pt idx="387">
                  <c:v>-4.3151227882498588E-3</c:v>
                </c:pt>
                <c:pt idx="388">
                  <c:v>-4.3095197467790669E-3</c:v>
                </c:pt>
                <c:pt idx="389">
                  <c:v>-4.2980818930082876E-3</c:v>
                </c:pt>
                <c:pt idx="390">
                  <c:v>-4.2865662172220098E-3</c:v>
                </c:pt>
                <c:pt idx="391">
                  <c:v>-4.2806924939142732E-3</c:v>
                </c:pt>
                <c:pt idx="392">
                  <c:v>-4.27476463411125E-3</c:v>
                </c:pt>
                <c:pt idx="393">
                  <c:v>-4.2687826379728122E-3</c:v>
                </c:pt>
                <c:pt idx="394">
                  <c:v>-4.2565878608114005E-3</c:v>
                </c:pt>
                <c:pt idx="395">
                  <c:v>-4.2443132895053637E-3</c:v>
                </c:pt>
                <c:pt idx="396">
                  <c:v>-4.2380606113701091E-3</c:v>
                </c:pt>
                <c:pt idx="397">
                  <c:v>-4.2317537968594721E-3</c:v>
                </c:pt>
                <c:pt idx="398">
                  <c:v>-4.2253928458935164E-3</c:v>
                </c:pt>
                <c:pt idx="399">
                  <c:v>-4.2124411976462994E-3</c:v>
                </c:pt>
                <c:pt idx="400">
                  <c:v>-4.199407677916156E-3</c:v>
                </c:pt>
                <c:pt idx="401">
                  <c:v>-4.1927760449933515E-3</c:v>
                </c:pt>
                <c:pt idx="402">
                  <c:v>-4.1860902754553564E-3</c:v>
                </c:pt>
                <c:pt idx="403">
                  <c:v>-4.1793503695419787E-3</c:v>
                </c:pt>
                <c:pt idx="404">
                  <c:v>-4.1656419005020595E-3</c:v>
                </c:pt>
                <c:pt idx="405">
                  <c:v>-4.1518493816550261E-3</c:v>
                </c:pt>
                <c:pt idx="406">
                  <c:v>-4.1448387935050235E-3</c:v>
                </c:pt>
                <c:pt idx="407">
                  <c:v>-4.1377740689796383E-3</c:v>
                </c:pt>
                <c:pt idx="408">
                  <c:v>-4.1306552079989345E-3</c:v>
                </c:pt>
                <c:pt idx="409">
                  <c:v>-4.1161899663277879E-3</c:v>
                </c:pt>
                <c:pt idx="410">
                  <c:v>-4.1016383994829653E-3</c:v>
                </c:pt>
                <c:pt idx="411">
                  <c:v>-4.0942488560657964E-3</c:v>
                </c:pt>
                <c:pt idx="412">
                  <c:v>-4.0868051763132129E-3</c:v>
                </c:pt>
                <c:pt idx="413">
                  <c:v>-4.0793073601053109E-3</c:v>
                </c:pt>
                <c:pt idx="414">
                  <c:v>-4.060223446096245E-3</c:v>
                </c:pt>
                <c:pt idx="415">
                  <c:v>-4.0410062315565654E-3</c:v>
                </c:pt>
                <c:pt idx="416">
                  <c:v>-4.0331835963769436E-3</c:v>
                </c:pt>
                <c:pt idx="417">
                  <c:v>-4.0253068247020352E-3</c:v>
                </c:pt>
                <c:pt idx="418">
                  <c:v>-4.0052773686483079E-3</c:v>
                </c:pt>
                <c:pt idx="419">
                  <c:v>-3.9851109186583855E-3</c:v>
                </c:pt>
                <c:pt idx="420">
                  <c:v>-3.9769093278918533E-3</c:v>
                </c:pt>
                <c:pt idx="421">
                  <c:v>-3.9686536006300344E-3</c:v>
                </c:pt>
                <c:pt idx="422">
                  <c:v>-3.9519183078917663E-3</c:v>
                </c:pt>
                <c:pt idx="423">
                  <c:v>-3.9350893262701803E-3</c:v>
                </c:pt>
                <c:pt idx="424">
                  <c:v>-3.926562916252152E-3</c:v>
                </c:pt>
                <c:pt idx="425">
                  <c:v>-3.9179823697788052E-3</c:v>
                </c:pt>
                <c:pt idx="426">
                  <c:v>-3.9093476866502996E-3</c:v>
                </c:pt>
                <c:pt idx="427">
                  <c:v>-3.8918557909850549E-3</c:v>
                </c:pt>
                <c:pt idx="428">
                  <c:v>-3.8742675888636668E-3</c:v>
                </c:pt>
                <c:pt idx="429">
                  <c:v>-3.865362223058888E-3</c:v>
                </c:pt>
                <c:pt idx="430">
                  <c:v>-3.8564027205589824E-3</c:v>
                </c:pt>
                <c:pt idx="431">
                  <c:v>-3.8473890814838541E-3</c:v>
                </c:pt>
                <c:pt idx="432">
                  <c:v>-3.8291406188895039E-3</c:v>
                </c:pt>
                <c:pt idx="433">
                  <c:v>-3.8107931595510181E-3</c:v>
                </c:pt>
                <c:pt idx="434">
                  <c:v>-3.8015088375997763E-3</c:v>
                </c:pt>
                <c:pt idx="435">
                  <c:v>-3.7921703789534078E-3</c:v>
                </c:pt>
                <c:pt idx="436">
                  <c:v>-3.7827777838517207E-3</c:v>
                </c:pt>
                <c:pt idx="437">
                  <c:v>-3.7637727874084703E-3</c:v>
                </c:pt>
                <c:pt idx="438">
                  <c:v>-3.7446660368534168E-3</c:v>
                </c:pt>
                <c:pt idx="439">
                  <c:v>-3.735002758515904E-3</c:v>
                </c:pt>
                <c:pt idx="440">
                  <c:v>-3.7252853435632005E-3</c:v>
                </c:pt>
                <c:pt idx="441">
                  <c:v>-3.7155137919553383E-3</c:v>
                </c:pt>
                <c:pt idx="442">
                  <c:v>-3.6957522922786978E-3</c:v>
                </c:pt>
                <c:pt idx="443">
                  <c:v>-3.675886219252078E-3</c:v>
                </c:pt>
                <c:pt idx="444">
                  <c:v>-3.665843984328454E-3</c:v>
                </c:pt>
                <c:pt idx="445">
                  <c:v>-3.6557476129095434E-3</c:v>
                </c:pt>
                <c:pt idx="446">
                  <c:v>-3.64559710471557E-3</c:v>
                </c:pt>
                <c:pt idx="447">
                  <c:v>-3.6250791289038631E-3</c:v>
                </c:pt>
                <c:pt idx="448">
                  <c:v>-3.6044833344872629E-3</c:v>
                </c:pt>
                <c:pt idx="449">
                  <c:v>-3.5942399184518692E-3</c:v>
                </c:pt>
                <c:pt idx="450">
                  <c:v>-3.5841201414354984E-3</c:v>
                </c:pt>
                <c:pt idx="451">
                  <c:v>-3.5741240031583743E-3</c:v>
                </c:pt>
                <c:pt idx="452">
                  <c:v>-3.5545087602750769E-3</c:v>
                </c:pt>
                <c:pt idx="453">
                  <c:v>-3.5353758400402668E-3</c:v>
                </c:pt>
                <c:pt idx="454">
                  <c:v>-3.525997896498545E-3</c:v>
                </c:pt>
                <c:pt idx="455">
                  <c:v>-3.5167435920957502E-3</c:v>
                </c:pt>
                <c:pt idx="456">
                  <c:v>-3.5076129267119782E-3</c:v>
                </c:pt>
                <c:pt idx="457">
                  <c:v>-3.4897298969349677E-3</c:v>
                </c:pt>
                <c:pt idx="458">
                  <c:v>-3.4723266549274712E-3</c:v>
                </c:pt>
                <c:pt idx="459">
                  <c:v>-3.4638141846787818E-3</c:v>
                </c:pt>
                <c:pt idx="460">
                  <c:v>-3.4554253532892432E-3</c:v>
                </c:pt>
                <c:pt idx="461">
                  <c:v>-3.4471601610386315E-3</c:v>
                </c:pt>
                <c:pt idx="462">
                  <c:v>-3.4310092067446618E-3</c:v>
                </c:pt>
                <c:pt idx="463">
                  <c:v>-3.4153357826660624E-3</c:v>
                </c:pt>
                <c:pt idx="464">
                  <c:v>-3.4076887858303095E-3</c:v>
                </c:pt>
                <c:pt idx="465">
                  <c:v>-3.4001654280135796E-3</c:v>
                </c:pt>
                <c:pt idx="466">
                  <c:v>-3.3927657093757446E-3</c:v>
                </c:pt>
                <c:pt idx="467">
                  <c:v>-3.3783466985770616E-3</c:v>
                </c:pt>
                <c:pt idx="468">
                  <c:v>-3.3644032259338985E-3</c:v>
                </c:pt>
                <c:pt idx="469">
                  <c:v>-3.3576217029906985E-3</c:v>
                </c:pt>
                <c:pt idx="470">
                  <c:v>-3.3509638190665214E-3</c:v>
                </c:pt>
                <c:pt idx="471">
                  <c:v>-3.3444295744411434E-3</c:v>
                </c:pt>
                <c:pt idx="472">
                  <c:v>-3.3317423804124502E-3</c:v>
                </c:pt>
                <c:pt idx="473">
                  <c:v>-3.3195289873688694E-3</c:v>
                </c:pt>
                <c:pt idx="474">
                  <c:v>-3.3136129386379665E-3</c:v>
                </c:pt>
                <c:pt idx="475">
                  <c:v>-3.3078205290060225E-3</c:v>
                </c:pt>
                <c:pt idx="476">
                  <c:v>-3.3021517585929416E-3</c:v>
                </c:pt>
                <c:pt idx="477">
                  <c:v>-3.2911962593251687E-3</c:v>
                </c:pt>
                <c:pt idx="478">
                  <c:v>-3.2807130692491526E-3</c:v>
                </c:pt>
                <c:pt idx="479">
                  <c:v>-3.275662494930387E-3</c:v>
                </c:pt>
                <c:pt idx="480">
                  <c:v>-3.2707355599503884E-3</c:v>
                </c:pt>
                <c:pt idx="481">
                  <c:v>-3.265932264189253E-3</c:v>
                </c:pt>
                <c:pt idx="482">
                  <c:v>-3.2567083414036802E-3</c:v>
                </c:pt>
                <c:pt idx="483">
                  <c:v>-3.2479554734532456E-3</c:v>
                </c:pt>
                <c:pt idx="484">
                  <c:v>-3.2437703739462975E-3</c:v>
                </c:pt>
                <c:pt idx="485">
                  <c:v>-3.2397089136981805E-3</c:v>
                </c:pt>
                <c:pt idx="486">
                  <c:v>-3.2357710927488625E-3</c:v>
                </c:pt>
                <c:pt idx="487">
                  <c:v>-3.2282786319370871E-3</c:v>
                </c:pt>
                <c:pt idx="488">
                  <c:v>-3.2212562017397417E-3</c:v>
                </c:pt>
                <c:pt idx="489">
                  <c:v>-3.2179365771645152E-3</c:v>
                </c:pt>
                <c:pt idx="490">
                  <c:v>-3.2147405919680239E-3</c:v>
                </c:pt>
                <c:pt idx="491">
                  <c:v>-3.2059610088435164E-3</c:v>
                </c:pt>
                <c:pt idx="492">
                  <c:v>-3.198161105943953E-3</c:v>
                </c:pt>
                <c:pt idx="493">
                  <c:v>-3.1958305959189914E-3</c:v>
                </c:pt>
                <c:pt idx="494">
                  <c:v>-3.193623725192829E-3</c:v>
                </c:pt>
                <c:pt idx="495">
                  <c:v>-3.1895938545822844E-3</c:v>
                </c:pt>
                <c:pt idx="496">
                  <c:v>-3.1860326353161383E-3</c:v>
                </c:pt>
                <c:pt idx="497">
                  <c:v>-3.1844439613637476E-3</c:v>
                </c:pt>
                <c:pt idx="498">
                  <c:v>-3.1829789264703479E-3</c:v>
                </c:pt>
                <c:pt idx="499">
                  <c:v>-3.1816375311155554E-3</c:v>
                </c:pt>
                <c:pt idx="500">
                  <c:v>-3.1788601334536981E-3</c:v>
                </c:pt>
                <c:pt idx="501">
                  <c:v>-3.1767851438235795E-3</c:v>
                </c:pt>
                <c:pt idx="502">
                  <c:v>-3.1761855843814857E-3</c:v>
                </c:pt>
                <c:pt idx="503">
                  <c:v>-3.1757096643580951E-3</c:v>
                </c:pt>
                <c:pt idx="504">
                  <c:v>-3.1751419506553802E-3</c:v>
                </c:pt>
                <c:pt idx="505">
                  <c:v>-3.175042377492332E-3</c:v>
                </c:pt>
                <c:pt idx="506">
                  <c:v>-3.1751846540029049E-3</c:v>
                </c:pt>
                <c:pt idx="507">
                  <c:v>-3.1754505700121172E-3</c:v>
                </c:pt>
                <c:pt idx="508">
                  <c:v>-3.1758401253201285E-3</c:v>
                </c:pt>
                <c:pt idx="509">
                  <c:v>-3.1770033295464017E-3</c:v>
                </c:pt>
                <c:pt idx="510">
                  <c:v>-3.1786096978914102E-3</c:v>
                </c:pt>
                <c:pt idx="511">
                  <c:v>-3.179467197802488E-3</c:v>
                </c:pt>
                <c:pt idx="512">
                  <c:v>-3.1802980848416595E-3</c:v>
                </c:pt>
                <c:pt idx="513">
                  <c:v>-3.1811023590488929E-3</c:v>
                </c:pt>
                <c:pt idx="514">
                  <c:v>-3.1825940620233695E-3</c:v>
                </c:pt>
                <c:pt idx="515">
                  <c:v>-3.1840533280780292E-3</c:v>
                </c:pt>
                <c:pt idx="516">
                  <c:v>-3.184724538405348E-3</c:v>
                </c:pt>
                <c:pt idx="517">
                  <c:v>-3.1856640330074626E-3</c:v>
                </c:pt>
                <c:pt idx="518">
                  <c:v>-3.1891361597535806E-3</c:v>
                </c:pt>
                <c:pt idx="519">
                  <c:v>-3.1915991564801516E-3</c:v>
                </c:pt>
                <c:pt idx="520">
                  <c:v>-3.1927581262003457E-3</c:v>
                </c:pt>
                <c:pt idx="521">
                  <c:v>-3.1926130687942589E-3</c:v>
                </c:pt>
                <c:pt idx="522">
                  <c:v>-3.1911639842618911E-3</c:v>
                </c:pt>
                <c:pt idx="523">
                  <c:v>-3.1884108727231464E-3</c:v>
                </c:pt>
                <c:pt idx="524">
                  <c:v>-3.1843537339382166E-3</c:v>
                </c:pt>
                <c:pt idx="525">
                  <c:v>-3.1789925680270059E-3</c:v>
                </c:pt>
                <c:pt idx="526">
                  <c:v>-3.1723273749095782E-3</c:v>
                </c:pt>
                <c:pt idx="527">
                  <c:v>-3.1631132432119458E-3</c:v>
                </c:pt>
                <c:pt idx="528">
                  <c:v>-3.1536537058585168E-3</c:v>
                </c:pt>
                <c:pt idx="529">
                  <c:v>-3.1428901408192544E-3</c:v>
                </c:pt>
                <c:pt idx="530">
                  <c:v>-3.1308225482540308E-3</c:v>
                </c:pt>
                <c:pt idx="531">
                  <c:v>-3.1174509280029739E-3</c:v>
                </c:pt>
                <c:pt idx="532">
                  <c:v>-3.1027752797063712E-3</c:v>
                </c:pt>
                <c:pt idx="533">
                  <c:v>-3.0867956034841271E-3</c:v>
                </c:pt>
                <c:pt idx="534">
                  <c:v>-3.069511898896593E-3</c:v>
                </c:pt>
                <c:pt idx="535">
                  <c:v>-3.0509241660237052E-3</c:v>
                </c:pt>
                <c:pt idx="536">
                  <c:v>-3.0310324044657833E-3</c:v>
                </c:pt>
                <c:pt idx="537">
                  <c:v>-3.0098366140629551E-3</c:v>
                </c:pt>
                <c:pt idx="538">
                  <c:v>-2.9873367946153806E-3</c:v>
                </c:pt>
                <c:pt idx="539">
                  <c:v>-2.9635329458832516E-3</c:v>
                </c:pt>
                <c:pt idx="540">
                  <c:v>-2.9384250675068557E-3</c:v>
                </c:pt>
                <c:pt idx="541">
                  <c:v>-2.912013159326321E-3</c:v>
                </c:pt>
                <c:pt idx="542">
                  <c:v>-2.8842972210219031E-3</c:v>
                </c:pt>
                <c:pt idx="543">
                  <c:v>-2.8552772523537939E-3</c:v>
                </c:pt>
                <c:pt idx="544">
                  <c:v>-2.8249532528823451E-3</c:v>
                </c:pt>
                <c:pt idx="545">
                  <c:v>-2.7933252222078764E-3</c:v>
                </c:pt>
                <c:pt idx="546">
                  <c:v>-2.7603931602504517E-3</c:v>
                </c:pt>
                <c:pt idx="547">
                  <c:v>-2.7261570664904866E-3</c:v>
                </c:pt>
                <c:pt idx="548">
                  <c:v>-2.6906169405682689E-3</c:v>
                </c:pt>
                <c:pt idx="549">
                  <c:v>-2.6537727820841184E-3</c:v>
                </c:pt>
                <c:pt idx="550">
                  <c:v>-2.6156245907582587E-3</c:v>
                </c:pt>
                <c:pt idx="551">
                  <c:v>-2.5761723659112334E-3</c:v>
                </c:pt>
                <c:pt idx="552">
                  <c:v>-2.5354161075430426E-3</c:v>
                </c:pt>
                <c:pt idx="553">
                  <c:v>-2.4933558147344215E-3</c:v>
                </c:pt>
                <c:pt idx="554">
                  <c:v>-2.449991487325498E-3</c:v>
                </c:pt>
                <c:pt idx="555">
                  <c:v>-2.4053231247567197E-3</c:v>
                </c:pt>
                <c:pt idx="556">
                  <c:v>-2.3593507265484703E-3</c:v>
                </c:pt>
                <c:pt idx="557">
                  <c:v>-2.3120742922211335E-3</c:v>
                </c:pt>
                <c:pt idx="558">
                  <c:v>-2.2634938210952527E-3</c:v>
                </c:pt>
                <c:pt idx="559">
                  <c:v>-2.2136093130509238E-3</c:v>
                </c:pt>
                <c:pt idx="560">
                  <c:v>-2.1624207670889461E-3</c:v>
                </c:pt>
                <c:pt idx="561">
                  <c:v>-2.0946397960370788E-3</c:v>
                </c:pt>
                <c:pt idx="562">
                  <c:v>-2.0561315599332275E-3</c:v>
                </c:pt>
                <c:pt idx="563">
                  <c:v>-2.0010308975004776E-3</c:v>
                </c:pt>
                <c:pt idx="564">
                  <c:v>-1.9446261949918053E-3</c:v>
                </c:pt>
                <c:pt idx="565">
                  <c:v>-1.8869174518476584E-3</c:v>
                </c:pt>
                <c:pt idx="566">
                  <c:v>-1.8279046674685162E-3</c:v>
                </c:pt>
                <c:pt idx="567">
                  <c:v>-1.7500975652939843E-3</c:v>
                </c:pt>
                <c:pt idx="568">
                  <c:v>-1.7062185105576333E-3</c:v>
                </c:pt>
                <c:pt idx="569">
                  <c:v>-1.645292308394275E-3</c:v>
                </c:pt>
                <c:pt idx="570">
                  <c:v>-1.5850607735146127E-3</c:v>
                </c:pt>
                <c:pt idx="571">
                  <c:v>-1.5255239059186465E-3</c:v>
                </c:pt>
                <c:pt idx="572">
                  <c:v>-1.4666817060859927E-3</c:v>
                </c:pt>
                <c:pt idx="573">
                  <c:v>-1.4085341743763635E-3</c:v>
                </c:pt>
                <c:pt idx="574">
                  <c:v>-1.3510813111095032E-3</c:v>
                </c:pt>
                <c:pt idx="575">
                  <c:v>-1.2943231166850921E-3</c:v>
                </c:pt>
                <c:pt idx="576">
                  <c:v>-1.2382595913429384E-3</c:v>
                </c:pt>
                <c:pt idx="577">
                  <c:v>-1.1828907354027862E-3</c:v>
                </c:pt>
                <c:pt idx="578">
                  <c:v>-1.1282165493042839E-3</c:v>
                </c:pt>
                <c:pt idx="579">
                  <c:v>-1.0589435176333595E-3</c:v>
                </c:pt>
                <c:pt idx="580">
                  <c:v>-1.0058574537419318E-3</c:v>
                </c:pt>
                <c:pt idx="581">
                  <c:v>-9.5346604130686075E-4</c:v>
                </c:pt>
                <c:pt idx="582">
                  <c:v>-9.0176928120744293E-4</c:v>
                </c:pt>
                <c:pt idx="583">
                  <c:v>-8.5076717438958838E-4</c:v>
                </c:pt>
                <c:pt idx="584">
                  <c:v>-8.0045972171927104E-4</c:v>
                </c:pt>
                <c:pt idx="585">
                  <c:v>-7.5084692407578757E-4</c:v>
                </c:pt>
                <c:pt idx="586">
                  <c:v>-7.0192878224517585E-4</c:v>
                </c:pt>
                <c:pt idx="587">
                  <c:v>-6.5370529719999126E-4</c:v>
                </c:pt>
                <c:pt idx="588">
                  <c:v>-6.0617646971294903E-4</c:v>
                </c:pt>
                <c:pt idx="589">
                  <c:v>-5.5934230061005508E-4</c:v>
                </c:pt>
                <c:pt idx="590">
                  <c:v>-5.1320279069066999E-4</c:v>
                </c:pt>
                <c:pt idx="591">
                  <c:v>-4.6775794080744504E-4</c:v>
                </c:pt>
                <c:pt idx="592">
                  <c:v>-4.2300775169312743E-4</c:v>
                </c:pt>
                <c:pt idx="593">
                  <c:v>-3.789522241737231E-4</c:v>
                </c:pt>
                <c:pt idx="594">
                  <c:v>-3.355913589953019E-4</c:v>
                </c:pt>
                <c:pt idx="595">
                  <c:v>-2.9292515689061105E-4</c:v>
                </c:pt>
                <c:pt idx="596">
                  <c:v>-2.5095361860572041E-4</c:v>
                </c:pt>
                <c:pt idx="597">
                  <c:v>-2.0967674487337717E-4</c:v>
                </c:pt>
                <c:pt idx="598">
                  <c:v>-1.690945364529739E-4</c:v>
                </c:pt>
                <c:pt idx="599">
                  <c:v>-1.2920699399732172E-4</c:v>
                </c:pt>
                <c:pt idx="600">
                  <c:v>-9.0014118212522476E-5</c:v>
                </c:pt>
                <c:pt idx="601">
                  <c:v>-5.1515909764709988E-5</c:v>
                </c:pt>
                <c:pt idx="602">
                  <c:v>-1.3712369399954127E-5</c:v>
                </c:pt>
                <c:pt idx="603">
                  <c:v>2.3396502335515379E-5</c:v>
                </c:pt>
                <c:pt idx="604">
                  <c:v>5.9810704735596687E-5</c:v>
                </c:pt>
                <c:pt idx="605">
                  <c:v>9.5530237187446687E-5</c:v>
                </c:pt>
                <c:pt idx="606">
                  <c:v>1.3055509907822227E-4</c:v>
                </c:pt>
                <c:pt idx="607">
                  <c:v>1.6488528976843497E-4</c:v>
                </c:pt>
                <c:pt idx="608">
                  <c:v>1.9852080864524169E-4</c:v>
                </c:pt>
                <c:pt idx="609">
                  <c:v>2.3146165517573536E-4</c:v>
                </c:pt>
                <c:pt idx="610">
                  <c:v>2.6370782877371823E-4</c:v>
                </c:pt>
                <c:pt idx="611">
                  <c:v>2.9525932887963791E-4</c:v>
                </c:pt>
                <c:pt idx="612">
                  <c:v>3.2611615493394197E-4</c:v>
                </c:pt>
                <c:pt idx="613">
                  <c:v>3.5627830640372338E-4</c:v>
                </c:pt>
                <c:pt idx="614">
                  <c:v>3.8574578278272043E-4</c:v>
                </c:pt>
                <c:pt idx="615">
                  <c:v>4.1451858353802606E-4</c:v>
                </c:pt>
                <c:pt idx="616">
                  <c:v>4.544216862001349E-4</c:v>
                </c:pt>
                <c:pt idx="617">
                  <c:v>4.6998015620580702E-4</c:v>
                </c:pt>
                <c:pt idx="618">
                  <c:v>4.9666892715904964E-4</c:v>
                </c:pt>
                <c:pt idx="619">
                  <c:v>5.2266302054349012E-4</c:v>
                </c:pt>
                <c:pt idx="620">
                  <c:v>5.4845410764947644E-4</c:v>
                </c:pt>
                <c:pt idx="621">
                  <c:v>5.7505725256312701E-4</c:v>
                </c:pt>
                <c:pt idx="622">
                  <c:v>6.105175566695209E-4</c:v>
                </c:pt>
                <c:pt idx="623">
                  <c:v>6.4323680174283027E-4</c:v>
                </c:pt>
                <c:pt idx="624">
                  <c:v>6.6851306386617182E-4</c:v>
                </c:pt>
                <c:pt idx="625">
                  <c:v>6.9880026749125079E-4</c:v>
                </c:pt>
                <c:pt idx="626">
                  <c:v>7.2994710476059765E-4</c:v>
                </c:pt>
                <c:pt idx="627">
                  <c:v>7.6195357575414846E-4</c:v>
                </c:pt>
                <c:pt idx="628">
                  <c:v>7.948196808715835E-4</c:v>
                </c:pt>
                <c:pt idx="629">
                  <c:v>8.2854542027277489E-4</c:v>
                </c:pt>
                <c:pt idx="630">
                  <c:v>8.631307941975308E-4</c:v>
                </c:pt>
                <c:pt idx="631">
                  <c:v>8.9857580296559547E-4</c:v>
                </c:pt>
                <c:pt idx="632">
                  <c:v>9.3488044681677707E-4</c:v>
                </c:pt>
                <c:pt idx="633">
                  <c:v>9.720447259109477E-4</c:v>
                </c:pt>
                <c:pt idx="634">
                  <c:v>1.0100686405678516E-3</c:v>
                </c:pt>
                <c:pt idx="635">
                  <c:v>1.0489521911871691E-3</c:v>
                </c:pt>
                <c:pt idx="636">
                  <c:v>1.0886953778488362E-3</c:v>
                </c:pt>
                <c:pt idx="637">
                  <c:v>1.1292982009525332E-3</c:v>
                </c:pt>
                <c:pt idx="638">
                  <c:v>1.1707606606581322E-3</c:v>
                </c:pt>
                <c:pt idx="639">
                  <c:v>1.2130827574452496E-3</c:v>
                </c:pt>
                <c:pt idx="640">
                  <c:v>1.2562644914737575E-3</c:v>
                </c:pt>
                <c:pt idx="641">
                  <c:v>1.3003058631433362E-3</c:v>
                </c:pt>
                <c:pt idx="642">
                  <c:v>1.3452068727737299E-3</c:v>
                </c:pt>
                <c:pt idx="643">
                  <c:v>1.3909675205248107E-3</c:v>
                </c:pt>
                <c:pt idx="644">
                  <c:v>1.437587807036067E-3</c:v>
                </c:pt>
                <c:pt idx="645">
                  <c:v>1.4850677323874351E-3</c:v>
                </c:pt>
                <c:pt idx="646">
                  <c:v>1.533407296978595E-3</c:v>
                </c:pt>
                <c:pt idx="647">
                  <c:v>1.5826065011292911E-3</c:v>
                </c:pt>
                <c:pt idx="648">
                  <c:v>1.6326653453191398E-3</c:v>
                </c:pt>
                <c:pt idx="649">
                  <c:v>1.683583829708013E-3</c:v>
                </c:pt>
                <c:pt idx="650">
                  <c:v>1.7353619548554633E-3</c:v>
                </c:pt>
                <c:pt idx="651">
                  <c:v>1.7879997210012988E-3</c:v>
                </c:pt>
                <c:pt idx="652">
                  <c:v>1.8414971285451998E-3</c:v>
                </c:pt>
                <c:pt idx="653">
                  <c:v>1.8958541778868465E-3</c:v>
                </c:pt>
                <c:pt idx="654">
                  <c:v>1.9510708695058554E-3</c:v>
                </c:pt>
                <c:pt idx="655">
                  <c:v>2.0071472035620985E-3</c:v>
                </c:pt>
                <c:pt idx="656">
                  <c:v>2.0640831807750004E-3</c:v>
                </c:pt>
                <c:pt idx="657">
                  <c:v>2.1218788012244971E-3</c:v>
                </c:pt>
                <c:pt idx="658">
                  <c:v>2.1805340657099492E-3</c:v>
                </c:pt>
                <c:pt idx="659">
                  <c:v>2.2400489742313567E-3</c:v>
                </c:pt>
                <c:pt idx="660">
                  <c:v>2.3004235274282081E-3</c:v>
                </c:pt>
                <c:pt idx="661">
                  <c:v>2.3616577257001836E-3</c:v>
                </c:pt>
                <c:pt idx="662">
                  <c:v>2.4237515696068357E-3</c:v>
                </c:pt>
                <c:pt idx="663">
                  <c:v>2.4867050594679085E-3</c:v>
                </c:pt>
                <c:pt idx="664">
                  <c:v>2.5505181957630185E-3</c:v>
                </c:pt>
                <c:pt idx="665">
                  <c:v>2.6151909788119099E-3</c:v>
                </c:pt>
                <c:pt idx="666">
                  <c:v>2.680723409254071E-3</c:v>
                </c:pt>
                <c:pt idx="667">
                  <c:v>2.7662425474250796E-3</c:v>
                </c:pt>
                <c:pt idx="668">
                  <c:v>2.8337398878619524E-3</c:v>
                </c:pt>
                <c:pt idx="669">
                  <c:v>2.9020968771309441E-3</c:v>
                </c:pt>
                <c:pt idx="670">
                  <c:v>2.9713135159514792E-3</c:v>
                </c:pt>
                <c:pt idx="671">
                  <c:v>3.0413833163134285E-3</c:v>
                </c:pt>
                <c:pt idx="672">
                  <c:v>3.1161889193453973E-3</c:v>
                </c:pt>
                <c:pt idx="673">
                  <c:v>3.1800271834203642E-3</c:v>
                </c:pt>
                <c:pt idx="674">
                  <c:v>3.247777228754245E-3</c:v>
                </c:pt>
                <c:pt idx="675">
                  <c:v>3.3144793478623313E-3</c:v>
                </c:pt>
                <c:pt idx="676">
                  <c:v>3.3801335400251986E-3</c:v>
                </c:pt>
                <c:pt idx="677">
                  <c:v>3.4447398048431666E-3</c:v>
                </c:pt>
                <c:pt idx="678">
                  <c:v>3.5082981415968106E-3</c:v>
                </c:pt>
                <c:pt idx="679">
                  <c:v>3.5708085498864506E-3</c:v>
                </c:pt>
                <c:pt idx="680">
                  <c:v>3.6322710289926619E-3</c:v>
                </c:pt>
                <c:pt idx="681">
                  <c:v>3.6926855785157642E-3</c:v>
                </c:pt>
                <c:pt idx="682">
                  <c:v>3.7520521978162691E-3</c:v>
                </c:pt>
                <c:pt idx="683">
                  <c:v>3.8103708864944963E-3</c:v>
                </c:pt>
                <c:pt idx="684">
                  <c:v>3.8676416440708294E-3</c:v>
                </c:pt>
                <c:pt idx="685">
                  <c:v>3.923864469825844E-3</c:v>
                </c:pt>
                <c:pt idx="686">
                  <c:v>3.9790393634397958E-3</c:v>
                </c:pt>
                <c:pt idx="687">
                  <c:v>4.0331663245130045E-3</c:v>
                </c:pt>
                <c:pt idx="688">
                  <c:v>4.0862453524059816E-3</c:v>
                </c:pt>
                <c:pt idx="689">
                  <c:v>4.1382764466391109E-3</c:v>
                </c:pt>
                <c:pt idx="690">
                  <c:v>4.1892596068127119E-3</c:v>
                </c:pt>
                <c:pt idx="691">
                  <c:v>4.2391948325271045E-3</c:v>
                </c:pt>
                <c:pt idx="692">
                  <c:v>4.2880821233026722E-3</c:v>
                </c:pt>
                <c:pt idx="693">
                  <c:v>4.3359214786597988E-3</c:v>
                </c:pt>
                <c:pt idx="694">
                  <c:v>4.3827128983586761E-3</c:v>
                </c:pt>
                <c:pt idx="695">
                  <c:v>4.4284563818397515E-3</c:v>
                </c:pt>
                <c:pt idx="696">
                  <c:v>4.473151928703345E-3</c:v>
                </c:pt>
                <c:pt idx="697">
                  <c:v>4.5167995386297122E-3</c:v>
                </c:pt>
                <c:pt idx="698">
                  <c:v>4.5593992112191728E-3</c:v>
                </c:pt>
                <c:pt idx="699">
                  <c:v>4.6009509459921105E-3</c:v>
                </c:pt>
                <c:pt idx="700">
                  <c:v>4.6414547427087172E-3</c:v>
                </c:pt>
                <c:pt idx="701">
                  <c:v>4.6809106010492485E-3</c:v>
                </c:pt>
                <c:pt idx="702">
                  <c:v>4.7193185205340882E-3</c:v>
                </c:pt>
                <c:pt idx="703">
                  <c:v>4.756678500923428E-3</c:v>
                </c:pt>
                <c:pt idx="704">
                  <c:v>4.7929905418975238E-3</c:v>
                </c:pt>
                <c:pt idx="705">
                  <c:v>4.8282546430566953E-3</c:v>
                </c:pt>
                <c:pt idx="706">
                  <c:v>4.8624708041611342E-3</c:v>
                </c:pt>
                <c:pt idx="707">
                  <c:v>4.8956390248111603E-3</c:v>
                </c:pt>
                <c:pt idx="708">
                  <c:v>4.9277593047669654E-3</c:v>
                </c:pt>
                <c:pt idx="709">
                  <c:v>4.9588316439486135E-3</c:v>
                </c:pt>
                <c:pt idx="710">
                  <c:v>4.9888560418764882E-3</c:v>
                </c:pt>
                <c:pt idx="711">
                  <c:v>5.0178324983107814E-3</c:v>
                </c:pt>
                <c:pt idx="712">
                  <c:v>5.0457610130116848E-3</c:v>
                </c:pt>
                <c:pt idx="713">
                  <c:v>5.0726415856594542E-3</c:v>
                </c:pt>
                <c:pt idx="714">
                  <c:v>5.0984742161741536E-3</c:v>
                </c:pt>
                <c:pt idx="715">
                  <c:v>5.1232589043159749E-3</c:v>
                </c:pt>
                <c:pt idx="716">
                  <c:v>5.1469956496852376E-3</c:v>
                </c:pt>
                <c:pt idx="717">
                  <c:v>5.1696844522819418E-3</c:v>
                </c:pt>
                <c:pt idx="718">
                  <c:v>5.1913253117863434E-3</c:v>
                </c:pt>
                <c:pt idx="719">
                  <c:v>5.211918227958634E-3</c:v>
                </c:pt>
                <c:pt idx="720">
                  <c:v>5.2314632008787498E-3</c:v>
                </c:pt>
                <c:pt idx="721">
                  <c:v>5.2499602300670745E-3</c:v>
                </c:pt>
                <c:pt idx="722">
                  <c:v>5.26740931568348E-3</c:v>
                </c:pt>
                <c:pt idx="723">
                  <c:v>5.2849779865615787E-3</c:v>
                </c:pt>
                <c:pt idx="724">
                  <c:v>5.2996712869379792E-3</c:v>
                </c:pt>
                <c:pt idx="725">
                  <c:v>5.3160851669531439E-3</c:v>
                </c:pt>
                <c:pt idx="726">
                  <c:v>5.3330911456583863E-3</c:v>
                </c:pt>
                <c:pt idx="727">
                  <c:v>5.3506892232935144E-3</c:v>
                </c:pt>
                <c:pt idx="728">
                  <c:v>5.3688793999384643E-3</c:v>
                </c:pt>
                <c:pt idx="729">
                  <c:v>5.3876616756731721E-3</c:v>
                </c:pt>
                <c:pt idx="730">
                  <c:v>5.4070360504976378E-3</c:v>
                </c:pt>
                <c:pt idx="731">
                  <c:v>5.4270025246516695E-3</c:v>
                </c:pt>
                <c:pt idx="732">
                  <c:v>5.4475610981352673E-3</c:v>
                </c:pt>
                <c:pt idx="733">
                  <c:v>5.4687117711083033E-3</c:v>
                </c:pt>
                <c:pt idx="734">
                  <c:v>5.4904545437306496E-3</c:v>
                </c:pt>
                <c:pt idx="735">
                  <c:v>5.51278941592237E-3</c:v>
                </c:pt>
                <c:pt idx="736">
                  <c:v>5.5357163879232729E-3</c:v>
                </c:pt>
                <c:pt idx="737">
                  <c:v>5.5592354598132943E-3</c:v>
                </c:pt>
                <c:pt idx="738">
                  <c:v>5.5833466317523062E-3</c:v>
                </c:pt>
                <c:pt idx="739">
                  <c:v>5.6080499038202447E-3</c:v>
                </c:pt>
                <c:pt idx="740">
                  <c:v>5.633345276176982E-3</c:v>
                </c:pt>
                <c:pt idx="741">
                  <c:v>5.659232748822518E-3</c:v>
                </c:pt>
                <c:pt idx="742">
                  <c:v>5.685712321996661E-3</c:v>
                </c:pt>
                <c:pt idx="743">
                  <c:v>5.712783995939219E-3</c:v>
                </c:pt>
                <c:pt idx="744">
                  <c:v>5.7404477705702561E-3</c:v>
                </c:pt>
                <c:pt idx="745">
                  <c:v>5.7687036461295804E-3</c:v>
                </c:pt>
                <c:pt idx="746">
                  <c:v>5.797551622697128E-3</c:v>
                </c:pt>
                <c:pt idx="747">
                  <c:v>5.8269917004327709E-3</c:v>
                </c:pt>
                <c:pt idx="748">
                  <c:v>5.8570238795763174E-3</c:v>
                </c:pt>
                <c:pt idx="749">
                  <c:v>5.8876481602077035E-3</c:v>
                </c:pt>
                <c:pt idx="750">
                  <c:v>5.9188645424068653E-3</c:v>
                </c:pt>
                <c:pt idx="751">
                  <c:v>5.950673026493547E-3</c:v>
                </c:pt>
                <c:pt idx="752">
                  <c:v>5.9830736124677486E-3</c:v>
                </c:pt>
                <c:pt idx="753">
                  <c:v>6.0160663004893422E-3</c:v>
                </c:pt>
                <c:pt idx="754">
                  <c:v>6.0496510908780721E-3</c:v>
                </c:pt>
                <c:pt idx="755">
                  <c:v>6.0838279837938103E-3</c:v>
                </c:pt>
                <c:pt idx="756">
                  <c:v>6.1185969791566208E-3</c:v>
                </c:pt>
                <c:pt idx="757">
                  <c:v>6.1539580772862479E-3</c:v>
                </c:pt>
                <c:pt idx="758">
                  <c:v>6.1899112784224997E-3</c:v>
                </c:pt>
                <c:pt idx="759">
                  <c:v>6.2264565828051843E-3</c:v>
                </c:pt>
                <c:pt idx="760">
                  <c:v>6.2635939902744298E-3</c:v>
                </c:pt>
                <c:pt idx="761">
                  <c:v>6.3013235013897884E-3</c:v>
                </c:pt>
                <c:pt idx="762">
                  <c:v>6.3396451160713241E-3</c:v>
                </c:pt>
                <c:pt idx="763">
                  <c:v>6.3785588347187172E-3</c:v>
                </c:pt>
                <c:pt idx="764">
                  <c:v>6.4180646574119038E-3</c:v>
                </c:pt>
                <c:pt idx="765">
                  <c:v>6.458162584310756E-3</c:v>
                </c:pt>
                <c:pt idx="766">
                  <c:v>6.4988526156550819E-3</c:v>
                </c:pt>
                <c:pt idx="767">
                  <c:v>6.5401347517646258E-3</c:v>
                </c:pt>
                <c:pt idx="768">
                  <c:v>6.5820089927193237E-3</c:v>
                </c:pt>
                <c:pt idx="769">
                  <c:v>6.6244753385991118E-3</c:v>
                </c:pt>
                <c:pt idx="770">
                  <c:v>6.6675337898036702E-3</c:v>
                </c:pt>
                <c:pt idx="771">
                  <c:v>6.7111843465728072E-3</c:v>
                </c:pt>
                <c:pt idx="772">
                  <c:v>6.7554270089864588E-3</c:v>
                </c:pt>
                <c:pt idx="773">
                  <c:v>6.8002617772844332E-3</c:v>
                </c:pt>
                <c:pt idx="774">
                  <c:v>6.8456886517864746E-3</c:v>
                </c:pt>
                <c:pt idx="775">
                  <c:v>6.8917076325725191E-3</c:v>
                </c:pt>
                <c:pt idx="776">
                  <c:v>6.9377459032882172E-3</c:v>
                </c:pt>
                <c:pt idx="777">
                  <c:v>6.9857878141776908E-3</c:v>
                </c:pt>
                <c:pt idx="778">
                  <c:v>7.0261349731914891E-3</c:v>
                </c:pt>
                <c:pt idx="779">
                  <c:v>7.0684417085065121E-3</c:v>
                </c:pt>
                <c:pt idx="780">
                  <c:v>7.1094899103041342E-3</c:v>
                </c:pt>
                <c:pt idx="781">
                  <c:v>7.1492795780248031E-3</c:v>
                </c:pt>
                <c:pt idx="782">
                  <c:v>7.1878107113487744E-3</c:v>
                </c:pt>
                <c:pt idx="783">
                  <c:v>7.2250833097964318E-3</c:v>
                </c:pt>
                <c:pt idx="784">
                  <c:v>7.2610973728881589E-3</c:v>
                </c:pt>
                <c:pt idx="785">
                  <c:v>7.2958529003841477E-3</c:v>
                </c:pt>
                <c:pt idx="786">
                  <c:v>7.3293498919646538E-3</c:v>
                </c:pt>
                <c:pt idx="787">
                  <c:v>7.3615883470701249E-3</c:v>
                </c:pt>
                <c:pt idx="788">
                  <c:v>7.3925682656206249E-3</c:v>
                </c:pt>
                <c:pt idx="789">
                  <c:v>7.4222896470566013E-3</c:v>
                </c:pt>
                <c:pt idx="790">
                  <c:v>7.4507524911382461E-3</c:v>
                </c:pt>
                <c:pt idx="791">
                  <c:v>7.4779567977056871E-3</c:v>
                </c:pt>
                <c:pt idx="792">
                  <c:v>7.503902566279308E-3</c:v>
                </c:pt>
                <c:pt idx="793">
                  <c:v>7.5285897966992366E-3</c:v>
                </c:pt>
                <c:pt idx="794">
                  <c:v>7.5520184887256647E-3</c:v>
                </c:pt>
                <c:pt idx="795">
                  <c:v>7.5741886420388482E-3</c:v>
                </c:pt>
                <c:pt idx="796">
                  <c:v>7.5951002563989789E-3</c:v>
                </c:pt>
                <c:pt idx="797">
                  <c:v>7.6147533316461846E-3</c:v>
                </c:pt>
                <c:pt idx="798">
                  <c:v>7.6331478675406572E-3</c:v>
                </c:pt>
                <c:pt idx="799">
                  <c:v>7.6502838639225246E-3</c:v>
                </c:pt>
                <c:pt idx="800">
                  <c:v>7.6661613205519785E-3</c:v>
                </c:pt>
                <c:pt idx="801">
                  <c:v>7.680780237349083E-3</c:v>
                </c:pt>
                <c:pt idx="802">
                  <c:v>7.6941406140740298E-3</c:v>
                </c:pt>
                <c:pt idx="803">
                  <c:v>7.706242450646883E-3</c:v>
                </c:pt>
                <c:pt idx="804">
                  <c:v>7.7170857469077703E-3</c:v>
                </c:pt>
                <c:pt idx="805">
                  <c:v>7.7266705027767557E-3</c:v>
                </c:pt>
                <c:pt idx="806">
                  <c:v>7.7349967180939672E-3</c:v>
                </c:pt>
                <c:pt idx="807">
                  <c:v>7.7420643927794686E-3</c:v>
                </c:pt>
                <c:pt idx="808">
                  <c:v>7.747873526913196E-3</c:v>
                </c:pt>
                <c:pt idx="809">
                  <c:v>7.7524241201754052E-3</c:v>
                </c:pt>
                <c:pt idx="810">
                  <c:v>7.7557161727259682E-3</c:v>
                </c:pt>
                <c:pt idx="811">
                  <c:v>7.7577496843250771E-3</c:v>
                </c:pt>
                <c:pt idx="812">
                  <c:v>7.7585246552125398E-3</c:v>
                </c:pt>
                <c:pt idx="813">
                  <c:v>7.7580410852284842E-3</c:v>
                </c:pt>
                <c:pt idx="814">
                  <c:v>7.7562989743729105E-3</c:v>
                </c:pt>
                <c:pt idx="815">
                  <c:v>7.7532983227257546E-3</c:v>
                </c:pt>
                <c:pt idx="816">
                  <c:v>7.7490391302070805E-3</c:v>
                </c:pt>
                <c:pt idx="817">
                  <c:v>7.7435213969767602E-3</c:v>
                </c:pt>
                <c:pt idx="818">
                  <c:v>7.7367451230347939E-3</c:v>
                </c:pt>
                <c:pt idx="819">
                  <c:v>7.7287103085410536E-3</c:v>
                </c:pt>
                <c:pt idx="820">
                  <c:v>7.7194169534955392E-3</c:v>
                </c:pt>
                <c:pt idx="821">
                  <c:v>7.708865057978187E-3</c:v>
                </c:pt>
                <c:pt idx="822">
                  <c:v>7.6970546221488689E-3</c:v>
                </c:pt>
                <c:pt idx="823">
                  <c:v>7.6839856460875211E-3</c:v>
                </c:pt>
                <c:pt idx="824">
                  <c:v>7.6696581299540156E-3</c:v>
                </c:pt>
                <c:pt idx="825">
                  <c:v>7.6540720739082246E-3</c:v>
                </c:pt>
                <c:pt idx="826">
                  <c:v>7.6372274781100202E-3</c:v>
                </c:pt>
                <c:pt idx="827">
                  <c:v>7.6191243427992106E-3</c:v>
                </c:pt>
                <c:pt idx="828">
                  <c:v>7.5986605281563868E-3</c:v>
                </c:pt>
                <c:pt idx="829">
                  <c:v>7.5815815858959468E-3</c:v>
                </c:pt>
                <c:pt idx="830">
                  <c:v>7.5646170982412997E-3</c:v>
                </c:pt>
                <c:pt idx="831">
                  <c:v>7.5490402140587776E-3</c:v>
                </c:pt>
                <c:pt idx="832">
                  <c:v>7.5348509331885083E-3</c:v>
                </c:pt>
                <c:pt idx="833">
                  <c:v>7.5220492554706198E-3</c:v>
                </c:pt>
                <c:pt idx="834">
                  <c:v>7.5106351806653038E-3</c:v>
                </c:pt>
                <c:pt idx="835">
                  <c:v>7.5006087087725604E-3</c:v>
                </c:pt>
                <c:pt idx="836">
                  <c:v>7.4919698396325174E-3</c:v>
                </c:pt>
                <c:pt idx="837">
                  <c:v>7.4847185731652388E-3</c:v>
                </c:pt>
                <c:pt idx="838">
                  <c:v>7.4788549092108525E-3</c:v>
                </c:pt>
                <c:pt idx="839">
                  <c:v>7.4738526840967268E-3</c:v>
                </c:pt>
                <c:pt idx="840">
                  <c:v>7.470962454041441E-3</c:v>
                </c:pt>
                <c:pt idx="841">
                  <c:v>7.4694598263391754E-3</c:v>
                </c:pt>
                <c:pt idx="842">
                  <c:v>7.469344801069866E-3</c:v>
                </c:pt>
                <c:pt idx="843">
                  <c:v>7.4706173781535767E-3</c:v>
                </c:pt>
                <c:pt idx="844">
                  <c:v>7.4732775576702437E-3</c:v>
                </c:pt>
                <c:pt idx="845">
                  <c:v>7.4773253396198669E-3</c:v>
                </c:pt>
                <c:pt idx="846">
                  <c:v>7.4827607240024463E-3</c:v>
                </c:pt>
                <c:pt idx="847">
                  <c:v>7.489583710897918E-3</c:v>
                </c:pt>
                <c:pt idx="848">
                  <c:v>7.497794300466154E-3</c:v>
                </c:pt>
                <c:pt idx="849">
                  <c:v>7.5073924927071545E-3</c:v>
                </c:pt>
                <c:pt idx="850">
                  <c:v>7.5183782877807914E-3</c:v>
                </c:pt>
                <c:pt idx="851">
                  <c:v>7.530751685846937E-3</c:v>
                </c:pt>
                <c:pt idx="852">
                  <c:v>7.5445126869855272E-3</c:v>
                </c:pt>
                <c:pt idx="853">
                  <c:v>7.5596612913564343E-3</c:v>
                </c:pt>
                <c:pt idx="854">
                  <c:v>7.5761974991994663E-3</c:v>
                </c:pt>
                <c:pt idx="855">
                  <c:v>7.5941213105945593E-3</c:v>
                </c:pt>
                <c:pt idx="856">
                  <c:v>7.6134327258614576E-3</c:v>
                </c:pt>
                <c:pt idx="857">
                  <c:v>7.6341317452399693E-3</c:v>
                </c:pt>
                <c:pt idx="858">
                  <c:v>7.6562183688100305E-3</c:v>
                </c:pt>
                <c:pt idx="859">
                  <c:v>7.6796925969713214E-3</c:v>
                </c:pt>
                <c:pt idx="860">
                  <c:v>7.7045544298837143E-3</c:v>
                </c:pt>
                <c:pt idx="861">
                  <c:v>7.7308038679468893E-3</c:v>
                </c:pt>
                <c:pt idx="862">
                  <c:v>7.7584409114006547E-3</c:v>
                </c:pt>
                <c:pt idx="863">
                  <c:v>7.7874655606446908E-3</c:v>
                </c:pt>
                <c:pt idx="864">
                  <c:v>7.8178778159188056E-3</c:v>
                </c:pt>
                <c:pt idx="865">
                  <c:v>7.8496776775427435E-3</c:v>
                </c:pt>
                <c:pt idx="866">
                  <c:v>7.8828651459961208E-3</c:v>
                </c:pt>
                <c:pt idx="867">
                  <c:v>7.9174402216786177E-3</c:v>
                </c:pt>
                <c:pt idx="868">
                  <c:v>7.9534029048300425E-3</c:v>
                </c:pt>
                <c:pt idx="869">
                  <c:v>7.9907531960099476E-3</c:v>
                </c:pt>
                <c:pt idx="870">
                  <c:v>8.0294910956180132E-3</c:v>
                </c:pt>
                <c:pt idx="871">
                  <c:v>8.0696166040539197E-3</c:v>
                </c:pt>
                <c:pt idx="872">
                  <c:v>8.1111297217972833E-3</c:v>
                </c:pt>
                <c:pt idx="873">
                  <c:v>8.1669415101561782E-3</c:v>
                </c:pt>
                <c:pt idx="874">
                  <c:v>8.1983187872047836E-3</c:v>
                </c:pt>
                <c:pt idx="875">
                  <c:v>8.243994735988025E-3</c:v>
                </c:pt>
                <c:pt idx="876">
                  <c:v>8.291058295917253E-3</c:v>
                </c:pt>
                <c:pt idx="877">
                  <c:v>8.3395094678717641E-3</c:v>
                </c:pt>
                <c:pt idx="878">
                  <c:v>8.4040483933822685E-3</c:v>
                </c:pt>
                <c:pt idx="879">
                  <c:v>8.4704608013286276E-3</c:v>
                </c:pt>
                <c:pt idx="880">
                  <c:v>8.5296481017493875E-3</c:v>
                </c:pt>
                <c:pt idx="881">
                  <c:v>8.5729384125254882E-3</c:v>
                </c:pt>
                <c:pt idx="882">
                  <c:v>8.6222519297152189E-3</c:v>
                </c:pt>
                <c:pt idx="883">
                  <c:v>8.6702819206596615E-3</c:v>
                </c:pt>
                <c:pt idx="884">
                  <c:v>8.7170283847193275E-3</c:v>
                </c:pt>
                <c:pt idx="885">
                  <c:v>8.7624913215744726E-3</c:v>
                </c:pt>
                <c:pt idx="886">
                  <c:v>8.8066707305056724E-3</c:v>
                </c:pt>
                <c:pt idx="887">
                  <c:v>8.8495666111931826E-3</c:v>
                </c:pt>
                <c:pt idx="888">
                  <c:v>8.8911789632373228E-3</c:v>
                </c:pt>
                <c:pt idx="889">
                  <c:v>8.9315077860785408E-3</c:v>
                </c:pt>
                <c:pt idx="890">
                  <c:v>8.9705530793171562E-3</c:v>
                </c:pt>
                <c:pt idx="891">
                  <c:v>9.0083148425534887E-3</c:v>
                </c:pt>
                <c:pt idx="892">
                  <c:v>9.044793075307922E-3</c:v>
                </c:pt>
                <c:pt idx="893">
                  <c:v>9.0799877773406479E-3</c:v>
                </c:pt>
                <c:pt idx="894">
                  <c:v>9.113898948092114E-3</c:v>
                </c:pt>
                <c:pt idx="895">
                  <c:v>9.1465265873225121E-3</c:v>
                </c:pt>
                <c:pt idx="896">
                  <c:v>9.177870694632162E-3</c:v>
                </c:pt>
                <c:pt idx="897">
                  <c:v>9.2079312697013194E-3</c:v>
                </c:pt>
                <c:pt idx="898">
                  <c:v>9.23670831221024E-3</c:v>
                </c:pt>
                <c:pt idx="899">
                  <c:v>9.2642018218391797E-3</c:v>
                </c:pt>
                <c:pt idx="900">
                  <c:v>9.2904117983483303E-3</c:v>
                </c:pt>
                <c:pt idx="901">
                  <c:v>9.3153382414179475E-3</c:v>
                </c:pt>
                <c:pt idx="902">
                  <c:v>9.3389811507282872E-3</c:v>
                </c:pt>
                <c:pt idx="903">
                  <c:v>9.3613405261994131E-3</c:v>
                </c:pt>
                <c:pt idx="904">
                  <c:v>9.3824163673517091E-3</c:v>
                </c:pt>
                <c:pt idx="905">
                  <c:v>9.4022086741052391E-3</c:v>
                </c:pt>
                <c:pt idx="906">
                  <c:v>9.4207174462201948E-3</c:v>
                </c:pt>
                <c:pt idx="907">
                  <c:v>9.4379426834567681E-3</c:v>
                </c:pt>
                <c:pt idx="908">
                  <c:v>9.453884385735023E-3</c:v>
                </c:pt>
                <c:pt idx="909">
                  <c:v>9.4685425528151512E-3</c:v>
                </c:pt>
                <c:pt idx="910">
                  <c:v>9.4819171845372807E-3</c:v>
                </c:pt>
                <c:pt idx="911">
                  <c:v>9.4940082807415394E-3</c:v>
                </c:pt>
                <c:pt idx="912">
                  <c:v>9.5048158413479911E-3</c:v>
                </c:pt>
                <c:pt idx="913">
                  <c:v>9.5143398662766998E-3</c:v>
                </c:pt>
                <c:pt idx="914">
                  <c:v>9.5225803552878574E-3</c:v>
                </c:pt>
                <c:pt idx="915">
                  <c:v>9.5295373083814638E-3</c:v>
                </c:pt>
                <c:pt idx="916">
                  <c:v>9.5352107255575191E-3</c:v>
                </c:pt>
                <c:pt idx="917">
                  <c:v>9.5396006065762151E-3</c:v>
                </c:pt>
                <c:pt idx="918">
                  <c:v>9.5427069515174878E-3</c:v>
                </c:pt>
                <c:pt idx="919">
                  <c:v>9.5445297603014012E-3</c:v>
                </c:pt>
                <c:pt idx="920">
                  <c:v>9.5450690330078913E-3</c:v>
                </c:pt>
                <c:pt idx="921">
                  <c:v>9.5443247694770861E-3</c:v>
                </c:pt>
                <c:pt idx="922">
                  <c:v>9.5422969697889215E-3</c:v>
                </c:pt>
                <c:pt idx="923">
                  <c:v>9.5389856339433976E-3</c:v>
                </c:pt>
                <c:pt idx="924">
                  <c:v>9.5343907620204504E-3</c:v>
                </c:pt>
                <c:pt idx="925">
                  <c:v>9.5285123541000161E-3</c:v>
                </c:pt>
                <c:pt idx="926">
                  <c:v>9.5213504101021584E-3</c:v>
                </c:pt>
                <c:pt idx="927">
                  <c:v>9.5129049302666857E-3</c:v>
                </c:pt>
                <c:pt idx="928">
                  <c:v>9.500160444320116E-3</c:v>
                </c:pt>
                <c:pt idx="929">
                  <c:v>9.4880410023900907E-3</c:v>
                </c:pt>
                <c:pt idx="930">
                  <c:v>9.4761183570390983E-3</c:v>
                </c:pt>
                <c:pt idx="931">
                  <c:v>9.4622080141615328E-3</c:v>
                </c:pt>
                <c:pt idx="932">
                  <c:v>9.4480582539180347E-3</c:v>
                </c:pt>
                <c:pt idx="933">
                  <c:v>9.4332756842696597E-3</c:v>
                </c:pt>
                <c:pt idx="934">
                  <c:v>9.4204446392431862E-3</c:v>
                </c:pt>
                <c:pt idx="935">
                  <c:v>9.4069807848118359E-3</c:v>
                </c:pt>
                <c:pt idx="936">
                  <c:v>9.3937455656512014E-3</c:v>
                </c:pt>
                <c:pt idx="937">
                  <c:v>9.3807389816813469E-3</c:v>
                </c:pt>
                <c:pt idx="938">
                  <c:v>9.3679610329022722E-3</c:v>
                </c:pt>
                <c:pt idx="939">
                  <c:v>9.3554117193139774E-3</c:v>
                </c:pt>
                <c:pt idx="940">
                  <c:v>9.3430910408365264E-3</c:v>
                </c:pt>
                <c:pt idx="941">
                  <c:v>9.3309989975498553E-3</c:v>
                </c:pt>
                <c:pt idx="942">
                  <c:v>9.3191355892940919E-3</c:v>
                </c:pt>
                <c:pt idx="943">
                  <c:v>9.3075008161491724E-3</c:v>
                </c:pt>
                <c:pt idx="944">
                  <c:v>9.2960946779552245E-3</c:v>
                </c:pt>
                <c:pt idx="945">
                  <c:v>9.2849171749520565E-3</c:v>
                </c:pt>
                <c:pt idx="946">
                  <c:v>9.2739683068199241E-3</c:v>
                </c:pt>
                <c:pt idx="947">
                  <c:v>9.2632480737186995E-3</c:v>
                </c:pt>
                <c:pt idx="948">
                  <c:v>9.2527564756483827E-3</c:v>
                </c:pt>
                <c:pt idx="949">
                  <c:v>9.2424935124491014E-3</c:v>
                </c:pt>
                <c:pt idx="950">
                  <c:v>9.232459184280728E-3</c:v>
                </c:pt>
                <c:pt idx="951">
                  <c:v>9.2226534909034541E-3</c:v>
                </c:pt>
                <c:pt idx="952">
                  <c:v>9.2130764324771519E-3</c:v>
                </c:pt>
                <c:pt idx="953">
                  <c:v>9.2037280088419493E-3</c:v>
                </c:pt>
                <c:pt idx="954">
                  <c:v>9.1946082201577184E-3</c:v>
                </c:pt>
                <c:pt idx="955">
                  <c:v>9.1857170663445231E-3</c:v>
                </c:pt>
                <c:pt idx="956">
                  <c:v>9.1770545472424914E-3</c:v>
                </c:pt>
                <c:pt idx="957">
                  <c:v>9.1686206630114953E-3</c:v>
                </c:pt>
                <c:pt idx="958">
                  <c:v>9.1604154135715987E-3</c:v>
                </c:pt>
                <c:pt idx="959">
                  <c:v>9.1524387988428657E-3</c:v>
                </c:pt>
                <c:pt idx="960">
                  <c:v>9.1446908189052323E-3</c:v>
                </c:pt>
                <c:pt idx="961">
                  <c:v>9.1371714736787624E-3</c:v>
                </c:pt>
                <c:pt idx="962">
                  <c:v>9.129880763243392E-3</c:v>
                </c:pt>
                <c:pt idx="963">
                  <c:v>9.1213097892968165E-3</c:v>
                </c:pt>
                <c:pt idx="964">
                  <c:v>9.1145409867543492E-3</c:v>
                </c:pt>
                <c:pt idx="965">
                  <c:v>9.1093804400443901E-3</c:v>
                </c:pt>
                <c:pt idx="966">
                  <c:v>9.1030042682938017E-3</c:v>
                </c:pt>
                <c:pt idx="967">
                  <c:v>9.0968567313343129E-3</c:v>
                </c:pt>
                <c:pt idx="968">
                  <c:v>9.0909378289261156E-3</c:v>
                </c:pt>
                <c:pt idx="969">
                  <c:v>9.0852475612290817E-3</c:v>
                </c:pt>
                <c:pt idx="970">
                  <c:v>9.0797859280833393E-3</c:v>
                </c:pt>
                <c:pt idx="971">
                  <c:v>9.0745529296487604E-3</c:v>
                </c:pt>
                <c:pt idx="972">
                  <c:v>9.0695485657654729E-3</c:v>
                </c:pt>
                <c:pt idx="973">
                  <c:v>9.0647728364334768E-3</c:v>
                </c:pt>
                <c:pt idx="974">
                  <c:v>9.0602257417327081E-3</c:v>
                </c:pt>
                <c:pt idx="975">
                  <c:v>9.0559072816631669E-3</c:v>
                </c:pt>
                <c:pt idx="976">
                  <c:v>9.0518174560649811E-3</c:v>
                </c:pt>
                <c:pt idx="977">
                  <c:v>9.0479562651779588E-3</c:v>
                </c:pt>
                <c:pt idx="978">
                  <c:v>9.0443237086823558E-3</c:v>
                </c:pt>
                <c:pt idx="979">
                  <c:v>9.0409197868979163E-3</c:v>
                </c:pt>
                <c:pt idx="980">
                  <c:v>9.0377444995848322E-3</c:v>
                </c:pt>
                <c:pt idx="981">
                  <c:v>9.0347978467431034E-3</c:v>
                </c:pt>
                <c:pt idx="982">
                  <c:v>9.032079828452666E-3</c:v>
                </c:pt>
                <c:pt idx="983">
                  <c:v>9.0295352004243767E-3</c:v>
                </c:pt>
                <c:pt idx="984">
                  <c:v>9.0273296956056015E-3</c:v>
                </c:pt>
                <c:pt idx="985">
                  <c:v>9.0252975808891023E-3</c:v>
                </c:pt>
                <c:pt idx="986">
                  <c:v>9.0234941007238945E-3</c:v>
                </c:pt>
                <c:pt idx="987">
                  <c:v>9.021919255030042E-3</c:v>
                </c:pt>
                <c:pt idx="988">
                  <c:v>9.0205730438874809E-3</c:v>
                </c:pt>
                <c:pt idx="989">
                  <c:v>9.0194554672962113E-3</c:v>
                </c:pt>
                <c:pt idx="990">
                  <c:v>9.0185665250963609E-3</c:v>
                </c:pt>
                <c:pt idx="991">
                  <c:v>9.017906217447802E-3</c:v>
                </c:pt>
                <c:pt idx="992">
                  <c:v>9.0174745443505344E-3</c:v>
                </c:pt>
                <c:pt idx="993">
                  <c:v>9.0172715057246222E-3</c:v>
                </c:pt>
                <c:pt idx="994">
                  <c:v>9.0172971015700654E-3</c:v>
                </c:pt>
                <c:pt idx="995">
                  <c:v>9.0175513318868639E-3</c:v>
                </c:pt>
                <c:pt idx="996">
                  <c:v>9.0180341968348898E-3</c:v>
                </c:pt>
                <c:pt idx="997">
                  <c:v>9.0187456961743351E-3</c:v>
                </c:pt>
                <c:pt idx="998">
                  <c:v>9.0196858299851357E-3</c:v>
                </c:pt>
                <c:pt idx="999">
                  <c:v>9.0208545984271638E-3</c:v>
                </c:pt>
                <c:pt idx="1000">
                  <c:v>9.0222520012606111E-3</c:v>
                </c:pt>
                <c:pt idx="1001">
                  <c:v>9.0238780386453499E-3</c:v>
                </c:pt>
                <c:pt idx="1002">
                  <c:v>9.025732710501444E-3</c:v>
                </c:pt>
                <c:pt idx="1003">
                  <c:v>9.0278160169887656E-3</c:v>
                </c:pt>
                <c:pt idx="1004">
                  <c:v>9.0301279578675064E-3</c:v>
                </c:pt>
                <c:pt idx="1005">
                  <c:v>9.0326685332975387E-3</c:v>
                </c:pt>
                <c:pt idx="1006">
                  <c:v>9.0354377433587985E-3</c:v>
                </c:pt>
                <c:pt idx="1007">
                  <c:v>9.0384355878114775E-3</c:v>
                </c:pt>
                <c:pt idx="1008">
                  <c:v>9.041662066895384E-3</c:v>
                </c:pt>
                <c:pt idx="1009">
                  <c:v>9.0451171804506458E-3</c:v>
                </c:pt>
                <c:pt idx="1010">
                  <c:v>9.0488009286371351E-3</c:v>
                </c:pt>
                <c:pt idx="1011">
                  <c:v>9.0527133113749159E-3</c:v>
                </c:pt>
                <c:pt idx="1012">
                  <c:v>9.056854328663988E-3</c:v>
                </c:pt>
                <c:pt idx="1013">
                  <c:v>9.0612239805043515E-3</c:v>
                </c:pt>
                <c:pt idx="1014">
                  <c:v>9.0658222668960065E-3</c:v>
                </c:pt>
                <c:pt idx="1015">
                  <c:v>9.0706491879188889E-3</c:v>
                </c:pt>
                <c:pt idx="1016">
                  <c:v>9.0757047435729987E-3</c:v>
                </c:pt>
                <c:pt idx="1017">
                  <c:v>9.0809889338583361E-3</c:v>
                </c:pt>
                <c:pt idx="1018">
                  <c:v>9.0865017586949648E-3</c:v>
                </c:pt>
                <c:pt idx="1019">
                  <c:v>9.0922432180828849E-3</c:v>
                </c:pt>
                <c:pt idx="1020">
                  <c:v>9.0982133122619047E-3</c:v>
                </c:pt>
                <c:pt idx="1021">
                  <c:v>9.1044120410721519E-3</c:v>
                </c:pt>
                <c:pt idx="1022">
                  <c:v>9.1108394045136265E-3</c:v>
                </c:pt>
                <c:pt idx="1023">
                  <c:v>9.1174954026662647E-3</c:v>
                </c:pt>
                <c:pt idx="1024">
                  <c:v>9.1243800355300664E-3</c:v>
                </c:pt>
                <c:pt idx="1025">
                  <c:v>9.1314933030250955E-3</c:v>
                </c:pt>
                <c:pt idx="1026">
                  <c:v>9.1388352052312882E-3</c:v>
                </c:pt>
                <c:pt idx="1027">
                  <c:v>9.1464057422285805E-3</c:v>
                </c:pt>
                <c:pt idx="1028">
                  <c:v>9.1542049139370363E-3</c:v>
                </c:pt>
                <c:pt idx="1029">
                  <c:v>9.1622327203566556E-3</c:v>
                </c:pt>
                <c:pt idx="1030">
                  <c:v>9.1704891616473105E-3</c:v>
                </c:pt>
                <c:pt idx="1031">
                  <c:v>9.178974237649129E-3</c:v>
                </c:pt>
                <c:pt idx="1032">
                  <c:v>9.1876879486019192E-3</c:v>
                </c:pt>
                <c:pt idx="1033">
                  <c:v>9.1966302941859368E-3</c:v>
                </c:pt>
                <c:pt idx="1034">
                  <c:v>9.2065833976473499E-3</c:v>
                </c:pt>
                <c:pt idx="1035">
                  <c:v>9.2152008901269511E-3</c:v>
                </c:pt>
                <c:pt idx="1036">
                  <c:v>9.2247010456691925E-3</c:v>
                </c:pt>
                <c:pt idx="1037">
                  <c:v>9.2341343105584173E-3</c:v>
                </c:pt>
                <c:pt idx="1038">
                  <c:v>9.2434996761614485E-3</c:v>
                </c:pt>
                <c:pt idx="1039">
                  <c:v>9.2527971423983502E-3</c:v>
                </c:pt>
                <c:pt idx="1040">
                  <c:v>9.2620267093490583E-3</c:v>
                </c:pt>
                <c:pt idx="1041">
                  <c:v>9.2711883770135728E-3</c:v>
                </c:pt>
                <c:pt idx="1042">
                  <c:v>9.2802821453119577E-3</c:v>
                </c:pt>
                <c:pt idx="1043">
                  <c:v>9.289308014244213E-3</c:v>
                </c:pt>
                <c:pt idx="1044">
                  <c:v>9.2982659839702109E-3</c:v>
                </c:pt>
                <c:pt idx="1045">
                  <c:v>9.307156054250143E-3</c:v>
                </c:pt>
                <c:pt idx="1046">
                  <c:v>9.3159782252438816E-3</c:v>
                </c:pt>
                <c:pt idx="1047">
                  <c:v>9.3247324968714906E-3</c:v>
                </c:pt>
                <c:pt idx="1048">
                  <c:v>9.33341886913297E-3</c:v>
                </c:pt>
                <c:pt idx="1049">
                  <c:v>9.3420373419483838E-3</c:v>
                </c:pt>
                <c:pt idx="1050">
                  <c:v>9.35058791555754E-3</c:v>
                </c:pt>
                <c:pt idx="1051">
                  <c:v>9.3590705897206306E-3</c:v>
                </c:pt>
                <c:pt idx="1052">
                  <c:v>9.3674853645975276E-3</c:v>
                </c:pt>
                <c:pt idx="1053">
                  <c:v>9.3758322400283589E-3</c:v>
                </c:pt>
                <c:pt idx="1054">
                  <c:v>9.3841112160131246E-3</c:v>
                </c:pt>
                <c:pt idx="1055">
                  <c:v>9.3923222926317607E-3</c:v>
                </c:pt>
                <c:pt idx="1056">
                  <c:v>9.4004654699642032E-3</c:v>
                </c:pt>
                <c:pt idx="1057">
                  <c:v>9.40854074785058E-3</c:v>
                </c:pt>
                <c:pt idx="1058">
                  <c:v>9.4165481262908912E-3</c:v>
                </c:pt>
                <c:pt idx="1059">
                  <c:v>9.4244876053650728E-3</c:v>
                </c:pt>
                <c:pt idx="1060">
                  <c:v>9.4323591849931887E-3</c:v>
                </c:pt>
                <c:pt idx="1061">
                  <c:v>9.440162865255175E-3</c:v>
                </c:pt>
                <c:pt idx="1062">
                  <c:v>9.4478986460710956E-3</c:v>
                </c:pt>
                <c:pt idx="1063">
                  <c:v>9.4555665274409506E-3</c:v>
                </c:pt>
                <c:pt idx="1064">
                  <c:v>9.463166509444676E-3</c:v>
                </c:pt>
                <c:pt idx="1065">
                  <c:v>9.4706985920023357E-3</c:v>
                </c:pt>
                <c:pt idx="1066">
                  <c:v>9.4781627751139297E-3</c:v>
                </c:pt>
                <c:pt idx="1067">
                  <c:v>9.485559058779458E-3</c:v>
                </c:pt>
                <c:pt idx="1068">
                  <c:v>9.4928874429989207E-3</c:v>
                </c:pt>
                <c:pt idx="1069">
                  <c:v>9.5001479277723178E-3</c:v>
                </c:pt>
                <c:pt idx="1070">
                  <c:v>9.5073405130197131E-3</c:v>
                </c:pt>
                <c:pt idx="1071">
                  <c:v>9.5144651989809148E-3</c:v>
                </c:pt>
                <c:pt idx="1072">
                  <c:v>9.5215219853361788E-3</c:v>
                </c:pt>
                <c:pt idx="1073">
                  <c:v>9.5285108722453771E-3</c:v>
                </c:pt>
                <c:pt idx="1074">
                  <c:v>9.5354318597884458E-3</c:v>
                </c:pt>
                <c:pt idx="1075">
                  <c:v>9.5422849477255767E-3</c:v>
                </c:pt>
                <c:pt idx="1076">
                  <c:v>9.5490701362166419E-3</c:v>
                </c:pt>
                <c:pt idx="1077">
                  <c:v>9.5557874252616415E-3</c:v>
                </c:pt>
                <c:pt idx="1078">
                  <c:v>9.5624368148605754E-3</c:v>
                </c:pt>
                <c:pt idx="1079">
                  <c:v>9.5690183049335076E-3</c:v>
                </c:pt>
                <c:pt idx="1080">
                  <c:v>9.575531895480438E-3</c:v>
                </c:pt>
                <c:pt idx="1081">
                  <c:v>9.5819775865813028E-3</c:v>
                </c:pt>
                <c:pt idx="1082">
                  <c:v>9.5883553781561659E-3</c:v>
                </c:pt>
                <c:pt idx="1083">
                  <c:v>9.5946652702050272E-3</c:v>
                </c:pt>
                <c:pt idx="1084">
                  <c:v>9.6009072627278869E-3</c:v>
                </c:pt>
                <c:pt idx="1085">
                  <c:v>9.6070813558046808E-3</c:v>
                </c:pt>
                <c:pt idx="1086">
                  <c:v>9.613187549355473E-3</c:v>
                </c:pt>
                <c:pt idx="1087">
                  <c:v>9.6192258434601996E-3</c:v>
                </c:pt>
                <c:pt idx="1088">
                  <c:v>9.6251962378790523E-3</c:v>
                </c:pt>
                <c:pt idx="1089">
                  <c:v>9.6316464101553478E-3</c:v>
                </c:pt>
                <c:pt idx="1090">
                  <c:v>9.6369333283785608E-3</c:v>
                </c:pt>
                <c:pt idx="1091">
                  <c:v>9.6427000242993444E-3</c:v>
                </c:pt>
                <c:pt idx="1092">
                  <c:v>9.6483988206941262E-3</c:v>
                </c:pt>
                <c:pt idx="1093">
                  <c:v>9.6540297175629064E-3</c:v>
                </c:pt>
                <c:pt idx="1094">
                  <c:v>9.6595927149056848E-3</c:v>
                </c:pt>
                <c:pt idx="1095">
                  <c:v>9.6650878126425255E-3</c:v>
                </c:pt>
                <c:pt idx="1096">
                  <c:v>9.6705150109333005E-3</c:v>
                </c:pt>
                <c:pt idx="1097">
                  <c:v>9.6758743096181377E-3</c:v>
                </c:pt>
                <c:pt idx="1098">
                  <c:v>9.6811657086970371E-3</c:v>
                </c:pt>
                <c:pt idx="1099">
                  <c:v>9.6871298796941119E-3</c:v>
                </c:pt>
                <c:pt idx="1100">
                  <c:v>9.6922757798001413E-3</c:v>
                </c:pt>
                <c:pt idx="1101">
                  <c:v>9.697353780300233E-3</c:v>
                </c:pt>
                <c:pt idx="1102">
                  <c:v>9.7023638812743229E-3</c:v>
                </c:pt>
                <c:pt idx="1103">
                  <c:v>9.7073060826424751E-3</c:v>
                </c:pt>
                <c:pt idx="1104">
                  <c:v>9.7121803844846255E-3</c:v>
                </c:pt>
                <c:pt idx="1105">
                  <c:v>9.7169867867208382E-3</c:v>
                </c:pt>
                <c:pt idx="1106">
                  <c:v>9.7217252894310491E-3</c:v>
                </c:pt>
                <c:pt idx="1107">
                  <c:v>9.7263958924553862E-3</c:v>
                </c:pt>
                <c:pt idx="1108">
                  <c:v>9.7309985959537215E-3</c:v>
                </c:pt>
                <c:pt idx="1109">
                  <c:v>9.7355333999260552E-3</c:v>
                </c:pt>
                <c:pt idx="1110">
                  <c:v>9.740000304292451E-3</c:v>
                </c:pt>
                <c:pt idx="1111">
                  <c:v>9.744399308972973E-3</c:v>
                </c:pt>
                <c:pt idx="1112">
                  <c:v>9.7487304141274933E-3</c:v>
                </c:pt>
                <c:pt idx="1113">
                  <c:v>9.7529936196760758E-3</c:v>
                </c:pt>
                <c:pt idx="1114">
                  <c:v>9.7571889256986566E-3</c:v>
                </c:pt>
                <c:pt idx="1115">
                  <c:v>9.7613163320353635E-3</c:v>
                </c:pt>
                <c:pt idx="1116">
                  <c:v>9.7653758388460687E-3</c:v>
                </c:pt>
                <c:pt idx="1117">
                  <c:v>9.7693674459709001E-3</c:v>
                </c:pt>
                <c:pt idx="1118">
                  <c:v>9.7732911535697298E-3</c:v>
                </c:pt>
                <c:pt idx="1119">
                  <c:v>9.7771469615626216E-3</c:v>
                </c:pt>
                <c:pt idx="1120">
                  <c:v>9.7809348698696397E-3</c:v>
                </c:pt>
                <c:pt idx="1121">
                  <c:v>9.784654878650656E-3</c:v>
                </c:pt>
                <c:pt idx="1122">
                  <c:v>9.7883069877457984E-3</c:v>
                </c:pt>
                <c:pt idx="1123">
                  <c:v>9.7918911973149392E-3</c:v>
                </c:pt>
                <c:pt idx="1124">
                  <c:v>9.7954075071982061E-3</c:v>
                </c:pt>
                <c:pt idx="1125">
                  <c:v>9.7988559174755352E-3</c:v>
                </c:pt>
                <c:pt idx="1126">
                  <c:v>9.8022364280669905E-3</c:v>
                </c:pt>
                <c:pt idx="1127">
                  <c:v>9.805549039052508E-3</c:v>
                </c:pt>
                <c:pt idx="1128">
                  <c:v>9.8087937505120237E-3</c:v>
                </c:pt>
                <c:pt idx="1129">
                  <c:v>9.8119705622856657E-3</c:v>
                </c:pt>
                <c:pt idx="1130">
                  <c:v>9.8150794744533698E-3</c:v>
                </c:pt>
                <c:pt idx="1131">
                  <c:v>9.8181204869352001E-3</c:v>
                </c:pt>
                <c:pt idx="1132">
                  <c:v>9.8210935998110926E-3</c:v>
                </c:pt>
                <c:pt idx="1133">
                  <c:v>9.8253512926333997E-3</c:v>
                </c:pt>
                <c:pt idx="1134">
                  <c:v>9.8268361266651283E-3</c:v>
                </c:pt>
                <c:pt idx="1135">
                  <c:v>9.8296055406432714E-3</c:v>
                </c:pt>
                <c:pt idx="1136">
                  <c:v>9.8323070550154767E-3</c:v>
                </c:pt>
                <c:pt idx="1137">
                  <c:v>9.8349406697018082E-3</c:v>
                </c:pt>
                <c:pt idx="1138">
                  <c:v>9.8375063847022659E-3</c:v>
                </c:pt>
                <c:pt idx="1139">
                  <c:v>9.8409739294336163E-3</c:v>
                </c:pt>
                <c:pt idx="1140">
                  <c:v>9.8424341159653039E-3</c:v>
                </c:pt>
                <c:pt idx="1141">
                  <c:v>9.8447961320680122E-3</c:v>
                </c:pt>
                <c:pt idx="1142">
                  <c:v>9.8470902484848466E-3</c:v>
                </c:pt>
                <c:pt idx="1143">
                  <c:v>9.8493164652957432E-3</c:v>
                </c:pt>
                <c:pt idx="1144">
                  <c:v>9.8514747825007021E-3</c:v>
                </c:pt>
                <c:pt idx="1145">
                  <c:v>9.8535652000197871E-3</c:v>
                </c:pt>
                <c:pt idx="1146">
                  <c:v>9.8555877178529983E-3</c:v>
                </c:pt>
                <c:pt idx="1147">
                  <c:v>9.8575423361602077E-3</c:v>
                </c:pt>
                <c:pt idx="1148">
                  <c:v>9.8594290547016072E-3</c:v>
                </c:pt>
                <c:pt idx="1149">
                  <c:v>9.8612478735571329E-3</c:v>
                </c:pt>
                <c:pt idx="1150">
                  <c:v>9.8629987928067209E-3</c:v>
                </c:pt>
                <c:pt idx="1151">
                  <c:v>9.8654200809367154E-3</c:v>
                </c:pt>
                <c:pt idx="1152">
                  <c:v>9.8670158884228698E-3</c:v>
                </c:pt>
                <c:pt idx="1153">
                  <c:v>9.8685437925460917E-3</c:v>
                </c:pt>
                <c:pt idx="1154">
                  <c:v>9.8700037933063811E-3</c:v>
                </c:pt>
                <c:pt idx="1155">
                  <c:v>9.8713958906770927E-3</c:v>
                </c:pt>
                <c:pt idx="1156">
                  <c:v>9.8727200846582264E-3</c:v>
                </c:pt>
                <c:pt idx="1157">
                  <c:v>9.8739763753030729E-3</c:v>
                </c:pt>
                <c:pt idx="1158">
                  <c:v>9.8751647625316963E-3</c:v>
                </c:pt>
                <c:pt idx="1159">
                  <c:v>9.8762852463973871E-3</c:v>
                </c:pt>
                <c:pt idx="1160">
                  <c:v>9.8773378268735001E-3</c:v>
                </c:pt>
                <c:pt idx="1161">
                  <c:v>9.8783225039600353E-3</c:v>
                </c:pt>
                <c:pt idx="1162">
                  <c:v>9.8792392776569926E-3</c:v>
                </c:pt>
                <c:pt idx="1163">
                  <c:v>9.8800881479643721E-3</c:v>
                </c:pt>
                <c:pt idx="1164">
                  <c:v>9.8808691148821737E-3</c:v>
                </c:pt>
                <c:pt idx="1165">
                  <c:v>9.8815821784370428E-3</c:v>
                </c:pt>
                <c:pt idx="1166">
                  <c:v>9.8822273385756887E-3</c:v>
                </c:pt>
                <c:pt idx="1167">
                  <c:v>9.8828045952981114E-3</c:v>
                </c:pt>
                <c:pt idx="1168">
                  <c:v>9.8833139486576016E-3</c:v>
                </c:pt>
                <c:pt idx="1169">
                  <c:v>9.8837553986008686E-3</c:v>
                </c:pt>
                <c:pt idx="1170">
                  <c:v>9.8841289451545578E-3</c:v>
                </c:pt>
                <c:pt idx="1171">
                  <c:v>9.8844345883186691E-3</c:v>
                </c:pt>
                <c:pt idx="1172">
                  <c:v>9.8846723280665572E-3</c:v>
                </c:pt>
                <c:pt idx="1173">
                  <c:v>9.8848421644248674E-3</c:v>
                </c:pt>
                <c:pt idx="1174">
                  <c:v>9.8849440973669545E-3</c:v>
                </c:pt>
                <c:pt idx="1175">
                  <c:v>9.884978126946109E-3</c:v>
                </c:pt>
                <c:pt idx="1176">
                  <c:v>9.8849442531090403E-3</c:v>
                </c:pt>
                <c:pt idx="1177">
                  <c:v>9.8848424758557485E-3</c:v>
                </c:pt>
                <c:pt idx="1178">
                  <c:v>9.8846727952395241E-3</c:v>
                </c:pt>
                <c:pt idx="1179">
                  <c:v>9.8844352112070766E-3</c:v>
                </c:pt>
                <c:pt idx="1180">
                  <c:v>9.8841297237584058E-3</c:v>
                </c:pt>
                <c:pt idx="1181">
                  <c:v>9.8837563329201572E-3</c:v>
                </c:pt>
                <c:pt idx="1182">
                  <c:v>9.8833150386923307E-3</c:v>
                </c:pt>
                <c:pt idx="1183">
                  <c:v>9.8828058410749264E-3</c:v>
                </c:pt>
                <c:pt idx="1184">
                  <c:v>9.8822287400679443E-3</c:v>
                </c:pt>
                <c:pt idx="1185">
                  <c:v>9.8815837356447389E-3</c:v>
                </c:pt>
                <c:pt idx="1186">
                  <c:v>9.8808708278319557E-3</c:v>
                </c:pt>
                <c:pt idx="1187">
                  <c:v>9.88009001665624E-3</c:v>
                </c:pt>
                <c:pt idx="1188">
                  <c:v>9.8785861664385521E-3</c:v>
                </c:pt>
                <c:pt idx="1189">
                  <c:v>9.8783246840561389E-3</c:v>
                </c:pt>
                <c:pt idx="1190">
                  <c:v>9.8773401627116897E-3</c:v>
                </c:pt>
                <c:pt idx="1191">
                  <c:v>9.8762877379510172E-3</c:v>
                </c:pt>
                <c:pt idx="1192">
                  <c:v>9.8751945102293348E-3</c:v>
                </c:pt>
                <c:pt idx="1193">
                  <c:v>9.8741164287385885E-3</c:v>
                </c:pt>
                <c:pt idx="1194">
                  <c:v>9.872485571209566E-3</c:v>
                </c:pt>
                <c:pt idx="1195">
                  <c:v>9.8713014101203811E-3</c:v>
                </c:pt>
                <c:pt idx="1196">
                  <c:v>9.8704285190009955E-3</c:v>
                </c:pt>
                <c:pt idx="1197">
                  <c:v>9.8694266446575085E-3</c:v>
                </c:pt>
                <c:pt idx="1198">
                  <c:v>9.8684425383410712E-3</c:v>
                </c:pt>
                <c:pt idx="1199">
                  <c:v>9.8674761998118754E-3</c:v>
                </c:pt>
                <c:pt idx="1200">
                  <c:v>9.8665276291498571E-3</c:v>
                </c:pt>
                <c:pt idx="1201">
                  <c:v>9.8655968264349525E-3</c:v>
                </c:pt>
                <c:pt idx="1202">
                  <c:v>9.8646837915872254E-3</c:v>
                </c:pt>
                <c:pt idx="1203">
                  <c:v>9.8637885245267398E-3</c:v>
                </c:pt>
                <c:pt idx="1204">
                  <c:v>9.8629110254133678E-3</c:v>
                </c:pt>
                <c:pt idx="1205">
                  <c:v>9.8620512942471095E-3</c:v>
                </c:pt>
                <c:pt idx="1206">
                  <c:v>9.8612093308680926E-3</c:v>
                </c:pt>
                <c:pt idx="1207">
                  <c:v>9.8603851354361893E-3</c:v>
                </c:pt>
                <c:pt idx="1208">
                  <c:v>9.8595787078714636E-3</c:v>
                </c:pt>
                <c:pt idx="1209">
                  <c:v>9.8587900482538515E-3</c:v>
                </c:pt>
                <c:pt idx="1210">
                  <c:v>9.8580191563435449E-3</c:v>
                </c:pt>
                <c:pt idx="1211">
                  <c:v>9.8572660324602879E-3</c:v>
                </c:pt>
                <c:pt idx="1212">
                  <c:v>9.8565306764442084E-3</c:v>
                </c:pt>
                <c:pt idx="1213">
                  <c:v>9.8558130882953066E-3</c:v>
                </c:pt>
                <c:pt idx="1214">
                  <c:v>9.8551132679336462E-3</c:v>
                </c:pt>
                <c:pt idx="1215">
                  <c:v>9.8544312155990355E-3</c:v>
                </c:pt>
                <c:pt idx="1216">
                  <c:v>9.8537669310516662E-3</c:v>
                </c:pt>
                <c:pt idx="1217">
                  <c:v>9.8531204143714746E-3</c:v>
                </c:pt>
                <c:pt idx="1218">
                  <c:v>9.8524916656383965E-3</c:v>
                </c:pt>
                <c:pt idx="1219">
                  <c:v>9.851880684772496E-3</c:v>
                </c:pt>
                <c:pt idx="1220">
                  <c:v>9.851287471693837E-3</c:v>
                </c:pt>
                <c:pt idx="1221">
                  <c:v>9.8507120266422277E-3</c:v>
                </c:pt>
                <c:pt idx="1222">
                  <c:v>9.8501543493778598E-3</c:v>
                </c:pt>
                <c:pt idx="1223">
                  <c:v>9.8496144399806695E-3</c:v>
                </c:pt>
                <c:pt idx="1224">
                  <c:v>9.8490922985305929E-3</c:v>
                </c:pt>
                <c:pt idx="1225">
                  <c:v>9.8485879249476938E-3</c:v>
                </c:pt>
                <c:pt idx="1226">
                  <c:v>9.8481013192319722E-3</c:v>
                </c:pt>
                <c:pt idx="1227">
                  <c:v>9.8476324813834282E-3</c:v>
                </c:pt>
                <c:pt idx="1228">
                  <c:v>9.8471814114020617E-3</c:v>
                </c:pt>
                <c:pt idx="1229">
                  <c:v>9.8467481093678089E-3</c:v>
                </c:pt>
                <c:pt idx="1230">
                  <c:v>9.8463325752007336E-3</c:v>
                </c:pt>
                <c:pt idx="1231">
                  <c:v>9.8459348088208998E-3</c:v>
                </c:pt>
                <c:pt idx="1232">
                  <c:v>9.8455548103881796E-3</c:v>
                </c:pt>
                <c:pt idx="1233">
                  <c:v>9.845192579822637E-3</c:v>
                </c:pt>
                <c:pt idx="1234">
                  <c:v>9.8448481171242719E-3</c:v>
                </c:pt>
                <c:pt idx="1235">
                  <c:v>9.8445214223730204E-3</c:v>
                </c:pt>
                <c:pt idx="1236">
                  <c:v>9.8442124954090104E-3</c:v>
                </c:pt>
                <c:pt idx="1237">
                  <c:v>9.8439213363921141E-3</c:v>
                </c:pt>
                <c:pt idx="1238">
                  <c:v>9.8436479451624592E-3</c:v>
                </c:pt>
                <c:pt idx="1239">
                  <c:v>9.8433225501715071E-3</c:v>
                </c:pt>
                <c:pt idx="1240">
                  <c:v>9.8430897713353005E-3</c:v>
                </c:pt>
                <c:pt idx="1241">
                  <c:v>9.8429946857958583E-3</c:v>
                </c:pt>
                <c:pt idx="1242">
                  <c:v>9.8426775171844838E-3</c:v>
                </c:pt>
                <c:pt idx="1243">
                  <c:v>9.8424980419498098E-3</c:v>
                </c:pt>
                <c:pt idx="1244">
                  <c:v>9.8424600528579376E-3</c:v>
                </c:pt>
                <c:pt idx="1245">
                  <c:v>9.8421923951619306E-3</c:v>
                </c:pt>
                <c:pt idx="1246">
                  <c:v>9.8420662235287892E-3</c:v>
                </c:pt>
                <c:pt idx="1247">
                  <c:v>9.8419578197628255E-3</c:v>
                </c:pt>
                <c:pt idx="1248">
                  <c:v>9.8418671839439753E-3</c:v>
                </c:pt>
                <c:pt idx="1249">
                  <c:v>9.8417943159923027E-3</c:v>
                </c:pt>
                <c:pt idx="1250">
                  <c:v>9.8417392159078076E-3</c:v>
                </c:pt>
                <c:pt idx="1251">
                  <c:v>9.8417018837704262E-3</c:v>
                </c:pt>
                <c:pt idx="1252">
                  <c:v>9.8416823194202863E-3</c:v>
                </c:pt>
                <c:pt idx="1253">
                  <c:v>9.8416805229373239E-3</c:v>
                </c:pt>
                <c:pt idx="1254">
                  <c:v>9.8416964944014751E-3</c:v>
                </c:pt>
                <c:pt idx="1255">
                  <c:v>9.8417302337328039E-3</c:v>
                </c:pt>
                <c:pt idx="1256">
                  <c:v>9.8417817409313102E-3</c:v>
                </c:pt>
                <c:pt idx="1257">
                  <c:v>9.8418510159969941E-3</c:v>
                </c:pt>
                <c:pt idx="1258">
                  <c:v>9.8419380589298555E-3</c:v>
                </c:pt>
                <c:pt idx="1259">
                  <c:v>9.8420428698098306E-3</c:v>
                </c:pt>
                <c:pt idx="1260">
                  <c:v>9.842165448397111E-3</c:v>
                </c:pt>
                <c:pt idx="1261">
                  <c:v>9.8423057950913773E-3</c:v>
                </c:pt>
                <c:pt idx="1262">
                  <c:v>9.8424639094929489E-3</c:v>
                </c:pt>
                <c:pt idx="1263">
                  <c:v>9.8426397918416342E-3</c:v>
                </c:pt>
                <c:pt idx="1264">
                  <c:v>9.842833442057497E-3</c:v>
                </c:pt>
                <c:pt idx="1265">
                  <c:v>9.8430448601405374E-3</c:v>
                </c:pt>
                <c:pt idx="1266">
                  <c:v>9.8432740461706913E-3</c:v>
                </c:pt>
                <c:pt idx="1267">
                  <c:v>9.8435209999880868E-3</c:v>
                </c:pt>
                <c:pt idx="1268">
                  <c:v>9.8437857217525959E-3</c:v>
                </c:pt>
                <c:pt idx="1269">
                  <c:v>9.8440682113842826E-3</c:v>
                </c:pt>
                <c:pt idx="1270">
                  <c:v>9.8443684688831468E-3</c:v>
                </c:pt>
                <c:pt idx="1271">
                  <c:v>9.8446864941692525E-3</c:v>
                </c:pt>
                <c:pt idx="1272">
                  <c:v>9.8450222874824078E-3</c:v>
                </c:pt>
                <c:pt idx="1273">
                  <c:v>9.8453758486627407E-3</c:v>
                </c:pt>
                <c:pt idx="1274">
                  <c:v>9.8457471776303152E-3</c:v>
                </c:pt>
                <c:pt idx="1275">
                  <c:v>9.8467896895630957E-3</c:v>
                </c:pt>
                <c:pt idx="1276">
                  <c:v>9.8472016759441061E-3</c:v>
                </c:pt>
                <c:pt idx="1277">
                  <c:v>9.8469677719759119E-3</c:v>
                </c:pt>
                <c:pt idx="1278">
                  <c:v>9.8474101724921326E-3</c:v>
                </c:pt>
                <c:pt idx="1279">
                  <c:v>9.8478703408755308E-3</c:v>
                </c:pt>
                <c:pt idx="1280">
                  <c:v>9.8483482772060427E-3</c:v>
                </c:pt>
                <c:pt idx="1281">
                  <c:v>9.848843981323796E-3</c:v>
                </c:pt>
                <c:pt idx="1282">
                  <c:v>9.849357453388663E-3</c:v>
                </c:pt>
                <c:pt idx="1283">
                  <c:v>9.8498886933207075E-3</c:v>
                </c:pt>
                <c:pt idx="1284">
                  <c:v>9.8504377011998656E-3</c:v>
                </c:pt>
                <c:pt idx="1285">
                  <c:v>9.8510044767863292E-3</c:v>
                </c:pt>
                <c:pt idx="1286">
                  <c:v>9.8515890203998424E-3</c:v>
                </c:pt>
                <c:pt idx="1287">
                  <c:v>9.8521913318805332E-3</c:v>
                </c:pt>
                <c:pt idx="1288">
                  <c:v>9.8528114111484655E-3</c:v>
                </c:pt>
                <c:pt idx="1289">
                  <c:v>9.8534492584434474E-3</c:v>
                </c:pt>
                <c:pt idx="1290">
                  <c:v>9.8541048735256709E-3</c:v>
                </c:pt>
                <c:pt idx="1291">
                  <c:v>9.8547782564750719E-3</c:v>
                </c:pt>
                <c:pt idx="1292">
                  <c:v>9.8554694073715865E-3</c:v>
                </c:pt>
                <c:pt idx="1293">
                  <c:v>9.8561783260553426E-3</c:v>
                </c:pt>
                <c:pt idx="1294">
                  <c:v>9.8570925880014926E-3</c:v>
                </c:pt>
                <c:pt idx="1295">
                  <c:v>9.8576494671842596E-3</c:v>
                </c:pt>
                <c:pt idx="1296">
                  <c:v>9.8584116895494844E-3</c:v>
                </c:pt>
                <c:pt idx="1297">
                  <c:v>9.8591916798618229E-3</c:v>
                </c:pt>
                <c:pt idx="1298">
                  <c:v>9.8599894379614028E-3</c:v>
                </c:pt>
                <c:pt idx="1299">
                  <c:v>9.8608049640080964E-3</c:v>
                </c:pt>
                <c:pt idx="1300">
                  <c:v>9.8616382579219675E-3</c:v>
                </c:pt>
                <c:pt idx="1301">
                  <c:v>9.8624893197030161E-3</c:v>
                </c:pt>
                <c:pt idx="1302">
                  <c:v>9.8633581493512423E-3</c:v>
                </c:pt>
                <c:pt idx="1303">
                  <c:v>9.8642447468666461E-3</c:v>
                </c:pt>
                <c:pt idx="1304">
                  <c:v>9.8651491123291635E-3</c:v>
                </c:pt>
                <c:pt idx="1305">
                  <c:v>9.8660712456588584E-3</c:v>
                </c:pt>
                <c:pt idx="1306">
                  <c:v>9.8670111468557309E-3</c:v>
                </c:pt>
                <c:pt idx="1307">
                  <c:v>9.8679688159197809E-3</c:v>
                </c:pt>
                <c:pt idx="1308">
                  <c:v>9.8689442529309446E-3</c:v>
                </c:pt>
                <c:pt idx="1309">
                  <c:v>9.8699374577293497E-3</c:v>
                </c:pt>
                <c:pt idx="1310">
                  <c:v>9.8709484304748685E-3</c:v>
                </c:pt>
                <c:pt idx="1311">
                  <c:v>9.8719771710875648E-3</c:v>
                </c:pt>
                <c:pt idx="1312">
                  <c:v>9.8730236795674386E-3</c:v>
                </c:pt>
                <c:pt idx="1313">
                  <c:v>9.8740879559144901E-3</c:v>
                </c:pt>
                <c:pt idx="1314">
                  <c:v>9.8751700002086551E-3</c:v>
                </c:pt>
                <c:pt idx="1315">
                  <c:v>9.8762698123699977E-3</c:v>
                </c:pt>
                <c:pt idx="1316">
                  <c:v>9.8773873923985178E-3</c:v>
                </c:pt>
                <c:pt idx="1317">
                  <c:v>9.8785227402942155E-3</c:v>
                </c:pt>
                <c:pt idx="1318">
                  <c:v>9.8796758561370268E-3</c:v>
                </c:pt>
                <c:pt idx="1319">
                  <c:v>9.8808467397670796E-3</c:v>
                </c:pt>
                <c:pt idx="1320">
                  <c:v>9.882035391344246E-3</c:v>
                </c:pt>
                <c:pt idx="1321">
                  <c:v>9.88324181078859E-3</c:v>
                </c:pt>
                <c:pt idx="1322">
                  <c:v>9.8844659981001115E-3</c:v>
                </c:pt>
                <c:pt idx="1323">
                  <c:v>9.8857079533587466E-3</c:v>
                </c:pt>
                <c:pt idx="1324">
                  <c:v>9.8869676764845593E-3</c:v>
                </c:pt>
                <c:pt idx="1325">
                  <c:v>9.8882451674775496E-3</c:v>
                </c:pt>
                <c:pt idx="1326">
                  <c:v>9.8895404263377173E-3</c:v>
                </c:pt>
                <c:pt idx="1327">
                  <c:v>9.8908534531449988E-3</c:v>
                </c:pt>
                <c:pt idx="1328">
                  <c:v>9.8921842477395217E-3</c:v>
                </c:pt>
                <c:pt idx="1329">
                  <c:v>9.8935328102811582E-3</c:v>
                </c:pt>
                <c:pt idx="1330">
                  <c:v>9.8948991407699083E-3</c:v>
                </c:pt>
                <c:pt idx="1331">
                  <c:v>9.8962832390458999E-3</c:v>
                </c:pt>
                <c:pt idx="1332">
                  <c:v>9.8976851052690051E-3</c:v>
                </c:pt>
                <c:pt idx="1333">
                  <c:v>9.8991047393592879E-3</c:v>
                </c:pt>
                <c:pt idx="1334">
                  <c:v>9.9005421413167483E-3</c:v>
                </c:pt>
                <c:pt idx="1335">
                  <c:v>9.9019973111413861E-3</c:v>
                </c:pt>
                <c:pt idx="1336">
                  <c:v>9.9034702489131377E-3</c:v>
                </c:pt>
                <c:pt idx="1337">
                  <c:v>9.9049609545520667E-3</c:v>
                </c:pt>
                <c:pt idx="1338">
                  <c:v>9.9064694280581733E-3</c:v>
                </c:pt>
                <c:pt idx="1339">
                  <c:v>9.9079956694314575E-3</c:v>
                </c:pt>
                <c:pt idx="1340">
                  <c:v>9.9095396787518553E-3</c:v>
                </c:pt>
                <c:pt idx="1341">
                  <c:v>9.9111014559394306E-3</c:v>
                </c:pt>
                <c:pt idx="1342">
                  <c:v>9.9126810009941835E-3</c:v>
                </c:pt>
                <c:pt idx="1343">
                  <c:v>9.91427831399605E-3</c:v>
                </c:pt>
                <c:pt idx="1344">
                  <c:v>9.915893394865094E-3</c:v>
                </c:pt>
                <c:pt idx="1345">
                  <c:v>9.9175262436013156E-3</c:v>
                </c:pt>
                <c:pt idx="1346">
                  <c:v>9.9191768602047148E-3</c:v>
                </c:pt>
                <c:pt idx="1347">
                  <c:v>9.9208452447552276E-3</c:v>
                </c:pt>
                <c:pt idx="1348">
                  <c:v>9.9225313971729179E-3</c:v>
                </c:pt>
                <c:pt idx="1349">
                  <c:v>9.9244945469756374E-3</c:v>
                </c:pt>
                <c:pt idx="1350">
                  <c:v>9.9259570056897672E-3</c:v>
                </c:pt>
                <c:pt idx="1351">
                  <c:v>9.9276964617889263E-3</c:v>
                </c:pt>
                <c:pt idx="1352">
                  <c:v>9.9294536857552629E-3</c:v>
                </c:pt>
                <c:pt idx="1353">
                  <c:v>9.9312286776687131E-3</c:v>
                </c:pt>
                <c:pt idx="1354">
                  <c:v>9.9330214374493409E-3</c:v>
                </c:pt>
                <c:pt idx="1355">
                  <c:v>9.9348319650971462E-3</c:v>
                </c:pt>
                <c:pt idx="1356">
                  <c:v>9.936660260612129E-3</c:v>
                </c:pt>
                <c:pt idx="1357">
                  <c:v>9.9385063240742255E-3</c:v>
                </c:pt>
                <c:pt idx="1358">
                  <c:v>9.9403701554034996E-3</c:v>
                </c:pt>
                <c:pt idx="1359">
                  <c:v>9.9422517546798872E-3</c:v>
                </c:pt>
                <c:pt idx="1360">
                  <c:v>9.9441511217435163E-3</c:v>
                </c:pt>
                <c:pt idx="1361">
                  <c:v>9.9460682567542591E-3</c:v>
                </c:pt>
                <c:pt idx="1362">
                  <c:v>9.9480031597121155E-3</c:v>
                </c:pt>
                <c:pt idx="1363">
                  <c:v>9.9499558305371494E-3</c:v>
                </c:pt>
                <c:pt idx="1364">
                  <c:v>9.9519262692293609E-3</c:v>
                </c:pt>
                <c:pt idx="1365">
                  <c:v>9.9539144757887499E-3</c:v>
                </c:pt>
                <c:pt idx="1366">
                  <c:v>9.9559204503751886E-3</c:v>
                </c:pt>
                <c:pt idx="1367">
                  <c:v>9.9579441926689327E-3</c:v>
                </c:pt>
                <c:pt idx="1368">
                  <c:v>9.9599857029897265E-3</c:v>
                </c:pt>
                <c:pt idx="1369">
                  <c:v>9.9620449810977618E-3</c:v>
                </c:pt>
                <c:pt idx="1370">
                  <c:v>9.9641220272328468E-3</c:v>
                </c:pt>
                <c:pt idx="1371">
                  <c:v>9.9662168412351093E-3</c:v>
                </c:pt>
                <c:pt idx="1372">
                  <c:v>9.9683294231045494E-3</c:v>
                </c:pt>
                <c:pt idx="1373">
                  <c:v>9.970459772841167E-3</c:v>
                </c:pt>
                <c:pt idx="1374">
                  <c:v>9.9726078905248983E-3</c:v>
                </c:pt>
                <c:pt idx="1375">
                  <c:v>9.9747737761557431E-3</c:v>
                </c:pt>
                <c:pt idx="1376">
                  <c:v>9.9769574295738295E-3</c:v>
                </c:pt>
                <c:pt idx="1377">
                  <c:v>9.9791588509390294E-3</c:v>
                </c:pt>
                <c:pt idx="1378">
                  <c:v>9.981378040171407E-3</c:v>
                </c:pt>
                <c:pt idx="1379">
                  <c:v>9.9836149973508981E-3</c:v>
                </c:pt>
                <c:pt idx="1380">
                  <c:v>9.9858697223975668E-3</c:v>
                </c:pt>
                <c:pt idx="1381">
                  <c:v>9.988142215311413E-3</c:v>
                </c:pt>
                <c:pt idx="1382">
                  <c:v>9.9904324762523089E-3</c:v>
                </c:pt>
                <c:pt idx="1383">
                  <c:v>9.9927405049804463E-3</c:v>
                </c:pt>
                <c:pt idx="1384">
                  <c:v>9.9950663016556973E-3</c:v>
                </c:pt>
                <c:pt idx="1385">
                  <c:v>9.9974098661981259E-3</c:v>
                </c:pt>
                <c:pt idx="1386">
                  <c:v>9.9997711986876681E-3</c:v>
                </c:pt>
                <c:pt idx="1387">
                  <c:v>1.0002150299044388E-2</c:v>
                </c:pt>
                <c:pt idx="1388">
                  <c:v>1.0004547167348221E-2</c:v>
                </c:pt>
                <c:pt idx="1389">
                  <c:v>1.0006961803519232E-2</c:v>
                </c:pt>
                <c:pt idx="1390">
                  <c:v>1.0009394207637357E-2</c:v>
                </c:pt>
                <c:pt idx="1391">
                  <c:v>1.0011844379622659E-2</c:v>
                </c:pt>
                <c:pt idx="1392">
                  <c:v>1.0014312319475138E-2</c:v>
                </c:pt>
                <c:pt idx="1393">
                  <c:v>1.0016798027274731E-2</c:v>
                </c:pt>
                <c:pt idx="1394">
                  <c:v>1.0019301502941502E-2</c:v>
                </c:pt>
                <c:pt idx="1395">
                  <c:v>1.0021822746555387E-2</c:v>
                </c:pt>
                <c:pt idx="1396">
                  <c:v>1.0024361758116385E-2</c:v>
                </c:pt>
                <c:pt idx="1397">
                  <c:v>1.0026918537464624E-2</c:v>
                </c:pt>
                <c:pt idx="1398">
                  <c:v>1.0029493084839913E-2</c:v>
                </c:pt>
                <c:pt idx="1399">
                  <c:v>1.003208540008238E-2</c:v>
                </c:pt>
                <c:pt idx="1400">
                  <c:v>1.0035022502443702E-2</c:v>
                </c:pt>
                <c:pt idx="1401">
                  <c:v>1.0037323334168846E-2</c:v>
                </c:pt>
                <c:pt idx="1402">
                  <c:v>1.0039968953172718E-2</c:v>
                </c:pt>
                <c:pt idx="1403">
                  <c:v>1.0042632339963831E-2</c:v>
                </c:pt>
                <c:pt idx="1404">
                  <c:v>1.0045313494781993E-2</c:v>
                </c:pt>
                <c:pt idx="1405">
                  <c:v>1.0048012417467334E-2</c:v>
                </c:pt>
                <c:pt idx="1406">
                  <c:v>1.0050729108099787E-2</c:v>
                </c:pt>
                <c:pt idx="1407">
                  <c:v>1.0053463566519483E-2</c:v>
                </c:pt>
                <c:pt idx="1408">
                  <c:v>1.0056215792966228E-2</c:v>
                </c:pt>
                <c:pt idx="1409">
                  <c:v>1.0058985787200214E-2</c:v>
                </c:pt>
                <c:pt idx="1410">
                  <c:v>1.006177354946125E-2</c:v>
                </c:pt>
                <c:pt idx="1411">
                  <c:v>1.0064981320070387E-2</c:v>
                </c:pt>
                <c:pt idx="1412">
                  <c:v>1.0067807156435293E-2</c:v>
                </c:pt>
                <c:pt idx="1413">
                  <c:v>1.0070650760587441E-2</c:v>
                </c:pt>
                <c:pt idx="1414">
                  <c:v>1.0073512132766638E-2</c:v>
                </c:pt>
                <c:pt idx="1415">
                  <c:v>1.0076391272813012E-2</c:v>
                </c:pt>
                <c:pt idx="1416">
                  <c:v>1.00792881808065E-2</c:v>
                </c:pt>
                <c:pt idx="1417">
                  <c:v>1.0082202856667166E-2</c:v>
                </c:pt>
                <c:pt idx="1418">
                  <c:v>1.0085135300554882E-2</c:v>
                </c:pt>
                <c:pt idx="1419">
                  <c:v>1.0088085512229839E-2</c:v>
                </c:pt>
                <c:pt idx="1420">
                  <c:v>1.0091053491851909E-2</c:v>
                </c:pt>
                <c:pt idx="1421">
                  <c:v>1.0094039239421093E-2</c:v>
                </c:pt>
                <c:pt idx="1422">
                  <c:v>1.0097042754857455E-2</c:v>
                </c:pt>
                <c:pt idx="1423">
                  <c:v>1.010006403824093E-2</c:v>
                </c:pt>
                <c:pt idx="1424">
                  <c:v>1.0103103089571519E-2</c:v>
                </c:pt>
                <c:pt idx="1425">
                  <c:v>1.0106159908769285E-2</c:v>
                </c:pt>
                <c:pt idx="1426">
                  <c:v>1.0109234495914166E-2</c:v>
                </c:pt>
                <c:pt idx="1427">
                  <c:v>1.0112326851006159E-2</c:v>
                </c:pt>
                <c:pt idx="1428">
                  <c:v>1.011543697396533E-2</c:v>
                </c:pt>
                <c:pt idx="1429">
                  <c:v>1.0118564864871615E-2</c:v>
                </c:pt>
                <c:pt idx="1430">
                  <c:v>1.0121710523565142E-2</c:v>
                </c:pt>
                <c:pt idx="1431">
                  <c:v>1.0124873950365654E-2</c:v>
                </c:pt>
                <c:pt idx="1432">
                  <c:v>1.0128055145033343E-2</c:v>
                </c:pt>
                <c:pt idx="1433">
                  <c:v>1.0131254107568211E-2</c:v>
                </c:pt>
                <c:pt idx="1434">
                  <c:v>1.0134470838050191E-2</c:v>
                </c:pt>
                <c:pt idx="1435">
                  <c:v>1.0137705336479286E-2</c:v>
                </c:pt>
                <c:pt idx="1436">
                  <c:v>1.0140957602855494E-2</c:v>
                </c:pt>
                <c:pt idx="1437">
                  <c:v>1.0144227637098879E-2</c:v>
                </c:pt>
                <c:pt idx="1438">
                  <c:v>1.0147515439289378E-2</c:v>
                </c:pt>
                <c:pt idx="1439">
                  <c:v>1.0150821009347055E-2</c:v>
                </c:pt>
                <c:pt idx="1440">
                  <c:v>1.0154144347351846E-2</c:v>
                </c:pt>
                <c:pt idx="1441">
                  <c:v>1.0157485453383686E-2</c:v>
                </c:pt>
                <c:pt idx="1442">
                  <c:v>1.0160844327282703E-2</c:v>
                </c:pt>
                <c:pt idx="1443">
                  <c:v>1.0164220969048898E-2</c:v>
                </c:pt>
                <c:pt idx="1444">
                  <c:v>1.016916329804296E-2</c:v>
                </c:pt>
                <c:pt idx="1445">
                  <c:v>1.0171027556502565E-2</c:v>
                </c:pt>
                <c:pt idx="1446">
                  <c:v>1.0174457502030165E-2</c:v>
                </c:pt>
                <c:pt idx="1447">
                  <c:v>1.0177905215584815E-2</c:v>
                </c:pt>
                <c:pt idx="1448">
                  <c:v>1.0181370697006642E-2</c:v>
                </c:pt>
                <c:pt idx="1449">
                  <c:v>1.0184853946455519E-2</c:v>
                </c:pt>
                <c:pt idx="1450">
                  <c:v>1.018964703877856E-2</c:v>
                </c:pt>
                <c:pt idx="1451">
                  <c:v>1.0191873748954805E-2</c:v>
                </c:pt>
                <c:pt idx="1452">
                  <c:v>1.0195406802564477E-2</c:v>
                </c:pt>
                <c:pt idx="1453">
                  <c:v>1.0198914708450246E-2</c:v>
                </c:pt>
                <c:pt idx="1454">
                  <c:v>1.0202386231279448E-2</c:v>
                </c:pt>
                <c:pt idx="1455">
                  <c:v>1.0205821370972146E-2</c:v>
                </c:pt>
                <c:pt idx="1456">
                  <c:v>1.0209220127448404E-2</c:v>
                </c:pt>
                <c:pt idx="1457">
                  <c:v>1.0212582500868095E-2</c:v>
                </c:pt>
                <c:pt idx="1458">
                  <c:v>1.0215908491151282E-2</c:v>
                </c:pt>
                <c:pt idx="1459">
                  <c:v>1.0219198098297966E-2</c:v>
                </c:pt>
                <c:pt idx="1460">
                  <c:v>1.0222451322388082E-2</c:v>
                </c:pt>
                <c:pt idx="1461">
                  <c:v>1.0225668163261759E-2</c:v>
                </c:pt>
                <c:pt idx="1462">
                  <c:v>1.0228848620998932E-2</c:v>
                </c:pt>
                <c:pt idx="1463">
                  <c:v>1.0233174941740586E-2</c:v>
                </c:pt>
                <c:pt idx="1464">
                  <c:v>1.0236272414152481E-2</c:v>
                </c:pt>
                <c:pt idx="1465">
                  <c:v>1.0239333501402825E-2</c:v>
                </c:pt>
                <c:pt idx="1466">
                  <c:v>1.0242358203518265E-2</c:v>
                </c:pt>
                <c:pt idx="1467">
                  <c:v>1.0245346520498799E-2</c:v>
                </c:pt>
                <c:pt idx="1468">
                  <c:v>1.0248298452317783E-2</c:v>
                </c:pt>
                <c:pt idx="1469">
                  <c:v>1.0251213998921926E-2</c:v>
                </c:pt>
                <c:pt idx="1470">
                  <c:v>1.025409316041781E-2</c:v>
                </c:pt>
                <c:pt idx="1471">
                  <c:v>1.0256935936725498E-2</c:v>
                </c:pt>
                <c:pt idx="1472">
                  <c:v>1.0259742327871635E-2</c:v>
                </c:pt>
                <c:pt idx="1473">
                  <c:v>1.0262512333829577E-2</c:v>
                </c:pt>
                <c:pt idx="1474">
                  <c:v>1.0265245954625968E-2</c:v>
                </c:pt>
                <c:pt idx="1475">
                  <c:v>1.0267943190234163E-2</c:v>
                </c:pt>
                <c:pt idx="1476">
                  <c:v>1.0270604040654163E-2</c:v>
                </c:pt>
                <c:pt idx="1477">
                  <c:v>1.0273228505912613E-2</c:v>
                </c:pt>
                <c:pt idx="1478">
                  <c:v>1.0275816585982867E-2</c:v>
                </c:pt>
                <c:pt idx="1479">
                  <c:v>1.0278368280864925E-2</c:v>
                </c:pt>
                <c:pt idx="1480">
                  <c:v>1.0280883590532142E-2</c:v>
                </c:pt>
                <c:pt idx="1481">
                  <c:v>1.0283362515037808E-2</c:v>
                </c:pt>
                <c:pt idx="1482">
                  <c:v>1.0285805054328634E-2</c:v>
                </c:pt>
                <c:pt idx="1483">
                  <c:v>1.0288211208457909E-2</c:v>
                </c:pt>
                <c:pt idx="1484">
                  <c:v>1.0290580977345698E-2</c:v>
                </c:pt>
                <c:pt idx="1485">
                  <c:v>1.0292914361045291E-2</c:v>
                </c:pt>
                <c:pt idx="1486">
                  <c:v>1.0295211359556689E-2</c:v>
                </c:pt>
                <c:pt idx="1487">
                  <c:v>1.0297471972853245E-2</c:v>
                </c:pt>
                <c:pt idx="1488">
                  <c:v>1.029969620093496E-2</c:v>
                </c:pt>
                <c:pt idx="1489">
                  <c:v>1.030188404382848E-2</c:v>
                </c:pt>
                <c:pt idx="1490">
                  <c:v>1.0304035501507158E-2</c:v>
                </c:pt>
                <c:pt idx="1491">
                  <c:v>1.0306150573970996E-2</c:v>
                </c:pt>
                <c:pt idx="1492">
                  <c:v>1.0308229261219992E-2</c:v>
                </c:pt>
                <c:pt idx="1493">
                  <c:v>1.0310271563254148E-2</c:v>
                </c:pt>
                <c:pt idx="1494">
                  <c:v>1.0312277480046816E-2</c:v>
                </c:pt>
                <c:pt idx="1495">
                  <c:v>1.031424701165129E-2</c:v>
                </c:pt>
                <c:pt idx="1496">
                  <c:v>1.0316180158014276E-2</c:v>
                </c:pt>
                <c:pt idx="1497">
                  <c:v>1.0318076919162422E-2</c:v>
                </c:pt>
                <c:pt idx="1498">
                  <c:v>1.0319937295095727E-2</c:v>
                </c:pt>
                <c:pt idx="1499">
                  <c:v>1.0322236134241436E-2</c:v>
                </c:pt>
                <c:pt idx="1500">
                  <c:v>1.0323548891211232E-2</c:v>
                </c:pt>
                <c:pt idx="1501">
                  <c:v>1.0325300111446722E-2</c:v>
                </c:pt>
                <c:pt idx="1502">
                  <c:v>1.032720220795369E-2</c:v>
                </c:pt>
                <c:pt idx="1503">
                  <c:v>1.0328870166205206E-2</c:v>
                </c:pt>
                <c:pt idx="1504">
                  <c:v>1.0330501741320219E-2</c:v>
                </c:pt>
                <c:pt idx="1505">
                  <c:v>1.0332096933298729E-2</c:v>
                </c:pt>
                <c:pt idx="1506">
                  <c:v>1.0333875459025421E-2</c:v>
                </c:pt>
                <c:pt idx="1507">
                  <c:v>1.0335178167686365E-2</c:v>
                </c:pt>
                <c:pt idx="1508">
                  <c:v>1.0336664210175428E-2</c:v>
                </c:pt>
                <c:pt idx="1509">
                  <c:v>1.0338113869448051E-2</c:v>
                </c:pt>
                <c:pt idx="1510">
                  <c:v>1.0339527145584171E-2</c:v>
                </c:pt>
                <c:pt idx="1511">
                  <c:v>1.0340904038503851E-2</c:v>
                </c:pt>
                <c:pt idx="1512">
                  <c:v>1.0342244548366963E-2</c:v>
                </c:pt>
                <c:pt idx="1513">
                  <c:v>1.0343548675013636E-2</c:v>
                </c:pt>
                <c:pt idx="1514">
                  <c:v>1.034481641844387E-2</c:v>
                </c:pt>
                <c:pt idx="1515">
                  <c:v>1.0346220717201149E-2</c:v>
                </c:pt>
                <c:pt idx="1516">
                  <c:v>1.0347410496756027E-2</c:v>
                </c:pt>
                <c:pt idx="1517">
                  <c:v>1.0348563893174401E-2</c:v>
                </c:pt>
                <c:pt idx="1518">
                  <c:v>1.0349680906376335E-2</c:v>
                </c:pt>
                <c:pt idx="1519">
                  <c:v>1.035076153636183E-2</c:v>
                </c:pt>
                <c:pt idx="1520">
                  <c:v>1.0351805783210821E-2</c:v>
                </c:pt>
                <c:pt idx="1521">
                  <c:v>1.0352813646923309E-2</c:v>
                </c:pt>
                <c:pt idx="1522">
                  <c:v>1.0353785127419357E-2</c:v>
                </c:pt>
                <c:pt idx="1523">
                  <c:v>1.0354720224778902E-2</c:v>
                </c:pt>
                <c:pt idx="1524">
                  <c:v>1.0355618938922007E-2</c:v>
                </c:pt>
                <c:pt idx="1525">
                  <c:v>1.0356481269928608E-2</c:v>
                </c:pt>
                <c:pt idx="1526">
                  <c:v>1.0357307217798706E-2</c:v>
                </c:pt>
                <c:pt idx="1527">
                  <c:v>1.0358096782452364E-2</c:v>
                </c:pt>
                <c:pt idx="1528">
                  <c:v>1.0358849963889583E-2</c:v>
                </c:pt>
                <c:pt idx="1529">
                  <c:v>1.0359566762190298E-2</c:v>
                </c:pt>
                <c:pt idx="1530">
                  <c:v>1.0360247177354509E-2</c:v>
                </c:pt>
                <c:pt idx="1531">
                  <c:v>1.0360891209302281E-2</c:v>
                </c:pt>
                <c:pt idx="1532">
                  <c:v>1.0361498858113549E-2</c:v>
                </c:pt>
                <c:pt idx="1533">
                  <c:v>1.0362070123788314E-2</c:v>
                </c:pt>
                <c:pt idx="1534">
                  <c:v>1.0362605006166703E-2</c:v>
                </c:pt>
                <c:pt idx="1535">
                  <c:v>1.0363103505488525E-2</c:v>
                </c:pt>
                <c:pt idx="1536">
                  <c:v>1.0363565621593906E-2</c:v>
                </c:pt>
                <c:pt idx="1537">
                  <c:v>1.0363991354482849E-2</c:v>
                </c:pt>
                <c:pt idx="1538">
                  <c:v>1.0364380704315224E-2</c:v>
                </c:pt>
                <c:pt idx="1539">
                  <c:v>1.0364733670851223E-2</c:v>
                </c:pt>
                <c:pt idx="1540">
                  <c:v>1.0365050254250718E-2</c:v>
                </c:pt>
                <c:pt idx="1541">
                  <c:v>1.036533045451371E-2</c:v>
                </c:pt>
                <c:pt idx="1542">
                  <c:v>1.0365574271560263E-2</c:v>
                </c:pt>
                <c:pt idx="1543">
                  <c:v>1.0365781705390376E-2</c:v>
                </c:pt>
                <c:pt idx="1544">
                  <c:v>1.0365952756163921E-2</c:v>
                </c:pt>
                <c:pt idx="1545">
                  <c:v>1.0366087423721027E-2</c:v>
                </c:pt>
                <c:pt idx="1546">
                  <c:v>1.0366185708061693E-2</c:v>
                </c:pt>
                <c:pt idx="1547">
                  <c:v>1.0366247609265855E-2</c:v>
                </c:pt>
                <c:pt idx="1548">
                  <c:v>1.0366273127253578E-2</c:v>
                </c:pt>
                <c:pt idx="1549">
                  <c:v>1.0366262262104797E-2</c:v>
                </c:pt>
                <c:pt idx="1550">
                  <c:v>1.0366205293914632E-2</c:v>
                </c:pt>
                <c:pt idx="1551">
                  <c:v>1.0366116464890496E-2</c:v>
                </c:pt>
                <c:pt idx="1552">
                  <c:v>1.0365991252569984E-2</c:v>
                </c:pt>
                <c:pt idx="1553">
                  <c:v>1.0365829657112968E-2</c:v>
                </c:pt>
                <c:pt idx="1554">
                  <c:v>1.0365631678439513E-2</c:v>
                </c:pt>
                <c:pt idx="1555">
                  <c:v>1.0365528315241512E-2</c:v>
                </c:pt>
                <c:pt idx="1556">
                  <c:v>1.0365126571683092E-2</c:v>
                </c:pt>
                <c:pt idx="1557">
                  <c:v>1.036481944352019E-2</c:v>
                </c:pt>
                <c:pt idx="1558">
                  <c:v>1.0364475932220785E-2</c:v>
                </c:pt>
                <c:pt idx="1559">
                  <c:v>1.036409603770494E-2</c:v>
                </c:pt>
                <c:pt idx="1560">
                  <c:v>1.0363679760052591E-2</c:v>
                </c:pt>
                <c:pt idx="1561">
                  <c:v>1.0363227099183803E-2</c:v>
                </c:pt>
                <c:pt idx="1562">
                  <c:v>1.0362738055258447E-2</c:v>
                </c:pt>
                <c:pt idx="1563">
                  <c:v>1.0362212627956779E-2</c:v>
                </c:pt>
                <c:pt idx="1564">
                  <c:v>1.0361650817598544E-2</c:v>
                </c:pt>
                <c:pt idx="1565">
                  <c:v>1.0361052624103806E-2</c:v>
                </c:pt>
                <c:pt idx="1566">
                  <c:v>1.0360418047392628E-2</c:v>
                </c:pt>
                <c:pt idx="1567">
                  <c:v>1.035974708746501E-2</c:v>
                </c:pt>
                <c:pt idx="1568">
                  <c:v>1.0359039744400889E-2</c:v>
                </c:pt>
                <c:pt idx="1569">
                  <c:v>1.03582960182802E-2</c:v>
                </c:pt>
                <c:pt idx="1570">
                  <c:v>1.0357515908783199E-2</c:v>
                </c:pt>
                <c:pt idx="1571">
                  <c:v>1.0356699416309567E-2</c:v>
                </c:pt>
                <c:pt idx="1572">
                  <c:v>1.0355846540539559E-2</c:v>
                </c:pt>
                <c:pt idx="1573">
                  <c:v>1.0354957281553112E-2</c:v>
                </c:pt>
                <c:pt idx="1574">
                  <c:v>1.0354031639510097E-2</c:v>
                </c:pt>
                <c:pt idx="1575">
                  <c:v>1.0353069614250643E-2</c:v>
                </c:pt>
                <c:pt idx="1576">
                  <c:v>1.0352071205854685E-2</c:v>
                </c:pt>
                <c:pt idx="1577">
                  <c:v>1.0351036414242287E-2</c:v>
                </c:pt>
                <c:pt idx="1578">
                  <c:v>1.0349965239493386E-2</c:v>
                </c:pt>
                <c:pt idx="1579">
                  <c:v>1.0348857681528045E-2</c:v>
                </c:pt>
                <c:pt idx="1580">
                  <c:v>1.0347713740506137E-2</c:v>
                </c:pt>
                <c:pt idx="1581">
                  <c:v>1.0346533416187853E-2</c:v>
                </c:pt>
                <c:pt idx="1582">
                  <c:v>1.0345316708733066E-2</c:v>
                </c:pt>
                <c:pt idx="1583">
                  <c:v>1.0344063618141774E-2</c:v>
                </c:pt>
                <c:pt idx="1584">
                  <c:v>1.0342774144334044E-2</c:v>
                </c:pt>
                <c:pt idx="1585">
                  <c:v>1.0341448287389809E-2</c:v>
                </c:pt>
                <c:pt idx="1586">
                  <c:v>1.0340086047309072E-2</c:v>
                </c:pt>
                <c:pt idx="1587">
                  <c:v>1.0338687424011894E-2</c:v>
                </c:pt>
                <c:pt idx="1588">
                  <c:v>1.0337252417578213E-2</c:v>
                </c:pt>
                <c:pt idx="1589">
                  <c:v>1.0335781027928093E-2</c:v>
                </c:pt>
                <c:pt idx="1590">
                  <c:v>1.0334273255221404E-2</c:v>
                </c:pt>
                <c:pt idx="1591">
                  <c:v>1.0332729099298277E-2</c:v>
                </c:pt>
                <c:pt idx="1592">
                  <c:v>1.0331148560158709E-2</c:v>
                </c:pt>
                <c:pt idx="1593">
                  <c:v>1.0329531637882639E-2</c:v>
                </c:pt>
                <c:pt idx="1594">
                  <c:v>1.0327878332470064E-2</c:v>
                </c:pt>
                <c:pt idx="1595">
                  <c:v>1.032618864384105E-2</c:v>
                </c:pt>
                <c:pt idx="1596">
                  <c:v>1.0324462572075532E-2</c:v>
                </c:pt>
                <c:pt idx="1597">
                  <c:v>1.0322700117173511E-2</c:v>
                </c:pt>
                <c:pt idx="1598">
                  <c:v>1.0320901279134986E-2</c:v>
                </c:pt>
                <c:pt idx="1599">
                  <c:v>1.0319066057880022E-2</c:v>
                </c:pt>
                <c:pt idx="1600">
                  <c:v>1.0317194453488554E-2</c:v>
                </c:pt>
                <c:pt idx="1601">
                  <c:v>1.0315286465880646E-2</c:v>
                </c:pt>
                <c:pt idx="1602">
                  <c:v>1.0313342095216171E-2</c:v>
                </c:pt>
                <c:pt idx="1603">
                  <c:v>1.0311361341335257E-2</c:v>
                </c:pt>
                <c:pt idx="1604">
                  <c:v>1.0309344204317838E-2</c:v>
                </c:pt>
                <c:pt idx="1605">
                  <c:v>1.0307290684083981E-2</c:v>
                </c:pt>
                <c:pt idx="1606">
                  <c:v>1.0305200780713619E-2</c:v>
                </c:pt>
                <c:pt idx="1607">
                  <c:v>1.030307449428669E-2</c:v>
                </c:pt>
                <c:pt idx="1608">
                  <c:v>1.0300911824643322E-2</c:v>
                </c:pt>
                <c:pt idx="1609">
                  <c:v>1.029871277186345E-2</c:v>
                </c:pt>
                <c:pt idx="1610">
                  <c:v>1.0296463418639767E-2</c:v>
                </c:pt>
                <c:pt idx="1611">
                  <c:v>1.0294205516734323E-2</c:v>
                </c:pt>
                <c:pt idx="1612">
                  <c:v>1.0291897314465004E-2</c:v>
                </c:pt>
                <c:pt idx="1613">
                  <c:v>1.0289552729059182E-2</c:v>
                </c:pt>
                <c:pt idx="1614">
                  <c:v>1.0287171760436919E-2</c:v>
                </c:pt>
                <c:pt idx="1615">
                  <c:v>1.0284754408678154E-2</c:v>
                </c:pt>
                <c:pt idx="1616">
                  <c:v>1.0282300673862821E-2</c:v>
                </c:pt>
                <c:pt idx="1617">
                  <c:v>1.0279810555831048E-2</c:v>
                </c:pt>
                <c:pt idx="1618">
                  <c:v>1.0277284054662772E-2</c:v>
                </c:pt>
                <c:pt idx="1619">
                  <c:v>1.0274721170278056E-2</c:v>
                </c:pt>
                <c:pt idx="1620">
                  <c:v>1.0272121902916709E-2</c:v>
                </c:pt>
                <c:pt idx="1621">
                  <c:v>1.0269486252258986E-2</c:v>
                </c:pt>
                <c:pt idx="1622">
                  <c:v>1.0266814218544695E-2</c:v>
                </c:pt>
                <c:pt idx="1623">
                  <c:v>1.0264105801613965E-2</c:v>
                </c:pt>
                <c:pt idx="1624">
                  <c:v>1.0261361001546732E-2</c:v>
                </c:pt>
                <c:pt idx="1625">
                  <c:v>1.025857981842293E-2</c:v>
                </c:pt>
                <c:pt idx="1626">
                  <c:v>1.025576225208269E-2</c:v>
                </c:pt>
                <c:pt idx="1627">
                  <c:v>1.0252908302605945E-2</c:v>
                </c:pt>
                <c:pt idx="1628">
                  <c:v>1.0250017969992697E-2</c:v>
                </c:pt>
                <c:pt idx="1629">
                  <c:v>1.0247091254242946E-2</c:v>
                </c:pt>
                <c:pt idx="1630">
                  <c:v>1.0244128155356691E-2</c:v>
                </c:pt>
                <c:pt idx="1631">
                  <c:v>1.0241128673333932E-2</c:v>
                </c:pt>
                <c:pt idx="1632">
                  <c:v>1.023809280817467E-2</c:v>
                </c:pt>
                <c:pt idx="1633">
                  <c:v>1.0235020559878905E-2</c:v>
                </c:pt>
                <c:pt idx="1634">
                  <c:v>1.0231911928446635E-2</c:v>
                </c:pt>
                <c:pt idx="1635">
                  <c:v>1.0228766913877863E-2</c:v>
                </c:pt>
                <c:pt idx="1636">
                  <c:v>1.0225585516252522E-2</c:v>
                </c:pt>
                <c:pt idx="1637">
                  <c:v>1.0222367735330806E-2</c:v>
                </c:pt>
                <c:pt idx="1638">
                  <c:v>1.0219113571432459E-2</c:v>
                </c:pt>
                <c:pt idx="1639">
                  <c:v>1.0215823024317672E-2</c:v>
                </c:pt>
                <c:pt idx="1640">
                  <c:v>1.0212496094066381E-2</c:v>
                </c:pt>
                <c:pt idx="1641">
                  <c:v>1.0209132780758523E-2</c:v>
                </c:pt>
                <c:pt idx="1642">
                  <c:v>1.0205733084314161E-2</c:v>
                </c:pt>
                <c:pt idx="1643">
                  <c:v>1.0202297004733296E-2</c:v>
                </c:pt>
                <c:pt idx="1644">
                  <c:v>1.0198824541935991E-2</c:v>
                </c:pt>
                <c:pt idx="1645">
                  <c:v>1.0195315696162055E-2</c:v>
                </c:pt>
                <c:pt idx="1646">
                  <c:v>1.0191770467171679E-2</c:v>
                </c:pt>
                <c:pt idx="1647">
                  <c:v>1.01881888550448E-2</c:v>
                </c:pt>
                <c:pt idx="1648">
                  <c:v>1.0184570859861353E-2</c:v>
                </c:pt>
                <c:pt idx="1649">
                  <c:v>1.0180916481541402E-2</c:v>
                </c:pt>
                <c:pt idx="1650">
                  <c:v>1.0177225720084948E-2</c:v>
                </c:pt>
                <c:pt idx="1651">
                  <c:v>1.017349857549199E-2</c:v>
                </c:pt>
                <c:pt idx="1652">
                  <c:v>1.0169735047842465E-2</c:v>
                </c:pt>
                <c:pt idx="1653">
                  <c:v>1.0165935137056437E-2</c:v>
                </c:pt>
                <c:pt idx="1654">
                  <c:v>1.0162098843133904E-2</c:v>
                </c:pt>
                <c:pt idx="1655">
                  <c:v>1.0158226166154805E-2</c:v>
                </c:pt>
                <c:pt idx="1656">
                  <c:v>1.0154317106039201E-2</c:v>
                </c:pt>
                <c:pt idx="1657">
                  <c:v>1.0150371662787094E-2</c:v>
                </c:pt>
                <c:pt idx="1658">
                  <c:v>1.0146389836398484E-2</c:v>
                </c:pt>
                <c:pt idx="1659">
                  <c:v>1.0142371626953306E-2</c:v>
                </c:pt>
                <c:pt idx="1660">
                  <c:v>1.0138168685038806E-2</c:v>
                </c:pt>
                <c:pt idx="1661">
                  <c:v>1.0134226058733375E-2</c:v>
                </c:pt>
                <c:pt idx="1662">
                  <c:v>1.0130098699958623E-2</c:v>
                </c:pt>
                <c:pt idx="1663">
                  <c:v>1.0125934958127303E-2</c:v>
                </c:pt>
                <c:pt idx="1664">
                  <c:v>1.0121734833159479E-2</c:v>
                </c:pt>
                <c:pt idx="1665">
                  <c:v>1.0117498325055152E-2</c:v>
                </c:pt>
                <c:pt idx="1666">
                  <c:v>1.0113225433894257E-2</c:v>
                </c:pt>
                <c:pt idx="1667">
                  <c:v>1.0108916159596859E-2</c:v>
                </c:pt>
                <c:pt idx="1668">
                  <c:v>1.0104570502162957E-2</c:v>
                </c:pt>
                <c:pt idx="1669">
                  <c:v>1.0100188461752424E-2</c:v>
                </c:pt>
                <c:pt idx="1670">
                  <c:v>1.0095770038125451E-2</c:v>
                </c:pt>
                <c:pt idx="1671">
                  <c:v>1.0091315231521847E-2</c:v>
                </c:pt>
                <c:pt idx="1672">
                  <c:v>1.0086824041861675E-2</c:v>
                </c:pt>
                <c:pt idx="1673">
                  <c:v>1.0082296468985064E-2</c:v>
                </c:pt>
                <c:pt idx="1674">
                  <c:v>1.0077732513051885E-2</c:v>
                </c:pt>
                <c:pt idx="1675">
                  <c:v>1.0073132174062138E-2</c:v>
                </c:pt>
                <c:pt idx="1676">
                  <c:v>1.0068495451935888E-2</c:v>
                </c:pt>
                <c:pt idx="1677">
                  <c:v>1.0063822346753071E-2</c:v>
                </c:pt>
                <c:pt idx="1678">
                  <c:v>1.0059112858513686E-2</c:v>
                </c:pt>
                <c:pt idx="1679">
                  <c:v>1.0054366987137797E-2</c:v>
                </c:pt>
                <c:pt idx="1680">
                  <c:v>1.0049584732705341E-2</c:v>
                </c:pt>
                <c:pt idx="1681">
                  <c:v>1.0044766095216318E-2</c:v>
                </c:pt>
                <c:pt idx="1682">
                  <c:v>1.0039911074670727E-2</c:v>
                </c:pt>
                <c:pt idx="1683">
                  <c:v>1.0035019671068568E-2</c:v>
                </c:pt>
                <c:pt idx="1684">
                  <c:v>1.0030091884329906E-2</c:v>
                </c:pt>
                <c:pt idx="1685">
                  <c:v>1.0025127714534676E-2</c:v>
                </c:pt>
                <c:pt idx="1686">
                  <c:v>1.0020127161682879E-2</c:v>
                </c:pt>
                <c:pt idx="1687">
                  <c:v>1.0015090225694578E-2</c:v>
                </c:pt>
                <c:pt idx="1688">
                  <c:v>1.001001690664971E-2</c:v>
                </c:pt>
                <c:pt idx="1689">
                  <c:v>1.0004907204628211E-2</c:v>
                </c:pt>
                <c:pt idx="1690">
                  <c:v>9.9997611194702074E-3</c:v>
                </c:pt>
                <c:pt idx="1691">
                  <c:v>9.9945786513355728E-3</c:v>
                </c:pt>
                <c:pt idx="1692">
                  <c:v>9.9893597999844985E-3</c:v>
                </c:pt>
                <c:pt idx="1693">
                  <c:v>9.9841045657367289E-3</c:v>
                </c:pt>
                <c:pt idx="1694">
                  <c:v>9.9788129483524557E-3</c:v>
                </c:pt>
                <c:pt idx="1695">
                  <c:v>9.973484947911615E-3</c:v>
                </c:pt>
                <c:pt idx="1696">
                  <c:v>9.9681205644142068E-3</c:v>
                </c:pt>
                <c:pt idx="1697">
                  <c:v>9.9627197978602311E-3</c:v>
                </c:pt>
                <c:pt idx="1698">
                  <c:v>9.9572826482496879E-3</c:v>
                </c:pt>
                <c:pt idx="1699">
                  <c:v>9.9518091155825772E-3</c:v>
                </c:pt>
                <c:pt idx="1700">
                  <c:v>9.946299199938835E-3</c:v>
                </c:pt>
                <c:pt idx="1701">
                  <c:v>9.9407529011585893E-3</c:v>
                </c:pt>
                <c:pt idx="1702">
                  <c:v>9.9351702193217761E-3</c:v>
                </c:pt>
                <c:pt idx="1703">
                  <c:v>9.9295511545882675E-3</c:v>
                </c:pt>
                <c:pt idx="1704">
                  <c:v>9.9238957066383193E-3</c:v>
                </c:pt>
                <c:pt idx="1705">
                  <c:v>9.9182038757117397E-3</c:v>
                </c:pt>
                <c:pt idx="1706">
                  <c:v>9.9124756618085286E-3</c:v>
                </c:pt>
                <c:pt idx="1707">
                  <c:v>9.9067110647688139E-3</c:v>
                </c:pt>
                <c:pt idx="1708">
                  <c:v>9.9009100848324039E-3</c:v>
                </c:pt>
                <c:pt idx="1709">
                  <c:v>9.8950727216795542E-3</c:v>
                </c:pt>
                <c:pt idx="1710">
                  <c:v>9.8883568989815984E-3</c:v>
                </c:pt>
                <c:pt idx="1711">
                  <c:v>9.88101574335154E-3</c:v>
                </c:pt>
                <c:pt idx="1712">
                  <c:v>9.8764973112697163E-3</c:v>
                </c:pt>
                <c:pt idx="1713">
                  <c:v>9.8705684051036968E-3</c:v>
                </c:pt>
                <c:pt idx="1714">
                  <c:v>9.8646623025366864E-3</c:v>
                </c:pt>
                <c:pt idx="1715">
                  <c:v>9.8587790035686851E-3</c:v>
                </c:pt>
                <c:pt idx="1716">
                  <c:v>9.8529185081996928E-3</c:v>
                </c:pt>
                <c:pt idx="1717">
                  <c:v>9.8470808164297097E-3</c:v>
                </c:pt>
                <c:pt idx="1718">
                  <c:v>9.8412659281787995E-3</c:v>
                </c:pt>
                <c:pt idx="1719">
                  <c:v>9.8354738434469624E-3</c:v>
                </c:pt>
                <c:pt idx="1720">
                  <c:v>9.8297045623940704E-3</c:v>
                </c:pt>
                <c:pt idx="1721">
                  <c:v>9.8239580848602515E-3</c:v>
                </c:pt>
                <c:pt idx="1722">
                  <c:v>9.8182344109254416E-3</c:v>
                </c:pt>
                <c:pt idx="1723">
                  <c:v>9.8111764384789524E-3</c:v>
                </c:pt>
                <c:pt idx="1724">
                  <c:v>9.8055045779510408E-3</c:v>
                </c:pt>
                <c:pt idx="1725">
                  <c:v>9.7998555224076966E-3</c:v>
                </c:pt>
                <c:pt idx="1726">
                  <c:v>9.7942292718489199E-3</c:v>
                </c:pt>
                <c:pt idx="1727">
                  <c:v>9.7886258262747106E-3</c:v>
                </c:pt>
                <c:pt idx="1728">
                  <c:v>9.7830451856584233E-3</c:v>
                </c:pt>
                <c:pt idx="1729">
                  <c:v>9.7774873500533488E-3</c:v>
                </c:pt>
                <c:pt idx="1730">
                  <c:v>9.7719523194061964E-3</c:v>
                </c:pt>
                <c:pt idx="1731">
                  <c:v>9.7664400937436113E-3</c:v>
                </c:pt>
                <c:pt idx="1732">
                  <c:v>9.7609506730655937E-3</c:v>
                </c:pt>
                <c:pt idx="1733">
                  <c:v>9.7554840572922075E-3</c:v>
                </c:pt>
                <c:pt idx="1734">
                  <c:v>9.750040246530034E-3</c:v>
                </c:pt>
                <c:pt idx="1735">
                  <c:v>9.7446192407257826E-3</c:v>
                </c:pt>
                <c:pt idx="1736">
                  <c:v>9.7392210398528078E-3</c:v>
                </c:pt>
                <c:pt idx="1737">
                  <c:v>9.7338456439377552E-3</c:v>
                </c:pt>
                <c:pt idx="1738">
                  <c:v>9.7284930529806246E-3</c:v>
                </c:pt>
                <c:pt idx="1739">
                  <c:v>9.7231632669547707E-3</c:v>
                </c:pt>
                <c:pt idx="1740">
                  <c:v>9.7178562859134843E-3</c:v>
                </c:pt>
                <c:pt idx="1741">
                  <c:v>9.7125721097768292E-3</c:v>
                </c:pt>
                <c:pt idx="1742">
                  <c:v>9.7073107385714508E-3</c:v>
                </c:pt>
                <c:pt idx="1743">
                  <c:v>9.7020721722973491E-3</c:v>
                </c:pt>
                <c:pt idx="1744">
                  <c:v>9.6968564109811695E-3</c:v>
                </c:pt>
                <c:pt idx="1745">
                  <c:v>9.6916634545696212E-3</c:v>
                </c:pt>
                <c:pt idx="1746">
                  <c:v>9.686493303115995E-3</c:v>
                </c:pt>
                <c:pt idx="1747">
                  <c:v>9.6813459565670001E-3</c:v>
                </c:pt>
                <c:pt idx="1748">
                  <c:v>9.6762214148959913E-3</c:v>
                </c:pt>
                <c:pt idx="1749">
                  <c:v>9.6711196781829045E-3</c:v>
                </c:pt>
                <c:pt idx="1750">
                  <c:v>9.6660407464010945E-3</c:v>
                </c:pt>
                <c:pt idx="1751">
                  <c:v>9.6609846194972704E-3</c:v>
                </c:pt>
                <c:pt idx="1752">
                  <c:v>9.6559512974980777E-3</c:v>
                </c:pt>
                <c:pt idx="1753">
                  <c:v>9.6509407804301617E-3</c:v>
                </c:pt>
                <c:pt idx="1754">
                  <c:v>9.6459530682402317E-3</c:v>
                </c:pt>
                <c:pt idx="1755">
                  <c:v>9.6409881609549331E-3</c:v>
                </c:pt>
                <c:pt idx="1756">
                  <c:v>9.6360460585742658E-3</c:v>
                </c:pt>
                <c:pt idx="1757">
                  <c:v>9.6311267610982298E-3</c:v>
                </c:pt>
                <c:pt idx="1758">
                  <c:v>9.6262302685001799E-3</c:v>
                </c:pt>
                <c:pt idx="1759">
                  <c:v>9.621356580780116E-3</c:v>
                </c:pt>
                <c:pt idx="1760">
                  <c:v>9.6141768151447593E-3</c:v>
                </c:pt>
                <c:pt idx="1761">
                  <c:v>9.6116776200005916E-3</c:v>
                </c:pt>
                <c:pt idx="1762">
                  <c:v>9.6068723469144857E-3</c:v>
                </c:pt>
                <c:pt idx="1763">
                  <c:v>9.6020898787596565E-3</c:v>
                </c:pt>
                <c:pt idx="1764">
                  <c:v>9.5973302154028772E-3</c:v>
                </c:pt>
                <c:pt idx="1765">
                  <c:v>9.5925933569773747E-3</c:v>
                </c:pt>
                <c:pt idx="1766">
                  <c:v>9.586281193412205E-3</c:v>
                </c:pt>
                <c:pt idx="1767">
                  <c:v>9.5809293593163147E-3</c:v>
                </c:pt>
                <c:pt idx="1768">
                  <c:v>9.5769350296492917E-3</c:v>
                </c:pt>
                <c:pt idx="1769">
                  <c:v>9.5722961530864126E-3</c:v>
                </c:pt>
                <c:pt idx="1770">
                  <c:v>9.5676800800426065E-3</c:v>
                </c:pt>
                <c:pt idx="1771">
                  <c:v>9.5630868105978095E-3</c:v>
                </c:pt>
                <c:pt idx="1772">
                  <c:v>9.5585163445921495E-3</c:v>
                </c:pt>
                <c:pt idx="1773">
                  <c:v>9.5539686821854986E-3</c:v>
                </c:pt>
                <c:pt idx="1774">
                  <c:v>9.5494438231380485E-3</c:v>
                </c:pt>
                <c:pt idx="1775">
                  <c:v>9.5449417677695436E-3</c:v>
                </c:pt>
                <c:pt idx="1776">
                  <c:v>9.5404625159201117E-3</c:v>
                </c:pt>
                <c:pt idx="1777">
                  <c:v>9.5360060675098168E-3</c:v>
                </c:pt>
                <c:pt idx="1778">
                  <c:v>9.5315724226185949E-3</c:v>
                </c:pt>
                <c:pt idx="1779">
                  <c:v>9.5271615813263821E-3</c:v>
                </c:pt>
                <c:pt idx="1780">
                  <c:v>9.5227735435532423E-3</c:v>
                </c:pt>
                <c:pt idx="1781">
                  <c:v>9.5184083091393035E-3</c:v>
                </c:pt>
                <c:pt idx="1782">
                  <c:v>9.5140658783243737E-3</c:v>
                </c:pt>
                <c:pt idx="1783">
                  <c:v>9.509746251108453E-3</c:v>
                </c:pt>
                <c:pt idx="1784">
                  <c:v>9.5054494273316692E-3</c:v>
                </c:pt>
                <c:pt idx="1785">
                  <c:v>9.5011754070739585E-3</c:v>
                </c:pt>
                <c:pt idx="1786">
                  <c:v>9.4969241903353208E-3</c:v>
                </c:pt>
                <c:pt idx="1787">
                  <c:v>9.4926957771157561E-3</c:v>
                </c:pt>
                <c:pt idx="1788">
                  <c:v>9.4884901674152644E-3</c:v>
                </c:pt>
                <c:pt idx="1789">
                  <c:v>9.4843073612338458E-3</c:v>
                </c:pt>
                <c:pt idx="1790">
                  <c:v>9.4801473584915641E-3</c:v>
                </c:pt>
                <c:pt idx="1791">
                  <c:v>9.4760101593482915E-3</c:v>
                </c:pt>
                <c:pt idx="1792">
                  <c:v>9.4718957636441559E-3</c:v>
                </c:pt>
                <c:pt idx="1793">
                  <c:v>9.4678041714590933E-3</c:v>
                </c:pt>
                <c:pt idx="1794">
                  <c:v>9.4637353827931037E-3</c:v>
                </c:pt>
                <c:pt idx="1795">
                  <c:v>9.4596893976461871E-3</c:v>
                </c:pt>
                <c:pt idx="1796">
                  <c:v>9.4556662159384075E-3</c:v>
                </c:pt>
                <c:pt idx="1797">
                  <c:v>9.451665837829637E-3</c:v>
                </c:pt>
                <c:pt idx="1798">
                  <c:v>9.4476882631600034E-3</c:v>
                </c:pt>
                <c:pt idx="1799">
                  <c:v>9.4437334919295068E-3</c:v>
                </c:pt>
                <c:pt idx="1800">
                  <c:v>9.4398015243779554E-3</c:v>
                </c:pt>
                <c:pt idx="1801">
                  <c:v>9.4358923601856048E-3</c:v>
                </c:pt>
                <c:pt idx="1802">
                  <c:v>9.4320059995123273E-3</c:v>
                </c:pt>
                <c:pt idx="1803">
                  <c:v>9.4281424423581228E-3</c:v>
                </c:pt>
                <c:pt idx="1804">
                  <c:v>9.4243016887229913E-3</c:v>
                </c:pt>
                <c:pt idx="1805">
                  <c:v>9.4204837386069329E-3</c:v>
                </c:pt>
                <c:pt idx="1806">
                  <c:v>9.4166885918500753E-3</c:v>
                </c:pt>
                <c:pt idx="1807">
                  <c:v>9.4129162487721629E-3</c:v>
                </c:pt>
                <c:pt idx="1808">
                  <c:v>9.4091667090534514E-3</c:v>
                </c:pt>
                <c:pt idx="1809">
                  <c:v>9.405439972933749E-3</c:v>
                </c:pt>
                <c:pt idx="1810">
                  <c:v>9.4006819621483828E-3</c:v>
                </c:pt>
                <c:pt idx="1811">
                  <c:v>9.3970073482552152E-3</c:v>
                </c:pt>
                <c:pt idx="1812">
                  <c:v>9.3933555378011846E-3</c:v>
                </c:pt>
                <c:pt idx="1813">
                  <c:v>9.3895906942442764E-3</c:v>
                </c:pt>
                <c:pt idx="1814">
                  <c:v>9.3861203274503424E-3</c:v>
                </c:pt>
                <c:pt idx="1815">
                  <c:v>9.3824041611956233E-3</c:v>
                </c:pt>
                <c:pt idx="1816">
                  <c:v>9.3789763310958563E-3</c:v>
                </c:pt>
                <c:pt idx="1817">
                  <c:v>9.3754385380773186E-3</c:v>
                </c:pt>
                <c:pt idx="1818">
                  <c:v>9.3719235486577901E-3</c:v>
                </c:pt>
                <c:pt idx="1819">
                  <c:v>9.3684313626773985E-3</c:v>
                </c:pt>
                <c:pt idx="1820">
                  <c:v>9.3649619801361439E-3</c:v>
                </c:pt>
                <c:pt idx="1821">
                  <c:v>9.3615154011139623E-3</c:v>
                </c:pt>
                <c:pt idx="1822">
                  <c:v>9.3580916256108537E-3</c:v>
                </c:pt>
                <c:pt idx="1823">
                  <c:v>9.3546906536268182E-3</c:v>
                </c:pt>
                <c:pt idx="1824">
                  <c:v>9.3513124850019835E-3</c:v>
                </c:pt>
                <c:pt idx="1825">
                  <c:v>9.347957119976158E-3</c:v>
                </c:pt>
                <c:pt idx="1826">
                  <c:v>9.3446245583095333E-3</c:v>
                </c:pt>
                <c:pt idx="1827">
                  <c:v>9.3413148002419177E-3</c:v>
                </c:pt>
                <c:pt idx="1828">
                  <c:v>9.3380278456134391E-3</c:v>
                </c:pt>
                <c:pt idx="1829">
                  <c:v>9.3347636944240975E-3</c:v>
                </c:pt>
                <c:pt idx="1830">
                  <c:v>9.3315223468337649E-3</c:v>
                </c:pt>
                <c:pt idx="1831">
                  <c:v>9.3283038026026333E-3</c:v>
                </c:pt>
                <c:pt idx="1832">
                  <c:v>9.3251080619705107E-3</c:v>
                </c:pt>
                <c:pt idx="1833">
                  <c:v>9.321935124697589E-3</c:v>
                </c:pt>
                <c:pt idx="1834">
                  <c:v>9.3187849909437404E-3</c:v>
                </c:pt>
                <c:pt idx="1835">
                  <c:v>9.3156576606290287E-3</c:v>
                </c:pt>
                <c:pt idx="1836">
                  <c:v>9.31255313383339E-3</c:v>
                </c:pt>
                <c:pt idx="1837">
                  <c:v>9.3094714104768883E-3</c:v>
                </c:pt>
                <c:pt idx="1838">
                  <c:v>9.3064124907193957E-3</c:v>
                </c:pt>
                <c:pt idx="1839">
                  <c:v>9.303376374321104E-3</c:v>
                </c:pt>
                <c:pt idx="1840">
                  <c:v>9.3003630614418853E-3</c:v>
                </c:pt>
                <c:pt idx="1841">
                  <c:v>9.2973725520018036E-3</c:v>
                </c:pt>
                <c:pt idx="1842">
                  <c:v>9.2944048460807949E-3</c:v>
                </c:pt>
                <c:pt idx="1843">
                  <c:v>9.2914599435989231E-3</c:v>
                </c:pt>
                <c:pt idx="1844">
                  <c:v>9.2885378445561884E-3</c:v>
                </c:pt>
                <c:pt idx="1845">
                  <c:v>9.2856385490325266E-3</c:v>
                </c:pt>
                <c:pt idx="1846">
                  <c:v>9.2827620570279379E-3</c:v>
                </c:pt>
                <c:pt idx="1847">
                  <c:v>9.2795760374198011E-3</c:v>
                </c:pt>
                <c:pt idx="1848">
                  <c:v>9.2767513764027143E-3</c:v>
                </c:pt>
                <c:pt idx="1849">
                  <c:v>9.2742694015690574E-3</c:v>
                </c:pt>
                <c:pt idx="1850">
                  <c:v>9.2714841234808887E-3</c:v>
                </c:pt>
                <c:pt idx="1851">
                  <c:v>9.2687216486719848E-3</c:v>
                </c:pt>
                <c:pt idx="1852">
                  <c:v>9.26598197746209E-3</c:v>
                </c:pt>
                <c:pt idx="1853">
                  <c:v>9.2632651096913321E-3</c:v>
                </c:pt>
                <c:pt idx="1854">
                  <c:v>9.2605710453597112E-3</c:v>
                </c:pt>
                <c:pt idx="1855">
                  <c:v>9.2578997845471633E-3</c:v>
                </c:pt>
                <c:pt idx="1856">
                  <c:v>9.2552513271737524E-3</c:v>
                </c:pt>
                <c:pt idx="1857">
                  <c:v>9.2526256733194145E-3</c:v>
                </c:pt>
                <c:pt idx="1858">
                  <c:v>9.2500228228242776E-3</c:v>
                </c:pt>
                <c:pt idx="1859">
                  <c:v>9.2474427758482136E-3</c:v>
                </c:pt>
                <c:pt idx="1860">
                  <c:v>9.2448855323112866E-3</c:v>
                </c:pt>
                <c:pt idx="1861">
                  <c:v>9.2423510922134966E-3</c:v>
                </c:pt>
                <c:pt idx="1862">
                  <c:v>9.2398394556347796E-3</c:v>
                </c:pt>
                <c:pt idx="1863">
                  <c:v>9.2373506224951996E-3</c:v>
                </c:pt>
                <c:pt idx="1864">
                  <c:v>9.2348845928746925E-3</c:v>
                </c:pt>
                <c:pt idx="1865">
                  <c:v>9.2324413666133864E-3</c:v>
                </c:pt>
                <c:pt idx="1866">
                  <c:v>9.2299673068962917E-3</c:v>
                </c:pt>
                <c:pt idx="1867">
                  <c:v>9.2276233246479933E-3</c:v>
                </c:pt>
                <c:pt idx="1868">
                  <c:v>9.2252485087840341E-3</c:v>
                </c:pt>
                <c:pt idx="1869">
                  <c:v>9.2228964963592119E-3</c:v>
                </c:pt>
                <c:pt idx="1870">
                  <c:v>9.2205672874534628E-3</c:v>
                </c:pt>
                <c:pt idx="1871">
                  <c:v>9.2182608819868506E-3</c:v>
                </c:pt>
                <c:pt idx="1872">
                  <c:v>9.2159772800393114E-3</c:v>
                </c:pt>
                <c:pt idx="1873">
                  <c:v>9.2137164814509731E-3</c:v>
                </c:pt>
                <c:pt idx="1874">
                  <c:v>9.2114784863817079E-3</c:v>
                </c:pt>
                <c:pt idx="1875">
                  <c:v>9.2092632948315156E-3</c:v>
                </c:pt>
                <c:pt idx="1876">
                  <c:v>9.2070709066405243E-3</c:v>
                </c:pt>
                <c:pt idx="1877">
                  <c:v>9.204901321968606E-3</c:v>
                </c:pt>
                <c:pt idx="1878">
                  <c:v>9.2027545406558886E-3</c:v>
                </c:pt>
                <c:pt idx="1879">
                  <c:v>9.2006305628622442E-3</c:v>
                </c:pt>
                <c:pt idx="1880">
                  <c:v>9.1985293885077368E-3</c:v>
                </c:pt>
                <c:pt idx="1881">
                  <c:v>9.1964510176723024E-3</c:v>
                </c:pt>
                <c:pt idx="1882">
                  <c:v>9.194395450276005E-3</c:v>
                </c:pt>
                <c:pt idx="1883">
                  <c:v>9.1923626862389085E-3</c:v>
                </c:pt>
                <c:pt idx="1884">
                  <c:v>9.190352725720885E-3</c:v>
                </c:pt>
                <c:pt idx="1885">
                  <c:v>9.1883655686419985E-3</c:v>
                </c:pt>
                <c:pt idx="1886">
                  <c:v>9.1864012150022489E-3</c:v>
                </c:pt>
                <c:pt idx="1887">
                  <c:v>9.1844596648815724E-3</c:v>
                </c:pt>
                <c:pt idx="1888">
                  <c:v>9.1825409182000328E-3</c:v>
                </c:pt>
                <c:pt idx="1889">
                  <c:v>9.1806449748776942E-3</c:v>
                </c:pt>
                <c:pt idx="1890">
                  <c:v>9.1787718350744285E-3</c:v>
                </c:pt>
                <c:pt idx="1891">
                  <c:v>9.1769214987102998E-3</c:v>
                </c:pt>
                <c:pt idx="1892">
                  <c:v>9.1750939657853081E-3</c:v>
                </c:pt>
                <c:pt idx="1893">
                  <c:v>9.1732892362994534E-3</c:v>
                </c:pt>
                <c:pt idx="1894">
                  <c:v>9.1715073103326716E-3</c:v>
                </c:pt>
                <c:pt idx="1895">
                  <c:v>9.1697481878050269E-3</c:v>
                </c:pt>
                <c:pt idx="1896">
                  <c:v>9.168011868636583E-3</c:v>
                </c:pt>
                <c:pt idx="1897">
                  <c:v>9.1662983529872122E-3</c:v>
                </c:pt>
                <c:pt idx="1898">
                  <c:v>9.1646076407769783E-3</c:v>
                </c:pt>
                <c:pt idx="1899">
                  <c:v>9.1629397320058814E-3</c:v>
                </c:pt>
                <c:pt idx="1900">
                  <c:v>9.1612946266739215E-3</c:v>
                </c:pt>
                <c:pt idx="1901">
                  <c:v>9.1596723248610346E-3</c:v>
                </c:pt>
                <c:pt idx="1902">
                  <c:v>9.1580728264073485E-3</c:v>
                </c:pt>
                <c:pt idx="1903">
                  <c:v>9.1564961313927995E-3</c:v>
                </c:pt>
                <c:pt idx="1904">
                  <c:v>9.1549422398173874E-3</c:v>
                </c:pt>
                <c:pt idx="1905">
                  <c:v>9.1534111517610484E-3</c:v>
                </c:pt>
                <c:pt idx="1906">
                  <c:v>9.1519028671438463E-3</c:v>
                </c:pt>
                <c:pt idx="1907">
                  <c:v>9.1504173859657811E-3</c:v>
                </c:pt>
                <c:pt idx="1908">
                  <c:v>9.148954708226853E-3</c:v>
                </c:pt>
                <c:pt idx="1909">
                  <c:v>9.1475148338471257E-3</c:v>
                </c:pt>
                <c:pt idx="1910">
                  <c:v>9.1460977630664075E-3</c:v>
                </c:pt>
                <c:pt idx="1911">
                  <c:v>9.1447034956448903E-3</c:v>
                </c:pt>
                <c:pt idx="1912">
                  <c:v>9.14333203166251E-3</c:v>
                </c:pt>
                <c:pt idx="1913">
                  <c:v>9.1419833711192666E-3</c:v>
                </c:pt>
                <c:pt idx="1914">
                  <c:v>9.1406575140151602E-3</c:v>
                </c:pt>
                <c:pt idx="1915">
                  <c:v>9.1393544603501908E-3</c:v>
                </c:pt>
                <c:pt idx="1916">
                  <c:v>9.1380742102042944E-3</c:v>
                </c:pt>
                <c:pt idx="1917">
                  <c:v>9.136816763497535E-3</c:v>
                </c:pt>
                <c:pt idx="1918">
                  <c:v>9.1355821201499765E-3</c:v>
                </c:pt>
                <c:pt idx="1919">
                  <c:v>9.134370280321491E-3</c:v>
                </c:pt>
                <c:pt idx="1920">
                  <c:v>9.1331812438522064E-3</c:v>
                </c:pt>
                <c:pt idx="1921">
                  <c:v>9.1320484617840592E-3</c:v>
                </c:pt>
                <c:pt idx="1922">
                  <c:v>9.1308715813109842E-3</c:v>
                </c:pt>
                <c:pt idx="1923">
                  <c:v>9.1297509552390466E-3</c:v>
                </c:pt>
                <c:pt idx="1924">
                  <c:v>9.1286531326062459E-3</c:v>
                </c:pt>
                <c:pt idx="1925">
                  <c:v>9.1275781133326461E-3</c:v>
                </c:pt>
                <c:pt idx="1926">
                  <c:v>9.1265258975781194E-3</c:v>
                </c:pt>
                <c:pt idx="1927">
                  <c:v>9.1254964851827935E-3</c:v>
                </c:pt>
                <c:pt idx="1928">
                  <c:v>9.1244898763864768E-3</c:v>
                </c:pt>
                <c:pt idx="1929">
                  <c:v>9.1235060708694249E-3</c:v>
                </c:pt>
                <c:pt idx="1930">
                  <c:v>9.122545068871446E-3</c:v>
                </c:pt>
                <c:pt idx="1931">
                  <c:v>9.1216068703126041E-3</c:v>
                </c:pt>
                <c:pt idx="1932">
                  <c:v>9.1206914751928991E-3</c:v>
                </c:pt>
                <c:pt idx="1933">
                  <c:v>9.1197988835123311E-3</c:v>
                </c:pt>
                <c:pt idx="1934">
                  <c:v>9.1189290951909641E-3</c:v>
                </c:pt>
                <c:pt idx="1935">
                  <c:v>9.11808211038867E-3</c:v>
                </c:pt>
                <c:pt idx="1936">
                  <c:v>9.1172579290255129E-3</c:v>
                </c:pt>
                <c:pt idx="1937">
                  <c:v>9.1164565511014928E-3</c:v>
                </c:pt>
                <c:pt idx="1938">
                  <c:v>9.1156779766166096E-3</c:v>
                </c:pt>
                <c:pt idx="1939">
                  <c:v>9.1149222055708634E-3</c:v>
                </c:pt>
                <c:pt idx="1940">
                  <c:v>9.1141892379642542E-3</c:v>
                </c:pt>
                <c:pt idx="1941">
                  <c:v>9.1134790737967819E-3</c:v>
                </c:pt>
                <c:pt idx="1942">
                  <c:v>9.1127917129885105E-3</c:v>
                </c:pt>
                <c:pt idx="1943">
                  <c:v>9.1121271556993122E-3</c:v>
                </c:pt>
                <c:pt idx="1944">
                  <c:v>9.1114854018492508E-3</c:v>
                </c:pt>
                <c:pt idx="1945">
                  <c:v>9.1108664514383264E-3</c:v>
                </c:pt>
                <c:pt idx="1946">
                  <c:v>9.1102703043866029E-3</c:v>
                </c:pt>
                <c:pt idx="1947">
                  <c:v>9.1096969608539524E-3</c:v>
                </c:pt>
                <c:pt idx="1948">
                  <c:v>9.1091464207604389E-3</c:v>
                </c:pt>
                <c:pt idx="1949">
                  <c:v>9.1086186840261263E-3</c:v>
                </c:pt>
                <c:pt idx="1950">
                  <c:v>9.1081137508108867E-3</c:v>
                </c:pt>
                <c:pt idx="1951">
                  <c:v>9.1076316210347841E-3</c:v>
                </c:pt>
                <c:pt idx="1952">
                  <c:v>9.1071722946178824E-3</c:v>
                </c:pt>
                <c:pt idx="1953">
                  <c:v>9.1067357717200537E-3</c:v>
                </c:pt>
                <c:pt idx="1954">
                  <c:v>9.1063220522613619E-3</c:v>
                </c:pt>
                <c:pt idx="1955">
                  <c:v>9.1059311361618711E-3</c:v>
                </c:pt>
                <c:pt idx="1956">
                  <c:v>9.1055630235015173E-3</c:v>
                </c:pt>
                <c:pt idx="1957">
                  <c:v>9.1052177143602364E-3</c:v>
                </c:pt>
                <c:pt idx="1958">
                  <c:v>9.1048952086580925E-3</c:v>
                </c:pt>
                <c:pt idx="1959">
                  <c:v>9.1045955063151496E-3</c:v>
                </c:pt>
                <c:pt idx="1960">
                  <c:v>9.1043186074912796E-3</c:v>
                </c:pt>
                <c:pt idx="1961">
                  <c:v>9.1040645119466745E-3</c:v>
                </c:pt>
                <c:pt idx="1962">
                  <c:v>9.1038332200010785E-3</c:v>
                </c:pt>
                <c:pt idx="1963">
                  <c:v>9.1036247314146834E-3</c:v>
                </c:pt>
                <c:pt idx="1964">
                  <c:v>9.1034390463473613E-3</c:v>
                </c:pt>
                <c:pt idx="1965">
                  <c:v>9.1032761646392402E-3</c:v>
                </c:pt>
                <c:pt idx="1966">
                  <c:v>9.103136086370256E-3</c:v>
                </c:pt>
                <c:pt idx="1967">
                  <c:v>9.1030188115404087E-3</c:v>
                </c:pt>
                <c:pt idx="1968">
                  <c:v>9.1029243402296345E-3</c:v>
                </c:pt>
                <c:pt idx="1969">
                  <c:v>9.1028526722780612E-3</c:v>
                </c:pt>
                <c:pt idx="1970">
                  <c:v>9.1028038077656248E-3</c:v>
                </c:pt>
                <c:pt idx="1971">
                  <c:v>9.1027777466923254E-3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60448"/>
        <c:axId val="473961984"/>
      </c:lineChart>
      <c:dateAx>
        <c:axId val="473960448"/>
        <c:scaling>
          <c:orientation val="minMax"/>
          <c:max val="42502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7396198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73961984"/>
        <c:scaling>
          <c:orientation val="minMax"/>
          <c:max val="-2E-3"/>
          <c:min val="-6.0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39604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May  5 2015 15:27:06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113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112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111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110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109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/>
      <c r="E11" s="129"/>
      <c r="F11" s="129"/>
      <c r="G11" s="125"/>
      <c r="K11" s="45"/>
      <c r="L11" s="149" t="s">
        <v>108</v>
      </c>
      <c r="M11" s="135" t="s">
        <v>162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126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_CHFYCON#0006</v>
      </c>
      <c r="E14" s="129"/>
      <c r="F14" s="129"/>
      <c r="G14" s="125"/>
      <c r="K14" s="45"/>
      <c r="L14" s="149" t="s">
        <v>125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1</v>
      </c>
      <c r="E17" s="129"/>
      <c r="F17" s="129"/>
      <c r="G17" s="125"/>
      <c r="K17" s="126" t="s">
        <v>154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156</v>
      </c>
      <c r="M19" s="135" t="s">
        <v>128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158</v>
      </c>
      <c r="M20" s="142" t="s">
        <v>160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157</v>
      </c>
      <c r="M21" s="135" t="s">
        <v>161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155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127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42136</v>
      </c>
      <c r="D27" s="171">
        <f>_xll.qlYieldTSDiscount(YieldCurve,C27)</f>
        <v>1</v>
      </c>
      <c r="E27" s="129"/>
      <c r="F27" s="129"/>
      <c r="G27" s="125"/>
    </row>
    <row r="28" spans="1:14" x14ac:dyDescent="0.2">
      <c r="B28" s="127"/>
      <c r="C28" s="172">
        <f>MAX(_xll.ohPack(Selected!I2:I126))</f>
        <v>53097</v>
      </c>
      <c r="D28" s="138">
        <f>_xll.qlYieldTSDiscount(YieldCurve,C28)</f>
        <v>0.80086084428516247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[1]Libor!$D$6</f>
        <v>CHFON#0001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129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showInputMessage="1" showErrorMessage="1" sqref="M11"/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7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130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obj_00291#0002</v>
      </c>
      <c r="B2" s="121" t="str">
        <f>_xll.qlRateHelperQuoteName(A2)</f>
        <v>CHFTND_Quote</v>
      </c>
      <c r="C2" s="11">
        <f>_xll.qlRateHelperQuoteValue($A2,Trigger)</f>
        <v>-3.725E-3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42136</v>
      </c>
      <c r="I2" s="9">
        <f>_xll.qlRateHelperLatestDate($A2,Trigger)</f>
        <v>42137</v>
      </c>
    </row>
    <row r="3" spans="1:9" x14ac:dyDescent="0.2">
      <c r="A3" s="12" t="str">
        <f>Deposits!E4</f>
        <v>obj_00290#0002</v>
      </c>
      <c r="B3" s="121" t="str">
        <f>_xll.qlRateHelperQuoteName(A3)</f>
        <v>CHFSND_Quote</v>
      </c>
      <c r="C3" s="11">
        <f>_xll.qlRateHelperQuoteValue($A3,Trigger)</f>
        <v>-7.6500000000000005E-3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42137</v>
      </c>
      <c r="I3" s="9">
        <f>_xll.qlRateHelperLatestDate($A3,Trigger)</f>
        <v>42139</v>
      </c>
    </row>
    <row r="4" spans="1:9" x14ac:dyDescent="0.2">
      <c r="A4" s="18" t="str">
        <f>Swaps!J5</f>
        <v>obj_002c7#0002</v>
      </c>
      <c r="B4" s="122" t="str">
        <f>_xll.qlRateHelperQuoteName(A4)</f>
        <v>CHFOISSW_Quote</v>
      </c>
      <c r="C4" s="17" t="e">
        <f>_xll.qlRateHelperQuoteValue($A4,Trigger)</f>
        <v>#NUM!</v>
      </c>
      <c r="D4" s="17" t="e">
        <f>_xll.qlSwapRateHelperSpread($A4,Trigger)</f>
        <v>#NUM!</v>
      </c>
      <c r="E4" s="60" t="b">
        <f>IF(ISERROR(C4),FALSE,TRUE)</f>
        <v>0</v>
      </c>
      <c r="F4" s="16">
        <v>50</v>
      </c>
      <c r="G4" s="16">
        <v>1</v>
      </c>
      <c r="H4" s="15">
        <f>_xll.qlRateHelperEarliestDate($A4,Trigger)</f>
        <v>42137</v>
      </c>
      <c r="I4" s="14">
        <f>_xll.qlRateHelperLatestDate($A4,Trigger)</f>
        <v>42144</v>
      </c>
    </row>
    <row r="5" spans="1:9" x14ac:dyDescent="0.2">
      <c r="A5" s="12" t="str">
        <f>Swaps!J6</f>
        <v>obj_002a1#0002</v>
      </c>
      <c r="B5" s="121" t="str">
        <f>_xll.qlRateHelperQuoteName(A5)</f>
        <v>CHFOIS2W_Quote</v>
      </c>
      <c r="C5" s="11" t="e">
        <f>_xll.qlRateHelperQuoteValue($A5,Trigger)</f>
        <v>#NUM!</v>
      </c>
      <c r="D5" s="11" t="e">
        <f>_xll.qlSwapRateHelperSpread($A5,Trigger)</f>
        <v>#NUM!</v>
      </c>
      <c r="E5" s="186" t="b">
        <f t="shared" ref="E5:E57" si="0">IF(ISERROR(C5),FALSE,TRUE)</f>
        <v>0</v>
      </c>
      <c r="F5" s="6">
        <v>50</v>
      </c>
      <c r="G5" s="6">
        <v>1</v>
      </c>
      <c r="H5" s="10">
        <f>_xll.qlRateHelperEarliestDate($A5,Trigger)</f>
        <v>42137</v>
      </c>
      <c r="I5" s="9">
        <f>_xll.qlRateHelperLatestDate($A5,Trigger)</f>
        <v>42151</v>
      </c>
    </row>
    <row r="6" spans="1:9" x14ac:dyDescent="0.2">
      <c r="A6" s="12" t="str">
        <f>Swaps!J7</f>
        <v>obj_00296#0002</v>
      </c>
      <c r="B6" s="121" t="str">
        <f>_xll.qlRateHelperQuoteName(A6)</f>
        <v>CHFOIS3W_Quote</v>
      </c>
      <c r="C6" s="11" t="e">
        <f>_xll.qlRateHelperQuoteValue($A6,Trigger)</f>
        <v>#NUM!</v>
      </c>
      <c r="D6" s="11" t="e">
        <f>_xll.qlSwapRateHelperSpread($A6,Trigger)</f>
        <v>#NUM!</v>
      </c>
      <c r="E6" s="186" t="b">
        <f t="shared" si="0"/>
        <v>0</v>
      </c>
      <c r="F6" s="6">
        <v>50</v>
      </c>
      <c r="G6" s="6">
        <v>1</v>
      </c>
      <c r="H6" s="10">
        <f>_xll.qlRateHelperEarliestDate($A6,Trigger)</f>
        <v>42137</v>
      </c>
      <c r="I6" s="9">
        <f>_xll.qlRateHelperLatestDate($A6,Trigger)</f>
        <v>42158</v>
      </c>
    </row>
    <row r="7" spans="1:9" x14ac:dyDescent="0.2">
      <c r="A7" s="12" t="str">
        <f>Swaps!J8</f>
        <v>obj_002a2#0002</v>
      </c>
      <c r="B7" s="121" t="str">
        <f>_xll.qlRateHelperQuoteName(A7)</f>
        <v>CHFOIS1M_Quote</v>
      </c>
      <c r="C7" s="11">
        <f>_xll.qlRateHelperQuoteValue($A7,Trigger)</f>
        <v>-3.8E-3</v>
      </c>
      <c r="D7" s="11" t="e">
        <f>_xll.qlSwapRateHelperSpread($A7,Trigger)</f>
        <v>#NUM!</v>
      </c>
      <c r="E7" s="186" t="b">
        <f t="shared" si="0"/>
        <v>1</v>
      </c>
      <c r="F7" s="6">
        <v>50</v>
      </c>
      <c r="G7" s="6">
        <v>1</v>
      </c>
      <c r="H7" s="10">
        <f>_xll.qlRateHelperEarliestDate($A7,Trigger)</f>
        <v>42137</v>
      </c>
      <c r="I7" s="9">
        <f>_xll.qlRateHelperLatestDate($A7,Trigger)</f>
        <v>42170</v>
      </c>
    </row>
    <row r="8" spans="1:9" x14ac:dyDescent="0.2">
      <c r="A8" s="12" t="str">
        <f>Swaps!J9</f>
        <v>obj_002b9#0002</v>
      </c>
      <c r="B8" s="121" t="str">
        <f>_xll.qlRateHelperQuoteName(A8)</f>
        <v>CHFOIS2M_Quote</v>
      </c>
      <c r="C8" s="11">
        <f>_xll.qlRateHelperQuoteValue($A8,Trigger)</f>
        <v>-4.3000000000000009E-3</v>
      </c>
      <c r="D8" s="11" t="e">
        <f>_xll.qlSwapRateHelperSpread($A8,Trigger)</f>
        <v>#NUM!</v>
      </c>
      <c r="E8" s="186" t="b">
        <f t="shared" si="0"/>
        <v>1</v>
      </c>
      <c r="F8" s="6">
        <v>50</v>
      </c>
      <c r="G8" s="6">
        <v>1</v>
      </c>
      <c r="H8" s="10">
        <f>_xll.qlRateHelperEarliestDate($A8,Trigger)</f>
        <v>42137</v>
      </c>
      <c r="I8" s="9">
        <f>_xll.qlRateHelperLatestDate($A8,Trigger)</f>
        <v>42198</v>
      </c>
    </row>
    <row r="9" spans="1:9" x14ac:dyDescent="0.2">
      <c r="A9" s="12" t="str">
        <f>Swaps!J10</f>
        <v>obj_00298#0002</v>
      </c>
      <c r="B9" s="121" t="str">
        <f>_xll.qlRateHelperQuoteName(A9)</f>
        <v>CHFOIS3M_Quote</v>
      </c>
      <c r="C9" s="11">
        <f>_xll.qlRateHelperQuoteValue($A9,Trigger)</f>
        <v>-4.5000000000000005E-3</v>
      </c>
      <c r="D9" s="11" t="e">
        <f>_xll.qlSwapRateHelperSpread($A9,Trigger)</f>
        <v>#NUM!</v>
      </c>
      <c r="E9" s="186" t="b">
        <f t="shared" si="0"/>
        <v>1</v>
      </c>
      <c r="F9" s="6">
        <v>50</v>
      </c>
      <c r="G9" s="6">
        <v>1</v>
      </c>
      <c r="H9" s="10">
        <f>_xll.qlRateHelperEarliestDate($A9,Trigger)</f>
        <v>42137</v>
      </c>
      <c r="I9" s="9">
        <f>_xll.qlRateHelperLatestDate($A9,Trigger)</f>
        <v>42229</v>
      </c>
    </row>
    <row r="10" spans="1:9" x14ac:dyDescent="0.2">
      <c r="A10" s="12" t="str">
        <f>Swaps!J11</f>
        <v>obj_002b6#0002</v>
      </c>
      <c r="B10" s="121" t="str">
        <f>_xll.qlRateHelperQuoteName(A10)</f>
        <v>CHFOIS4M_Quote</v>
      </c>
      <c r="C10" s="11">
        <f>_xll.qlRateHelperQuoteValue($A10,Trigger)</f>
        <v>-4.8500000000000001E-3</v>
      </c>
      <c r="D10" s="11" t="e">
        <f>_xll.qlSwapRateHelperSpread($A10,Trigger)</f>
        <v>#NUM!</v>
      </c>
      <c r="E10" s="186" t="b">
        <f t="shared" si="0"/>
        <v>1</v>
      </c>
      <c r="F10" s="6">
        <v>50</v>
      </c>
      <c r="G10" s="6">
        <v>1</v>
      </c>
      <c r="H10" s="10">
        <f>_xll.qlRateHelperEarliestDate($A10,Trigger)</f>
        <v>42137</v>
      </c>
      <c r="I10" s="9">
        <f>_xll.qlRateHelperLatestDate($A10,Trigger)</f>
        <v>42261</v>
      </c>
    </row>
    <row r="11" spans="1:9" x14ac:dyDescent="0.2">
      <c r="A11" s="12" t="str">
        <f>Swaps!J12</f>
        <v>obj_002a3#0002</v>
      </c>
      <c r="B11" s="121" t="str">
        <f>_xll.qlRateHelperQuoteName(A11)</f>
        <v>CHFOIS5M_Quote</v>
      </c>
      <c r="C11" s="11">
        <f>_xll.qlRateHelperQuoteValue($A11,Trigger)</f>
        <v>-5.0000000000000001E-3</v>
      </c>
      <c r="D11" s="11" t="e">
        <f>_xll.qlSwapRateHelperSpread($A11,Trigger)</f>
        <v>#NUM!</v>
      </c>
      <c r="E11" s="186" t="b">
        <f t="shared" si="0"/>
        <v>1</v>
      </c>
      <c r="F11" s="6">
        <v>50</v>
      </c>
      <c r="G11" s="6">
        <v>1</v>
      </c>
      <c r="H11" s="10">
        <f>_xll.qlRateHelperEarliestDate($A11,Trigger)</f>
        <v>42137</v>
      </c>
      <c r="I11" s="9">
        <f>_xll.qlRateHelperLatestDate($A11,Trigger)</f>
        <v>42290</v>
      </c>
    </row>
    <row r="12" spans="1:9" x14ac:dyDescent="0.2">
      <c r="A12" s="12" t="str">
        <f>Swaps!J13</f>
        <v>obj_002b3#0002</v>
      </c>
      <c r="B12" s="121" t="str">
        <f>_xll.qlRateHelperQuoteName(A12)</f>
        <v>CHFOIS6M_Quote</v>
      </c>
      <c r="C12" s="11">
        <f>_xll.qlRateHelperQuoteValue($A12,Trigger)</f>
        <v>-5.1000000000000004E-3</v>
      </c>
      <c r="D12" s="11" t="e">
        <f>_xll.qlSwapRateHelperSpread($A12,Trigger)</f>
        <v>#NUM!</v>
      </c>
      <c r="E12" s="186" t="b">
        <f t="shared" si="0"/>
        <v>1</v>
      </c>
      <c r="F12" s="6">
        <v>50</v>
      </c>
      <c r="G12" s="6">
        <v>1</v>
      </c>
      <c r="H12" s="10">
        <f>_xll.qlRateHelperEarliestDate($A12,Trigger)</f>
        <v>42137</v>
      </c>
      <c r="I12" s="9">
        <f>_xll.qlRateHelperLatestDate($A12,Trigger)</f>
        <v>42321</v>
      </c>
    </row>
    <row r="13" spans="1:9" x14ac:dyDescent="0.2">
      <c r="A13" s="12" t="str">
        <f>Swaps!J14</f>
        <v>obj_002aa#0002</v>
      </c>
      <c r="B13" s="121" t="str">
        <f>_xll.qlRateHelperQuoteName(A13)</f>
        <v>CHFOIS7M_Quote</v>
      </c>
      <c r="C13" s="11">
        <f>_xll.qlRateHelperQuoteValue($A13,Trigger)</f>
        <v>-5.1500000000000001E-3</v>
      </c>
      <c r="D13" s="11" t="e">
        <f>_xll.qlSwapRateHelperSpread($A13,Trigger)</f>
        <v>#NUM!</v>
      </c>
      <c r="E13" s="186" t="b">
        <f t="shared" si="0"/>
        <v>1</v>
      </c>
      <c r="F13" s="6">
        <v>50</v>
      </c>
      <c r="G13" s="6">
        <v>1</v>
      </c>
      <c r="H13" s="10">
        <f>_xll.qlRateHelperEarliestDate($A13,Trigger)</f>
        <v>42137</v>
      </c>
      <c r="I13" s="9">
        <f>_xll.qlRateHelperLatestDate($A13,Trigger)</f>
        <v>42352</v>
      </c>
    </row>
    <row r="14" spans="1:9" x14ac:dyDescent="0.2">
      <c r="A14" s="12" t="str">
        <f>Swaps!J15</f>
        <v>obj_002b7#0002</v>
      </c>
      <c r="B14" s="121" t="str">
        <f>_xll.qlRateHelperQuoteName(A14)</f>
        <v>CHFOIS8M_Quote</v>
      </c>
      <c r="C14" s="11">
        <f>_xll.qlRateHelperQuoteValue($A14,Trigger)</f>
        <v>-5.1500000000000001E-3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42137</v>
      </c>
      <c r="I14" s="9">
        <f>_xll.qlRateHelperLatestDate($A14,Trigger)</f>
        <v>42382</v>
      </c>
    </row>
    <row r="15" spans="1:9" x14ac:dyDescent="0.2">
      <c r="A15" s="12" t="str">
        <f>Swaps!J16</f>
        <v>obj_002b8#0002</v>
      </c>
      <c r="B15" s="121" t="str">
        <f>_xll.qlRateHelperQuoteName(A15)</f>
        <v>CHFOIS9M_Quote</v>
      </c>
      <c r="C15" s="11">
        <f>_xll.qlRateHelperQuoteValue($A15,Trigger)</f>
        <v>-5.1999999999999998E-3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42137</v>
      </c>
      <c r="I15" s="9">
        <f>_xll.qlRateHelperLatestDate($A15,Trigger)</f>
        <v>42415</v>
      </c>
    </row>
    <row r="16" spans="1:9" x14ac:dyDescent="0.2">
      <c r="A16" s="12" t="str">
        <f>Swaps!J17</f>
        <v>obj_002ba#0002</v>
      </c>
      <c r="B16" s="121" t="str">
        <f>_xll.qlRateHelperQuoteName(A16)</f>
        <v>CHFOIS10M_Quote</v>
      </c>
      <c r="C16" s="11">
        <f>_xll.qlRateHelperQuoteValue($A16,Trigger)</f>
        <v>-5.1999999999999998E-3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42137</v>
      </c>
      <c r="I16" s="9">
        <f>_xll.qlRateHelperLatestDate($A16,Trigger)</f>
        <v>42443</v>
      </c>
    </row>
    <row r="17" spans="1:9" x14ac:dyDescent="0.2">
      <c r="A17" s="12" t="str">
        <f>Swaps!J18</f>
        <v>obj_002a0#0002</v>
      </c>
      <c r="B17" s="121" t="str">
        <f>_xll.qlRateHelperQuoteName(A17)</f>
        <v>CHFOIS11M_Quote</v>
      </c>
      <c r="C17" s="11">
        <f>_xll.qlRateHelperQuoteValue($A17,Trigger)</f>
        <v>-5.1999999999999998E-3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42137</v>
      </c>
      <c r="I17" s="9">
        <f>_xll.qlRateHelperLatestDate($A17,Trigger)</f>
        <v>42473</v>
      </c>
    </row>
    <row r="18" spans="1:9" x14ac:dyDescent="0.2">
      <c r="A18" s="12" t="str">
        <f>Swaps!J19</f>
        <v>obj_002c6#0002</v>
      </c>
      <c r="B18" s="121" t="str">
        <f>_xll.qlRateHelperQuoteName(A18)</f>
        <v>CHFOIS1Y_Quote</v>
      </c>
      <c r="C18" s="11">
        <f>_xll.qlRateHelperQuoteValue($A18,Trigger)</f>
        <v>-5.1999999999999998E-3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42137</v>
      </c>
      <c r="I18" s="9">
        <f>_xll.qlRateHelperLatestDate($A18,Trigger)</f>
        <v>42503</v>
      </c>
    </row>
    <row r="19" spans="1:9" x14ac:dyDescent="0.2">
      <c r="A19" s="12" t="str">
        <f>Swaps!J20</f>
        <v>obj_0029b#0002</v>
      </c>
      <c r="B19" s="121" t="str">
        <f>_xll.qlRateHelperQuoteName(A19)</f>
        <v>CHFOIS13M_Quote</v>
      </c>
      <c r="C19" s="11" t="e">
        <f>_xll.qlRateHelperQuoteValue($A19,Trigger)</f>
        <v>#NUM!</v>
      </c>
      <c r="D19" s="11" t="e">
        <f>_xll.qlSwapRateHelperSpread($A19,Trigger)</f>
        <v>#NUM!</v>
      </c>
      <c r="E19" s="186" t="b">
        <f t="shared" si="0"/>
        <v>0</v>
      </c>
      <c r="F19" s="6">
        <v>50</v>
      </c>
      <c r="G19" s="6">
        <v>1</v>
      </c>
      <c r="H19" s="10">
        <f>_xll.qlRateHelperEarliestDate($A19,Trigger)</f>
        <v>42137</v>
      </c>
      <c r="I19" s="9">
        <f>_xll.qlRateHelperLatestDate($A19,Trigger)</f>
        <v>42534</v>
      </c>
    </row>
    <row r="20" spans="1:9" x14ac:dyDescent="0.2">
      <c r="A20" s="12" t="str">
        <f>Swaps!J21</f>
        <v>obj_002c2#0002</v>
      </c>
      <c r="B20" s="121" t="str">
        <f>_xll.qlRateHelperQuoteName(A20)</f>
        <v>CHFOIS14M_Quote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186" t="b">
        <f t="shared" si="0"/>
        <v>0</v>
      </c>
      <c r="F20" s="6">
        <v>50</v>
      </c>
      <c r="G20" s="6">
        <v>1</v>
      </c>
      <c r="H20" s="10">
        <f>_xll.qlRateHelperEarliestDate($A20,Trigger)</f>
        <v>42137</v>
      </c>
      <c r="I20" s="9">
        <f>_xll.qlRateHelperLatestDate($A20,Trigger)</f>
        <v>42564</v>
      </c>
    </row>
    <row r="21" spans="1:9" x14ac:dyDescent="0.2">
      <c r="A21" s="12" t="str">
        <f>Swaps!J22</f>
        <v>obj_002a9#0002</v>
      </c>
      <c r="B21" s="121" t="str">
        <f>_xll.qlRateHelperQuoteName(A21)</f>
        <v>CHFOIS15M_Quote</v>
      </c>
      <c r="C21" s="11">
        <f>_xll.qlRateHelperQuoteValue($A21,Trigger)</f>
        <v>-5.1500000000000001E-3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42137</v>
      </c>
      <c r="I21" s="9">
        <f>_xll.qlRateHelperLatestDate($A21,Trigger)</f>
        <v>42597</v>
      </c>
    </row>
    <row r="22" spans="1:9" x14ac:dyDescent="0.2">
      <c r="A22" s="12" t="str">
        <f>Swaps!J23</f>
        <v>obj_002bc#0002</v>
      </c>
      <c r="B22" s="121" t="str">
        <f>_xll.qlRateHelperQuoteName(A22)</f>
        <v>CHFOIS16M_Quote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86" t="b">
        <f t="shared" si="0"/>
        <v>0</v>
      </c>
      <c r="F22" s="6">
        <v>50</v>
      </c>
      <c r="G22" s="6">
        <v>1</v>
      </c>
      <c r="H22" s="10">
        <f>_xll.qlRateHelperEarliestDate($A22,Trigger)</f>
        <v>42137</v>
      </c>
      <c r="I22" s="9">
        <f>_xll.qlRateHelperLatestDate($A22,Trigger)</f>
        <v>42626</v>
      </c>
    </row>
    <row r="23" spans="1:9" x14ac:dyDescent="0.2">
      <c r="A23" s="12" t="str">
        <f>Swaps!J24</f>
        <v>obj_002a6#0002</v>
      </c>
      <c r="B23" s="121" t="str">
        <f>_xll.qlRateHelperQuoteName(A23)</f>
        <v>CHFOIS17M_Quote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86" t="b">
        <f t="shared" si="0"/>
        <v>0</v>
      </c>
      <c r="F23" s="6">
        <v>50</v>
      </c>
      <c r="G23" s="6">
        <v>1</v>
      </c>
      <c r="H23" s="10">
        <f>_xll.qlRateHelperEarliestDate($A23,Trigger)</f>
        <v>42137</v>
      </c>
      <c r="I23" s="9">
        <f>_xll.qlRateHelperLatestDate($A23,Trigger)</f>
        <v>42656</v>
      </c>
    </row>
    <row r="24" spans="1:9" x14ac:dyDescent="0.2">
      <c r="A24" s="12" t="str">
        <f>Swaps!J25</f>
        <v>obj_002c0#0002</v>
      </c>
      <c r="B24" s="121" t="str">
        <f>_xll.qlRateHelperQuoteName(A24)</f>
        <v>CHFOIS18M_Quote</v>
      </c>
      <c r="C24" s="11">
        <f>_xll.qlRateHelperQuoteValue($A24,Trigger)</f>
        <v>-5.0499999999999998E-3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42137</v>
      </c>
      <c r="I24" s="9">
        <f>_xll.qlRateHelperLatestDate($A24,Trigger)</f>
        <v>42688</v>
      </c>
    </row>
    <row r="25" spans="1:9" x14ac:dyDescent="0.2">
      <c r="A25" s="12" t="str">
        <f>Swaps!J26</f>
        <v>obj_00295#0002</v>
      </c>
      <c r="B25" s="121" t="str">
        <f>_xll.qlRateHelperQuoteName(A25)</f>
        <v>CHFOIS19M_Quote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86" t="b">
        <f t="shared" si="0"/>
        <v>0</v>
      </c>
      <c r="F25" s="6">
        <v>50</v>
      </c>
      <c r="G25" s="6">
        <v>1</v>
      </c>
      <c r="H25" s="10">
        <f>_xll.qlRateHelperEarliestDate($A25,Trigger)</f>
        <v>42137</v>
      </c>
      <c r="I25" s="9">
        <f>_xll.qlRateHelperLatestDate($A25,Trigger)</f>
        <v>42717</v>
      </c>
    </row>
    <row r="26" spans="1:9" x14ac:dyDescent="0.2">
      <c r="A26" s="12" t="str">
        <f>Swaps!J27</f>
        <v>obj_002a4#0002</v>
      </c>
      <c r="B26" s="121" t="str">
        <f>_xll.qlRateHelperQuoteName(A26)</f>
        <v>CHFOIS20M_Quote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42137</v>
      </c>
      <c r="I26" s="9">
        <f>_xll.qlRateHelperLatestDate($A26,Trigger)</f>
        <v>42748</v>
      </c>
    </row>
    <row r="27" spans="1:9" x14ac:dyDescent="0.2">
      <c r="A27" s="12" t="str">
        <f>Swaps!J28</f>
        <v>obj_002b0#0002</v>
      </c>
      <c r="B27" s="121" t="str">
        <f>_xll.qlRateHelperQuoteName(A27)</f>
        <v>CHFOIS21M_Quote</v>
      </c>
      <c r="C27" s="11">
        <f>_xll.qlRateHelperQuoteValue($A27,Trigger)</f>
        <v>-4.8999999999999998E-3</v>
      </c>
      <c r="D27" s="11" t="e">
        <f>_xll.qlSwapRateHelperSpread($A27,Trigger)</f>
        <v>#NUM!</v>
      </c>
      <c r="E27" s="186" t="b">
        <f t="shared" si="0"/>
        <v>1</v>
      </c>
      <c r="F27" s="6">
        <v>50</v>
      </c>
      <c r="G27" s="6">
        <v>1</v>
      </c>
      <c r="H27" s="10">
        <f>_xll.qlRateHelperEarliestDate($A27,Trigger)</f>
        <v>42137</v>
      </c>
      <c r="I27" s="9">
        <f>_xll.qlRateHelperLatestDate($A27,Trigger)</f>
        <v>42779</v>
      </c>
    </row>
    <row r="28" spans="1:9" x14ac:dyDescent="0.2">
      <c r="A28" s="12" t="str">
        <f>Swaps!J29</f>
        <v>obj_002a7#0002</v>
      </c>
      <c r="B28" s="121" t="str">
        <f>_xll.qlRateHelperQuoteName(A28)</f>
        <v>CHFOIS22M_Quote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86" t="b">
        <f t="shared" si="0"/>
        <v>0</v>
      </c>
      <c r="F28" s="6">
        <v>50</v>
      </c>
      <c r="G28" s="6">
        <v>1</v>
      </c>
      <c r="H28" s="10">
        <f>_xll.qlRateHelperEarliestDate($A28,Trigger)</f>
        <v>42137</v>
      </c>
      <c r="I28" s="9">
        <f>_xll.qlRateHelperLatestDate($A28,Trigger)</f>
        <v>42807</v>
      </c>
    </row>
    <row r="29" spans="1:9" x14ac:dyDescent="0.2">
      <c r="A29" s="12" t="str">
        <f>Swaps!J30</f>
        <v>obj_0029a#0002</v>
      </c>
      <c r="B29" s="121" t="str">
        <f>_xll.qlRateHelperQuoteName(A29)</f>
        <v>CHFOIS23M_Quote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42137</v>
      </c>
      <c r="I29" s="9">
        <f>_xll.qlRateHelperLatestDate($A29,Trigger)</f>
        <v>42838</v>
      </c>
    </row>
    <row r="30" spans="1:9" x14ac:dyDescent="0.2">
      <c r="A30" s="12" t="str">
        <f>Swaps!J31</f>
        <v>obj_002ac#0002</v>
      </c>
      <c r="B30" s="121" t="str">
        <f>_xll.qlRateHelperQuoteName(A30)</f>
        <v>CHFOIS2Y_Quote</v>
      </c>
      <c r="C30" s="11">
        <f>_xll.qlRateHelperQuoteValue($A30,Trigger)</f>
        <v>-4.6999999999999993E-3</v>
      </c>
      <c r="D30" s="11" t="e">
        <f>_xll.qlSwapRateHelperSpread($A30,Trigger)</f>
        <v>#NUM!</v>
      </c>
      <c r="E30" s="186" t="b">
        <f t="shared" si="0"/>
        <v>1</v>
      </c>
      <c r="F30" s="6">
        <v>50</v>
      </c>
      <c r="G30" s="6">
        <v>1</v>
      </c>
      <c r="H30" s="10">
        <f>_xll.qlRateHelperEarliestDate($A30,Trigger)</f>
        <v>42137</v>
      </c>
      <c r="I30" s="9">
        <f>_xll.qlRateHelperLatestDate($A30,Trigger)</f>
        <v>42870</v>
      </c>
    </row>
    <row r="31" spans="1:9" x14ac:dyDescent="0.2">
      <c r="A31" s="12" t="str">
        <f>Swaps!J32</f>
        <v>obj_002c4#0002</v>
      </c>
      <c r="B31" s="121" t="str">
        <f>_xll.qlRateHelperQuoteName(A31)</f>
        <v>CHFOIS27M_Quote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86" t="b">
        <f t="shared" si="0"/>
        <v>0</v>
      </c>
      <c r="F31" s="6">
        <v>50</v>
      </c>
      <c r="G31" s="6">
        <v>1</v>
      </c>
      <c r="H31" s="10">
        <f>_xll.qlRateHelperEarliestDate($A31,Trigger)</f>
        <v>42137</v>
      </c>
      <c r="I31" s="9">
        <f>_xll.qlRateHelperLatestDate($A31,Trigger)</f>
        <v>42961</v>
      </c>
    </row>
    <row r="32" spans="1:9" x14ac:dyDescent="0.2">
      <c r="A32" s="12" t="str">
        <f>Swaps!J33</f>
        <v>obj_002bb#0002</v>
      </c>
      <c r="B32" s="121" t="str">
        <f>_xll.qlRateHelperQuoteName(A32)</f>
        <v>CHFOIS30M_Quote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42137</v>
      </c>
      <c r="I32" s="9">
        <f>_xll.qlRateHelperLatestDate($A32,Trigger)</f>
        <v>43052</v>
      </c>
    </row>
    <row r="33" spans="1:9" x14ac:dyDescent="0.2">
      <c r="A33" s="12" t="str">
        <f>Swaps!J34</f>
        <v>obj_002c1#0002</v>
      </c>
      <c r="B33" s="121" t="str">
        <f>_xll.qlRateHelperQuoteName(A33)</f>
        <v>CHFOIS33M_Quote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42137</v>
      </c>
      <c r="I33" s="9">
        <f>_xll.qlRateHelperLatestDate($A33,Trigger)</f>
        <v>43144</v>
      </c>
    </row>
    <row r="34" spans="1:9" x14ac:dyDescent="0.2">
      <c r="A34" s="12" t="str">
        <f>Swaps!J35</f>
        <v>obj_0029c#0002</v>
      </c>
      <c r="B34" s="121" t="str">
        <f>_xll.qlRateHelperQuoteName(A34)</f>
        <v>CHFOIS3Y_Quote</v>
      </c>
      <c r="C34" s="11">
        <f>_xll.qlRateHelperQuoteValue($A34,Trigger)</f>
        <v>-4.0500000000000006E-3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42137</v>
      </c>
      <c r="I34" s="9">
        <f>_xll.qlRateHelperLatestDate($A34,Trigger)</f>
        <v>43234</v>
      </c>
    </row>
    <row r="35" spans="1:9" x14ac:dyDescent="0.2">
      <c r="A35" s="12" t="str">
        <f>Swaps!J36</f>
        <v>obj_00292#0002</v>
      </c>
      <c r="B35" s="121" t="str">
        <f>_xll.qlRateHelperQuoteName(A35)</f>
        <v>CHFOIS39M_Quote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42137</v>
      </c>
      <c r="I35" s="9">
        <f>_xll.qlRateHelperLatestDate($A35,Trigger)</f>
        <v>43325</v>
      </c>
    </row>
    <row r="36" spans="1:9" x14ac:dyDescent="0.2">
      <c r="A36" s="12" t="str">
        <f>Swaps!J37</f>
        <v>obj_002b2#0002</v>
      </c>
      <c r="B36" s="121" t="str">
        <f>_xll.qlRateHelperQuoteName(A36)</f>
        <v>CHFOIS42M_Quote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42137</v>
      </c>
      <c r="I36" s="9">
        <f>_xll.qlRateHelperLatestDate($A36,Trigger)</f>
        <v>43417</v>
      </c>
    </row>
    <row r="37" spans="1:9" x14ac:dyDescent="0.2">
      <c r="A37" s="12" t="str">
        <f>Swaps!J38</f>
        <v>obj_002ab#0002</v>
      </c>
      <c r="B37" s="121" t="str">
        <f>_xll.qlRateHelperQuoteName(A37)</f>
        <v>CHFOIS45M_Quote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186" t="b">
        <f t="shared" si="0"/>
        <v>0</v>
      </c>
      <c r="F37" s="6">
        <v>50</v>
      </c>
      <c r="G37" s="6">
        <v>1</v>
      </c>
      <c r="H37" s="10">
        <f>_xll.qlRateHelperEarliestDate($A37,Trigger)</f>
        <v>42137</v>
      </c>
      <c r="I37" s="9">
        <f>_xll.qlRateHelperLatestDate($A37,Trigger)</f>
        <v>43509</v>
      </c>
    </row>
    <row r="38" spans="1:9" x14ac:dyDescent="0.2">
      <c r="A38" s="12" t="str">
        <f>Swaps!J39</f>
        <v>obj_002a5#0002</v>
      </c>
      <c r="B38" s="121" t="str">
        <f>_xll.qlRateHelperQuoteName(A38)</f>
        <v>CHFOIS4Y_Quote</v>
      </c>
      <c r="C38" s="11">
        <f>_xll.qlRateHelperQuoteValue($A38,Trigger)</f>
        <v>-3.15E-3</v>
      </c>
      <c r="D38" s="11" t="e">
        <f>_xll.qlSwapRateHelperSpread($A38,Trigger)</f>
        <v>#NUM!</v>
      </c>
      <c r="E38" s="186" t="b">
        <f t="shared" si="0"/>
        <v>1</v>
      </c>
      <c r="F38" s="6">
        <v>50</v>
      </c>
      <c r="G38" s="6">
        <v>1</v>
      </c>
      <c r="H38" s="10">
        <f>_xll.qlRateHelperEarliestDate($A38,Trigger)</f>
        <v>42137</v>
      </c>
      <c r="I38" s="9">
        <f>_xll.qlRateHelperLatestDate($A38,Trigger)</f>
        <v>43598</v>
      </c>
    </row>
    <row r="39" spans="1:9" x14ac:dyDescent="0.2">
      <c r="A39" s="12" t="str">
        <f>Swaps!J40</f>
        <v>obj_002be#0002</v>
      </c>
      <c r="B39" s="121" t="str">
        <f>_xll.qlRateHelperQuoteName(A39)</f>
        <v>CHFOIS51M_Quote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42137</v>
      </c>
      <c r="I39" s="9">
        <f>_xll.qlRateHelperLatestDate($A39,Trigger)</f>
        <v>43690</v>
      </c>
    </row>
    <row r="40" spans="1:9" x14ac:dyDescent="0.2">
      <c r="A40" s="12" t="str">
        <f>Swaps!J41</f>
        <v>obj_002b1#0002</v>
      </c>
      <c r="B40" s="121" t="str">
        <f>_xll.qlRateHelperQuoteName(A40)</f>
        <v>CHFOIS54M_Quote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42137</v>
      </c>
      <c r="I40" s="9">
        <f>_xll.qlRateHelperLatestDate($A40,Trigger)</f>
        <v>43782</v>
      </c>
    </row>
    <row r="41" spans="1:9" x14ac:dyDescent="0.2">
      <c r="A41" s="12" t="str">
        <f>Swaps!J42</f>
        <v>obj_00299#0002</v>
      </c>
      <c r="B41" s="121" t="str">
        <f>_xll.qlRateHelperQuoteName(A41)</f>
        <v>CHFOIS57M_Quote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186" t="b">
        <f t="shared" si="0"/>
        <v>0</v>
      </c>
      <c r="F41" s="6">
        <v>50</v>
      </c>
      <c r="G41" s="6">
        <v>1</v>
      </c>
      <c r="H41" s="10">
        <f>_xll.qlRateHelperEarliestDate($A41,Trigger)</f>
        <v>42137</v>
      </c>
      <c r="I41" s="9">
        <f>_xll.qlRateHelperLatestDate($A41,Trigger)</f>
        <v>43874</v>
      </c>
    </row>
    <row r="42" spans="1:9" x14ac:dyDescent="0.2">
      <c r="A42" s="12" t="str">
        <f>Swaps!J43</f>
        <v>obj_002ae#0002</v>
      </c>
      <c r="B42" s="121" t="str">
        <f>_xll.qlRateHelperQuoteName(A42)</f>
        <v>CHFOIS5Y_Quote</v>
      </c>
      <c r="C42" s="11">
        <f>_xll.qlRateHelperQuoteValue($A42,Trigger)</f>
        <v>-2.2000000000000001E-3</v>
      </c>
      <c r="D42" s="11" t="e">
        <f>_xll.qlSwapRateHelperSpread($A42,Trigger)</f>
        <v>#NUM!</v>
      </c>
      <c r="E42" s="186" t="b">
        <f t="shared" si="0"/>
        <v>1</v>
      </c>
      <c r="F42" s="6">
        <v>50</v>
      </c>
      <c r="G42" s="6">
        <v>1</v>
      </c>
      <c r="H42" s="10">
        <f>_xll.qlRateHelperEarliestDate($A42,Trigger)</f>
        <v>42137</v>
      </c>
      <c r="I42" s="9">
        <f>_xll.qlRateHelperLatestDate($A42,Trigger)</f>
        <v>43964</v>
      </c>
    </row>
    <row r="43" spans="1:9" x14ac:dyDescent="0.2">
      <c r="A43" s="12" t="str">
        <f>Swaps!J44</f>
        <v>obj_002af#0002</v>
      </c>
      <c r="B43" s="121" t="str">
        <f>_xll.qlRateHelperQuoteName(A43)</f>
        <v>CHFOIS6Y_Quote</v>
      </c>
      <c r="C43" s="11">
        <f>_xll.qlRateHelperQuoteValue($A43,Trigger)</f>
        <v>-1.1000000000000001E-3</v>
      </c>
      <c r="D43" s="11" t="e">
        <f>_xll.qlSwapRateHelperSpread($A43,Trigger)</f>
        <v>#NUM!</v>
      </c>
      <c r="E43" s="186" t="b">
        <f t="shared" si="0"/>
        <v>1</v>
      </c>
      <c r="F43" s="6">
        <v>50</v>
      </c>
      <c r="G43" s="6">
        <v>1</v>
      </c>
      <c r="H43" s="10">
        <f>_xll.qlRateHelperEarliestDate($A43,Trigger)</f>
        <v>42137</v>
      </c>
      <c r="I43" s="9">
        <f>_xll.qlRateHelperLatestDate($A43,Trigger)</f>
        <v>44330</v>
      </c>
    </row>
    <row r="44" spans="1:9" x14ac:dyDescent="0.2">
      <c r="A44" s="12" t="str">
        <f>Swaps!J45</f>
        <v>obj_002c3#0002</v>
      </c>
      <c r="B44" s="121" t="str">
        <f>_xll.qlRateHelperQuoteName(A44)</f>
        <v>CHFOIS7Y_Quote</v>
      </c>
      <c r="C44" s="11">
        <f>_xll.qlRateHelperQuoteValue($A44,Trigger)</f>
        <v>-1.0000000000000002E-4</v>
      </c>
      <c r="D44" s="11" t="e">
        <f>_xll.qlSwapRateHelperSpread($A44,Trigger)</f>
        <v>#NUM!</v>
      </c>
      <c r="E44" s="186" t="b">
        <f t="shared" si="0"/>
        <v>1</v>
      </c>
      <c r="F44" s="6">
        <v>50</v>
      </c>
      <c r="G44" s="6">
        <v>1</v>
      </c>
      <c r="H44" s="10">
        <f>_xll.qlRateHelperEarliestDate($A44,Trigger)</f>
        <v>42137</v>
      </c>
      <c r="I44" s="9">
        <f>_xll.qlRateHelperLatestDate($A44,Trigger)</f>
        <v>44694</v>
      </c>
    </row>
    <row r="45" spans="1:9" x14ac:dyDescent="0.2">
      <c r="A45" s="12" t="str">
        <f>Swaps!J46</f>
        <v>obj_00297#0002</v>
      </c>
      <c r="B45" s="121" t="str">
        <f>_xll.qlRateHelperQuoteName(A45)</f>
        <v>CHFOIS8Y_Quote</v>
      </c>
      <c r="C45" s="11">
        <f>_xll.qlRateHelperQuoteValue($A45,Trigger)</f>
        <v>8.4999999999999995E-4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42137</v>
      </c>
      <c r="I45" s="9">
        <f>_xll.qlRateHelperLatestDate($A45,Trigger)</f>
        <v>45061</v>
      </c>
    </row>
    <row r="46" spans="1:9" x14ac:dyDescent="0.2">
      <c r="A46" s="12" t="str">
        <f>Swaps!J47</f>
        <v>obj_0029d#0002</v>
      </c>
      <c r="B46" s="121" t="str">
        <f>_xll.qlRateHelperQuoteName(A46)</f>
        <v>CHFOIS9Y_Quote</v>
      </c>
      <c r="C46" s="11">
        <f>_xll.qlRateHelperQuoteValue($A46,Trigger)</f>
        <v>1.6000000000000001E-3</v>
      </c>
      <c r="D46" s="11" t="e">
        <f>_xll.qlSwapRateHelperSpread($A46,Trigger)</f>
        <v>#NUM!</v>
      </c>
      <c r="E46" s="186" t="b">
        <f t="shared" si="0"/>
        <v>1</v>
      </c>
      <c r="F46" s="6">
        <v>50</v>
      </c>
      <c r="G46" s="6">
        <v>1</v>
      </c>
      <c r="H46" s="10">
        <f>_xll.qlRateHelperEarliestDate($A46,Trigger)</f>
        <v>42137</v>
      </c>
      <c r="I46" s="9">
        <f>_xll.qlRateHelperLatestDate($A46,Trigger)</f>
        <v>45425</v>
      </c>
    </row>
    <row r="47" spans="1:9" x14ac:dyDescent="0.2">
      <c r="A47" s="12" t="str">
        <f>Swaps!J48</f>
        <v>obj_002bf#0002</v>
      </c>
      <c r="B47" s="121" t="str">
        <f>_xll.qlRateHelperQuoteName(A47)</f>
        <v>CHFOIS10Y_Quote</v>
      </c>
      <c r="C47" s="11">
        <f>_xll.qlRateHelperQuoteValue($A47,Trigger)</f>
        <v>2.3500000000000001E-3</v>
      </c>
      <c r="D47" s="11" t="e">
        <f>_xll.qlSwapRateHelperSpread($A47,Trigger)</f>
        <v>#NUM!</v>
      </c>
      <c r="E47" s="186" t="b">
        <f t="shared" si="0"/>
        <v>1</v>
      </c>
      <c r="F47" s="6">
        <v>50</v>
      </c>
      <c r="G47" s="6">
        <v>1</v>
      </c>
      <c r="H47" s="10">
        <f>_xll.qlRateHelperEarliestDate($A47,Trigger)</f>
        <v>42137</v>
      </c>
      <c r="I47" s="9">
        <f>_xll.qlRateHelperLatestDate($A47,Trigger)</f>
        <v>45790</v>
      </c>
    </row>
    <row r="48" spans="1:9" x14ac:dyDescent="0.2">
      <c r="A48" s="12" t="str">
        <f>Swaps!J49</f>
        <v>obj_002b4#0002</v>
      </c>
      <c r="B48" s="121" t="str">
        <f>_xll.qlRateHelperQuoteName(A48)</f>
        <v>CHFOIS12Y_Quote</v>
      </c>
      <c r="C48" s="11">
        <f>_xll.qlRateHelperQuoteValue($A48,Trigger)</f>
        <v>3.4499999999999999E-3</v>
      </c>
      <c r="D48" s="11" t="e">
        <f>_xll.qlSwapRateHelperSpread($A48,Trigger)</f>
        <v>#NUM!</v>
      </c>
      <c r="E48" s="186" t="b">
        <f t="shared" si="0"/>
        <v>1</v>
      </c>
      <c r="F48" s="6">
        <v>50</v>
      </c>
      <c r="G48" s="6">
        <v>1</v>
      </c>
      <c r="H48" s="10">
        <f>_xll.qlRateHelperEarliestDate($A48,Trigger)</f>
        <v>42137</v>
      </c>
      <c r="I48" s="9">
        <f>_xll.qlRateHelperLatestDate($A48,Trigger)</f>
        <v>46520</v>
      </c>
    </row>
    <row r="49" spans="1:9" x14ac:dyDescent="0.2">
      <c r="A49" s="12" t="str">
        <f>Swaps!J50</f>
        <v>obj_00293#0002</v>
      </c>
      <c r="B49" s="121" t="str">
        <f>_xll.qlRateHelperQuoteName(A49)</f>
        <v>CHFOIS15Y_Quote</v>
      </c>
      <c r="C49" s="11">
        <f>_xll.qlRateHelperQuoteValue($A49,Trigger)</f>
        <v>4.6500000000000005E-3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42137</v>
      </c>
      <c r="I49" s="9">
        <f>_xll.qlRateHelperLatestDate($A49,Trigger)</f>
        <v>47616</v>
      </c>
    </row>
    <row r="50" spans="1:9" x14ac:dyDescent="0.2">
      <c r="A50" s="12" t="str">
        <f>Swaps!J51</f>
        <v>obj_002bd#0002</v>
      </c>
      <c r="B50" s="121" t="str">
        <f>_xll.qlRateHelperQuoteName(A50)</f>
        <v>CHFOIS20Y_Quote</v>
      </c>
      <c r="C50" s="11">
        <f>_xll.qlRateHelperQuoteValue($A50,Trigger)</f>
        <v>5.9000000000000007E-3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42137</v>
      </c>
      <c r="I50" s="9">
        <f>_xll.qlRateHelperLatestDate($A50,Trigger)</f>
        <v>49444</v>
      </c>
    </row>
    <row r="51" spans="1:9" x14ac:dyDescent="0.2">
      <c r="A51" s="12" t="str">
        <f>Swaps!J52</f>
        <v>obj_002ad#0002</v>
      </c>
      <c r="B51" s="121" t="str">
        <f>_xll.qlRateHelperQuoteName(A51)</f>
        <v>CHFOIS25Y_Quote</v>
      </c>
      <c r="C51" s="11">
        <f>_xll.qlRateHelperQuoteValue($A51,Trigger)</f>
        <v>6.6999999999999994E-3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42137</v>
      </c>
      <c r="I51" s="9">
        <f>_xll.qlRateHelperLatestDate($A51,Trigger)</f>
        <v>51270</v>
      </c>
    </row>
    <row r="52" spans="1:9" x14ac:dyDescent="0.2">
      <c r="A52" s="12" t="str">
        <f>Swaps!J53</f>
        <v>obj_00294#0002</v>
      </c>
      <c r="B52" s="121" t="str">
        <f>_xll.qlRateHelperQuoteName(A52)</f>
        <v>CHFOIS27Y_Quote</v>
      </c>
      <c r="C52" s="11" t="e">
        <f>_xll.qlRateHelperQuoteValue($A52,Trigger)</f>
        <v>#NUM!</v>
      </c>
      <c r="D52" s="11" t="e">
        <f>_xll.qlSwapRateHelperSpread($A52,Trigger)</f>
        <v>#NUM!</v>
      </c>
      <c r="E52" s="186" t="b">
        <f t="shared" si="0"/>
        <v>0</v>
      </c>
      <c r="F52" s="6">
        <v>50</v>
      </c>
      <c r="G52" s="6">
        <v>1</v>
      </c>
      <c r="H52" s="10">
        <f>_xll.qlRateHelperEarliestDate($A52,Trigger)</f>
        <v>42137</v>
      </c>
      <c r="I52" s="9">
        <f>_xll.qlRateHelperLatestDate($A52,Trigger)</f>
        <v>51999</v>
      </c>
    </row>
    <row r="53" spans="1:9" x14ac:dyDescent="0.2">
      <c r="A53" s="12" t="str">
        <f>Swaps!J54</f>
        <v>obj_0029f#0002</v>
      </c>
      <c r="B53" s="121" t="str">
        <f>_xll.qlRateHelperQuoteName(A53)</f>
        <v>CHFOIS30Y_Quote</v>
      </c>
      <c r="C53" s="11">
        <f>_xll.qlRateHelperQuoteValue($A53,Trigger)</f>
        <v>7.0999999999999995E-3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42137</v>
      </c>
      <c r="I53" s="9">
        <f>_xll.qlRateHelperLatestDate($A53,Trigger)</f>
        <v>53097</v>
      </c>
    </row>
    <row r="54" spans="1:9" x14ac:dyDescent="0.2">
      <c r="A54" s="12" t="str">
        <f>Swaps!J55</f>
        <v>obj_002b5#0002</v>
      </c>
      <c r="B54" s="121" t="str">
        <f>_xll.qlRateHelperQuoteName(A54)</f>
        <v>CHFOIS35Y_Quote</v>
      </c>
      <c r="C54" s="11" t="e">
        <f>_xll.qlRateHelperQuoteValue($A54,Trigger)</f>
        <v>#NUM!</v>
      </c>
      <c r="D54" s="11" t="e">
        <f>_xll.qlSwapRateHelperSpread($A54,Trigger)</f>
        <v>#NUM!</v>
      </c>
      <c r="E54" s="186" t="b">
        <f t="shared" si="0"/>
        <v>0</v>
      </c>
      <c r="F54" s="6">
        <v>50</v>
      </c>
      <c r="G54" s="6">
        <v>1</v>
      </c>
      <c r="H54" s="10">
        <f>_xll.qlRateHelperEarliestDate($A54,Trigger)</f>
        <v>42137</v>
      </c>
      <c r="I54" s="9">
        <f>_xll.qlRateHelperLatestDate($A54,Trigger)</f>
        <v>54921</v>
      </c>
    </row>
    <row r="55" spans="1:9" x14ac:dyDescent="0.2">
      <c r="A55" s="12" t="str">
        <f>Swaps!J56</f>
        <v>obj_002a8#0002</v>
      </c>
      <c r="B55" s="121" t="str">
        <f>_xll.qlRateHelperQuoteName(A55)</f>
        <v>CHFOIS40Y_Quote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86" t="b">
        <f t="shared" si="0"/>
        <v>0</v>
      </c>
      <c r="F55" s="6">
        <v>50</v>
      </c>
      <c r="G55" s="6">
        <v>1</v>
      </c>
      <c r="H55" s="10">
        <f>_xll.qlRateHelperEarliestDate($A55,Trigger)</f>
        <v>42137</v>
      </c>
      <c r="I55" s="9">
        <f>_xll.qlRateHelperLatestDate($A55,Trigger)</f>
        <v>56747</v>
      </c>
    </row>
    <row r="56" spans="1:9" x14ac:dyDescent="0.2">
      <c r="A56" s="12" t="str">
        <f>Swaps!J57</f>
        <v>obj_002c5#0002</v>
      </c>
      <c r="B56" s="121" t="str">
        <f>_xll.qlRateHelperQuoteName(A56)</f>
        <v>CHFOIS45Y_Quote</v>
      </c>
      <c r="C56" s="11" t="e">
        <f>_xll.qlRateHelperQuoteValue($A56,Trigger)</f>
        <v>#NUM!</v>
      </c>
      <c r="D56" s="11" t="e">
        <f>_xll.qlSwapRateHelperSpread($A56,Trigger)</f>
        <v>#NUM!</v>
      </c>
      <c r="E56" s="186" t="b">
        <f t="shared" si="0"/>
        <v>0</v>
      </c>
      <c r="F56" s="6">
        <v>50</v>
      </c>
      <c r="G56" s="6">
        <v>1</v>
      </c>
      <c r="H56" s="10">
        <f>_xll.qlRateHelperEarliestDate($A56,Trigger)</f>
        <v>42137</v>
      </c>
      <c r="I56" s="9">
        <f>_xll.qlRateHelperLatestDate($A56,Trigger)</f>
        <v>58574</v>
      </c>
    </row>
    <row r="57" spans="1:9" x14ac:dyDescent="0.2">
      <c r="A57" s="8" t="str">
        <f>Swaps!J58</f>
        <v>obj_0029e#0002</v>
      </c>
      <c r="B57" s="123" t="str">
        <f>_xll.qlRateHelperQuoteName(A57)</f>
        <v>CHFOIS50Y_Quote</v>
      </c>
      <c r="C57" s="7" t="e">
        <f>_xll.qlRateHelperQuoteValue($A57,Trigger)</f>
        <v>#NUM!</v>
      </c>
      <c r="D57" s="7" t="e">
        <f>_xll.qlSwapRateHelperSpread($A57,Trigger)</f>
        <v>#NUM!</v>
      </c>
      <c r="E57" s="187" t="b">
        <f t="shared" si="0"/>
        <v>0</v>
      </c>
      <c r="F57" s="5">
        <v>50</v>
      </c>
      <c r="G57" s="5">
        <v>1</v>
      </c>
      <c r="H57" s="4">
        <f>_xll.qlRateHelperEarliestDate($A57,Trigger)</f>
        <v>42137</v>
      </c>
      <c r="I57" s="3">
        <f>_xll.qlRateHelperLatestDate($A57,Trigger)</f>
        <v>60400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131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obj_00291</v>
      </c>
      <c r="E2" s="27" t="str">
        <f>+_xll.qlRateHelperQuoteName(D2)</f>
        <v>CHFTND_Quote</v>
      </c>
      <c r="F2" s="26">
        <f>_xll.qlRateHelperRate($D2)</f>
        <v>-3.725E-3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42136</v>
      </c>
      <c r="I2" s="24">
        <f>_xll.qlRateHelperLatestDate($D2)</f>
        <v>42137</v>
      </c>
      <c r="J2" s="58">
        <v>1.0000103473292883</v>
      </c>
    </row>
    <row r="3" spans="1:10" x14ac:dyDescent="0.2">
      <c r="A3" s="28" t="s">
        <v>67</v>
      </c>
      <c r="B3" s="29">
        <v>1</v>
      </c>
      <c r="D3" s="27" t="str">
        <v>obj_002a2</v>
      </c>
      <c r="E3" s="27" t="str">
        <f>+_xll.qlRateHelperQuoteName(D3)</f>
        <v>CHFOIS1M_Quote</v>
      </c>
      <c r="F3" s="26">
        <f>_xll.qlRateHelperRate($D3)</f>
        <v>-3.8E-3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42137</v>
      </c>
      <c r="I3" s="24">
        <f>_xll.qlRateHelperLatestDate($D3)</f>
        <v>42170</v>
      </c>
      <c r="J3" s="58">
        <v>1.0003588056465884</v>
      </c>
    </row>
    <row r="4" spans="1:10" x14ac:dyDescent="0.2">
      <c r="A4" s="28" t="s">
        <v>66</v>
      </c>
      <c r="B4" s="29">
        <v>2</v>
      </c>
      <c r="D4" s="27" t="str">
        <v>obj_002b9</v>
      </c>
      <c r="E4" s="27" t="str">
        <f>+_xll.qlRateHelperQuoteName(D4)</f>
        <v>CHFOIS2M_Quote</v>
      </c>
      <c r="F4" s="26">
        <f>_xll.qlRateHelperRate($D4)</f>
        <v>-4.3000000000000009E-3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42137</v>
      </c>
      <c r="I4" s="24">
        <f>_xll.qlRateHelperLatestDate($D4)</f>
        <v>42198</v>
      </c>
      <c r="J4" s="58">
        <v>1.0007394972463097</v>
      </c>
    </row>
    <row r="5" spans="1:10" ht="12" thickBot="1" x14ac:dyDescent="0.25">
      <c r="A5" s="61" t="s">
        <v>65</v>
      </c>
      <c r="B5" s="62" t="s">
        <v>64</v>
      </c>
      <c r="D5" s="27" t="str">
        <v>obj_00298</v>
      </c>
      <c r="E5" s="27" t="str">
        <f>+_xll.qlRateHelperQuoteName(D5)</f>
        <v>CHFOIS3M_Quote</v>
      </c>
      <c r="F5" s="26">
        <f>_xll.qlRateHelperRate($D5)</f>
        <v>-4.5000000000000005E-3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42137</v>
      </c>
      <c r="I5" s="24">
        <f>_xll.qlRateHelperLatestDate($D5)</f>
        <v>42229</v>
      </c>
      <c r="J5" s="58">
        <v>1.0011616832650432</v>
      </c>
    </row>
    <row r="6" spans="1:10" x14ac:dyDescent="0.2">
      <c r="A6" s="63"/>
      <c r="B6" s="63"/>
      <c r="D6" s="27" t="str">
        <v>obj_002b6</v>
      </c>
      <c r="E6" s="27" t="str">
        <f>+_xll.qlRateHelperQuoteName(D6)</f>
        <v>CHFOIS4M_Quote</v>
      </c>
      <c r="F6" s="26">
        <f>_xll.qlRateHelperRate($D6)</f>
        <v>-4.8500000000000001E-3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42137</v>
      </c>
      <c r="I6" s="24">
        <f>_xll.qlRateHelperLatestDate($D6)</f>
        <v>42261</v>
      </c>
      <c r="J6" s="58">
        <v>1.0016837156253358</v>
      </c>
    </row>
    <row r="7" spans="1:10" x14ac:dyDescent="0.2">
      <c r="D7" s="27" t="str">
        <v>obj_002a3</v>
      </c>
      <c r="E7" s="27" t="str">
        <f>+_xll.qlRateHelperQuoteName(D7)</f>
        <v>CHFOIS5M_Quote</v>
      </c>
      <c r="F7" s="26">
        <f>_xll.qlRateHelperRate($D7)</f>
        <v>-5.0000000000000001E-3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42137</v>
      </c>
      <c r="I7" s="24">
        <f>_xll.qlRateHelperLatestDate($D7)</f>
        <v>42290</v>
      </c>
      <c r="J7" s="58">
        <v>1.0021398946053246</v>
      </c>
    </row>
    <row r="8" spans="1:10" x14ac:dyDescent="0.2">
      <c r="D8" s="27" t="str">
        <v>obj_002b3</v>
      </c>
      <c r="E8" s="27" t="str">
        <f>+_xll.qlRateHelperQuoteName(D8)</f>
        <v>CHFOIS6M_Quote</v>
      </c>
      <c r="F8" s="26">
        <f>_xll.qlRateHelperRate($D8)</f>
        <v>-5.1000000000000004E-3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42137</v>
      </c>
      <c r="I8" s="24">
        <f>_xll.qlRateHelperLatestDate($D8)</f>
        <v>42321</v>
      </c>
      <c r="J8" s="58">
        <v>1.002623853507431</v>
      </c>
    </row>
    <row r="9" spans="1:10" x14ac:dyDescent="0.2">
      <c r="D9" s="27" t="str">
        <v>obj_002aa</v>
      </c>
      <c r="E9" s="27" t="str">
        <f>+_xll.qlRateHelperQuoteName(D9)</f>
        <v>CHFOIS7M_Quote</v>
      </c>
      <c r="F9" s="26">
        <f>_xll.qlRateHelperRate($D9)</f>
        <v>-5.1500000000000001E-3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42137</v>
      </c>
      <c r="I9" s="24">
        <f>_xll.qlRateHelperLatestDate($D9)</f>
        <v>42352</v>
      </c>
      <c r="J9" s="58">
        <v>1.0030955627789744</v>
      </c>
    </row>
    <row r="10" spans="1:10" x14ac:dyDescent="0.2">
      <c r="D10" s="27" t="str">
        <v>obj_002b7</v>
      </c>
      <c r="E10" s="27" t="str">
        <f>+_xll.qlRateHelperQuoteName(D10)</f>
        <v>CHFOIS8M_Quote</v>
      </c>
      <c r="F10" s="26">
        <f>_xll.qlRateHelperRate($D10)</f>
        <v>-5.1500000000000001E-3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42137</v>
      </c>
      <c r="I10" s="24">
        <f>_xll.qlRateHelperLatestDate($D10)</f>
        <v>42382</v>
      </c>
      <c r="J10" s="58">
        <v>1.0035275720907828</v>
      </c>
    </row>
    <row r="11" spans="1:10" x14ac:dyDescent="0.2">
      <c r="D11" s="27" t="str">
        <v>obj_002b8</v>
      </c>
      <c r="E11" s="27" t="str">
        <f>+_xll.qlRateHelperQuoteName(D11)</f>
        <v>CHFOIS9M_Quote</v>
      </c>
      <c r="F11" s="26">
        <f>_xll.qlRateHelperRate($D11)</f>
        <v>-5.1999999999999998E-3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42137</v>
      </c>
      <c r="I11" s="24">
        <f>_xll.qlRateHelperLatestDate($D11)</f>
        <v>42415</v>
      </c>
      <c r="J11" s="58">
        <v>1.0040421342996873</v>
      </c>
    </row>
    <row r="12" spans="1:10" x14ac:dyDescent="0.2">
      <c r="D12" s="27" t="str">
        <v>obj_002ba</v>
      </c>
      <c r="E12" s="27" t="str">
        <f>+_xll.qlRateHelperQuoteName(D12)</f>
        <v>CHFOIS10M_Quote</v>
      </c>
      <c r="F12" s="26">
        <f>_xll.qlRateHelperRate($D12)</f>
        <v>-5.1999999999999998E-3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42137</v>
      </c>
      <c r="I12" s="24">
        <f>_xll.qlRateHelperLatestDate($D12)</f>
        <v>42443</v>
      </c>
      <c r="J12" s="58">
        <v>1.0044500164019214</v>
      </c>
    </row>
    <row r="13" spans="1:10" x14ac:dyDescent="0.2">
      <c r="D13" s="27" t="str">
        <v>obj_002a0</v>
      </c>
      <c r="E13" s="27" t="str">
        <f>+_xll.qlRateHelperQuoteName(D13)</f>
        <v>CHFOIS11M_Quote</v>
      </c>
      <c r="F13" s="26">
        <f>_xll.qlRateHelperRate($D13)</f>
        <v>-5.1999999999999998E-3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42137</v>
      </c>
      <c r="I13" s="24">
        <f>_xll.qlRateHelperLatestDate($D13)</f>
        <v>42473</v>
      </c>
      <c r="J13" s="58">
        <v>1.0048874008482538</v>
      </c>
    </row>
    <row r="14" spans="1:10" x14ac:dyDescent="0.2">
      <c r="D14" s="27" t="str">
        <v>obj_002c6</v>
      </c>
      <c r="E14" s="27" t="str">
        <f>+_xll.qlRateHelperQuoteName(D14)</f>
        <v>CHFOIS1Y_Quote</v>
      </c>
      <c r="F14" s="26">
        <f>_xll.qlRateHelperRate($D14)</f>
        <v>-5.1999999999999998E-3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42137</v>
      </c>
      <c r="I14" s="24">
        <f>_xll.qlRateHelperLatestDate($D14)</f>
        <v>42503</v>
      </c>
      <c r="J14" s="58">
        <v>1.005325166375725</v>
      </c>
    </row>
    <row r="15" spans="1:10" x14ac:dyDescent="0.2">
      <c r="D15" s="27" t="str">
        <v>obj_002a9</v>
      </c>
      <c r="E15" s="27" t="str">
        <f>+_xll.qlRateHelperQuoteName(D15)</f>
        <v>CHFOIS15M_Quote</v>
      </c>
      <c r="F15" s="26">
        <f>_xll.qlRateHelperRate($D15)</f>
        <v>-5.1500000000000001E-3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42137</v>
      </c>
      <c r="I15" s="24">
        <f>_xll.qlRateHelperLatestDate($D15)</f>
        <v>42597</v>
      </c>
      <c r="J15" s="58">
        <v>1.0066270906715493</v>
      </c>
    </row>
    <row r="16" spans="1:10" x14ac:dyDescent="0.2">
      <c r="D16" s="27" t="str">
        <v>obj_002c0</v>
      </c>
      <c r="E16" s="27" t="str">
        <f>+_xll.qlRateHelperQuoteName(D16)</f>
        <v>CHFOIS18M_Quote</v>
      </c>
      <c r="F16" s="26">
        <f>_xll.qlRateHelperRate($D16)</f>
        <v>-5.0499999999999998E-3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42137</v>
      </c>
      <c r="I16" s="24">
        <f>_xll.qlRateHelperLatestDate($D16)</f>
        <v>42688</v>
      </c>
      <c r="J16" s="58">
        <v>1.0077864167977952</v>
      </c>
    </row>
    <row r="17" spans="4:10" x14ac:dyDescent="0.2">
      <c r="D17" s="27" t="str">
        <v>obj_002b0</v>
      </c>
      <c r="E17" s="27" t="str">
        <f>+_xll.qlRateHelperQuoteName(D17)</f>
        <v>CHFOIS21M_Quote</v>
      </c>
      <c r="F17" s="26">
        <f>_xll.qlRateHelperRate($D17)</f>
        <v>-4.8999999999999998E-3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42137</v>
      </c>
      <c r="I17" s="24">
        <f>_xll.qlRateHelperLatestDate($D17)</f>
        <v>42779</v>
      </c>
      <c r="J17" s="58">
        <v>1.0088076124764003</v>
      </c>
    </row>
    <row r="18" spans="4:10" x14ac:dyDescent="0.2">
      <c r="D18" s="27" t="str">
        <v>obj_002ac</v>
      </c>
      <c r="E18" s="27" t="str">
        <f>+_xll.qlRateHelperQuoteName(D18)</f>
        <v>CHFOIS2Y_Quote</v>
      </c>
      <c r="F18" s="26">
        <f>_xll.qlRateHelperRate($D18)</f>
        <v>-4.6999999999999993E-3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42137</v>
      </c>
      <c r="I18" s="24">
        <f>_xll.qlRateHelperLatestDate($D18)</f>
        <v>42870</v>
      </c>
      <c r="J18" s="58">
        <v>1.009651672879613</v>
      </c>
    </row>
    <row r="19" spans="4:10" x14ac:dyDescent="0.2">
      <c r="D19" s="27" t="str">
        <v>obj_0029c</v>
      </c>
      <c r="E19" s="27" t="str">
        <f>+_xll.qlRateHelperQuoteName(D19)</f>
        <v>CHFOIS3Y_Quote</v>
      </c>
      <c r="F19" s="26">
        <f>_xll.qlRateHelperRate($D19)</f>
        <v>-4.0500000000000006E-3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42137</v>
      </c>
      <c r="I19" s="24">
        <f>_xll.qlRateHelperLatestDate($D19)</f>
        <v>43234</v>
      </c>
      <c r="J19" s="58">
        <v>1.012464414824932</v>
      </c>
    </row>
    <row r="20" spans="4:10" x14ac:dyDescent="0.2">
      <c r="D20" s="27" t="str">
        <v>obj_002a5</v>
      </c>
      <c r="E20" s="27" t="str">
        <f>+_xll.qlRateHelperQuoteName(D20)</f>
        <v>CHFOIS4Y_Quote</v>
      </c>
      <c r="F20" s="26">
        <f>_xll.qlRateHelperRate($D20)</f>
        <v>-3.15E-3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42137</v>
      </c>
      <c r="I20" s="24">
        <f>_xll.qlRateHelperLatestDate($D20)</f>
        <v>43598</v>
      </c>
      <c r="J20" s="58">
        <v>1.0129230040382062</v>
      </c>
    </row>
    <row r="21" spans="4:10" x14ac:dyDescent="0.2">
      <c r="D21" s="27" t="str">
        <v>obj_002ae</v>
      </c>
      <c r="E21" s="27" t="str">
        <f>+_xll.qlRateHelperQuoteName(D21)</f>
        <v>CHFOIS5Y_Quote</v>
      </c>
      <c r="F21" s="26">
        <f>_xll.qlRateHelperRate($D21)</f>
        <v>-2.2000000000000001E-3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42137</v>
      </c>
      <c r="I21" s="24">
        <f>_xll.qlRateHelperLatestDate($D21)</f>
        <v>43964</v>
      </c>
      <c r="J21" s="58">
        <v>1.0112906307892393</v>
      </c>
    </row>
    <row r="22" spans="4:10" x14ac:dyDescent="0.2">
      <c r="D22" s="27" t="str">
        <v>obj_002af</v>
      </c>
      <c r="E22" s="27" t="str">
        <f>+_xll.qlRateHelperQuoteName(D22)</f>
        <v>CHFOIS6Y_Quote</v>
      </c>
      <c r="F22" s="26">
        <f>_xll.qlRateHelperRate($D22)</f>
        <v>-1.1000000000000001E-3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42137</v>
      </c>
      <c r="I22" s="24">
        <f>_xll.qlRateHelperLatestDate($D22)</f>
        <v>44330</v>
      </c>
      <c r="J22" s="58">
        <v>1.0067764006673436</v>
      </c>
    </row>
    <row r="23" spans="4:10" x14ac:dyDescent="0.2">
      <c r="D23" s="27" t="str">
        <v>obj_002c3</v>
      </c>
      <c r="E23" s="27" t="str">
        <f>+_xll.qlRateHelperQuoteName(D23)</f>
        <v>CHFOIS7Y_Quote</v>
      </c>
      <c r="F23" s="26">
        <f>_xll.qlRateHelperRate($D23)</f>
        <v>-1.0000000000000002E-4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42137</v>
      </c>
      <c r="I23" s="24">
        <f>_xll.qlRateHelperLatestDate($D23)</f>
        <v>44694</v>
      </c>
      <c r="J23" s="58">
        <v>1.0007266276685354</v>
      </c>
    </row>
    <row r="24" spans="4:10" x14ac:dyDescent="0.2">
      <c r="D24" s="27" t="str">
        <v>obj_00297</v>
      </c>
      <c r="E24" s="27" t="str">
        <f>+_xll.qlRateHelperQuoteName(D24)</f>
        <v>CHFOIS8Y_Quote</v>
      </c>
      <c r="F24" s="26">
        <f>_xll.qlRateHelperRate($D24)</f>
        <v>8.4999999999999995E-4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42137</v>
      </c>
      <c r="I24" s="24">
        <f>_xll.qlRateHelperLatestDate($D24)</f>
        <v>45061</v>
      </c>
      <c r="J24" s="58">
        <v>0.99306144911499028</v>
      </c>
    </row>
    <row r="25" spans="4:10" x14ac:dyDescent="0.2">
      <c r="D25" s="27" t="str">
        <v>obj_0029d</v>
      </c>
      <c r="E25" s="27" t="str">
        <f>+_xll.qlRateHelperQuoteName(D25)</f>
        <v>CHFOIS9Y_Quote</v>
      </c>
      <c r="F25" s="26">
        <f>_xll.qlRateHelperRate($D25)</f>
        <v>1.6000000000000001E-3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42137</v>
      </c>
      <c r="I25" s="24">
        <f>_xll.qlRateHelperLatestDate($D25)</f>
        <v>45425</v>
      </c>
      <c r="J25" s="58">
        <v>0.98533601363117163</v>
      </c>
    </row>
    <row r="26" spans="4:10" x14ac:dyDescent="0.2">
      <c r="D26" s="27" t="str">
        <v>obj_002bf</v>
      </c>
      <c r="E26" s="27" t="str">
        <f>+_xll.qlRateHelperQuoteName(D26)</f>
        <v>CHFOIS10Y_Quote</v>
      </c>
      <c r="F26" s="26">
        <f>_xll.qlRateHelperRate($D26)</f>
        <v>2.3500000000000001E-3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42137</v>
      </c>
      <c r="I26" s="24">
        <f>_xll.qlRateHelperLatestDate($D26)</f>
        <v>45790</v>
      </c>
      <c r="J26" s="58">
        <v>0.97613165047907258</v>
      </c>
    </row>
    <row r="27" spans="4:10" x14ac:dyDescent="0.2">
      <c r="D27" s="27" t="str">
        <v>obj_002b4</v>
      </c>
      <c r="E27" s="27" t="str">
        <f>+_xll.qlRateHelperQuoteName(D27)</f>
        <v>CHFOIS12Y_Quote</v>
      </c>
      <c r="F27" s="26">
        <f>_xll.qlRateHelperRate($D27)</f>
        <v>3.4499999999999999E-3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42137</v>
      </c>
      <c r="I27" s="24">
        <f>_xll.qlRateHelperLatestDate($D27)</f>
        <v>46520</v>
      </c>
      <c r="J27" s="58">
        <v>0.95821987352010796</v>
      </c>
    </row>
    <row r="28" spans="4:10" x14ac:dyDescent="0.2">
      <c r="D28" s="27" t="str">
        <v>obj_00293</v>
      </c>
      <c r="E28" s="27" t="str">
        <f>+_xll.qlRateHelperQuoteName(D28)</f>
        <v>CHFOIS15Y_Quote</v>
      </c>
      <c r="F28" s="26">
        <f>_xll.qlRateHelperRate($D28)</f>
        <v>4.6500000000000005E-3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42137</v>
      </c>
      <c r="I28" s="24">
        <f>_xll.qlRateHelperLatestDate($D28)</f>
        <v>47616</v>
      </c>
      <c r="J28" s="58">
        <v>0.93038046873975933</v>
      </c>
    </row>
    <row r="29" spans="4:10" x14ac:dyDescent="0.2">
      <c r="D29" s="27" t="str">
        <v>obj_002bd</v>
      </c>
      <c r="E29" s="27" t="str">
        <f>+_xll.qlRateHelperQuoteName(D29)</f>
        <v>CHFOIS20Y_Quote</v>
      </c>
      <c r="F29" s="26">
        <f>_xll.qlRateHelperRate($D29)</f>
        <v>5.9000000000000007E-3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42137</v>
      </c>
      <c r="I29" s="24">
        <f>_xll.qlRateHelperLatestDate($D29)</f>
        <v>49444</v>
      </c>
      <c r="J29" s="58">
        <v>0.88461428350927063</v>
      </c>
    </row>
    <row r="30" spans="4:10" x14ac:dyDescent="0.2">
      <c r="D30" s="27" t="str">
        <v>obj_002ad</v>
      </c>
      <c r="E30" s="27" t="str">
        <f>+_xll.qlRateHelperQuoteName(D30)</f>
        <v>CHFOIS25Y_Quote</v>
      </c>
      <c r="F30" s="26">
        <f>_xll.qlRateHelperRate($D30)</f>
        <v>6.6999999999999994E-3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42137</v>
      </c>
      <c r="I30" s="24">
        <f>_xll.qlRateHelperLatestDate($D30)</f>
        <v>51270</v>
      </c>
      <c r="J30" s="58">
        <v>0.83982796875679289</v>
      </c>
    </row>
    <row r="31" spans="4:10" x14ac:dyDescent="0.2">
      <c r="D31" s="27" t="str">
        <v>obj_0029f</v>
      </c>
      <c r="E31" s="27" t="str">
        <f>+_xll.qlRateHelperQuoteName(D31)</f>
        <v>CHFOIS30Y_Quote</v>
      </c>
      <c r="F31" s="26">
        <f>_xll.qlRateHelperRate($D31)</f>
        <v>7.0999999999999995E-3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42137</v>
      </c>
      <c r="I31" s="24">
        <f>_xll.qlRateHelperLatestDate($D31)</f>
        <v>53097</v>
      </c>
      <c r="J31" s="58">
        <v>0.80086084428516247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tabSelected="1"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145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114</v>
      </c>
      <c r="C3" s="199" t="str">
        <f>_xll.qlOvernightIndex(,FamilyName,NDays,Currency,Calendar,"act/360",,Permanent,Trigger,ObjectOverwrite)</f>
        <v>obj_0028e#0002</v>
      </c>
      <c r="D3" s="199" t="str">
        <f t="shared" ref="D3:D4" si="0">UPPER(Currency)&amp;B3&amp;"D"&amp;QuoteSuffix</f>
        <v>CHFTND_Quote</v>
      </c>
      <c r="E3" s="199" t="str">
        <f>_xll.qlDepositRateHelper(,D3,C3,Permanent,Trigger,FileOverwrite)</f>
        <v>obj_00291#0002</v>
      </c>
      <c r="F3" s="55"/>
      <c r="G3" s="197"/>
    </row>
    <row r="4" spans="1:8" x14ac:dyDescent="0.25">
      <c r="A4" s="207"/>
      <c r="B4" s="198" t="s">
        <v>105</v>
      </c>
      <c r="C4" s="199" t="str">
        <f>_xll.qlOvernightIndex(,FamilyName,2,Currency,Calendar,"act/360",,Permanent,Trigger,ObjectOverwrite)</f>
        <v>obj_0028d#0002</v>
      </c>
      <c r="D4" s="199" t="str">
        <f t="shared" si="0"/>
        <v>CHFSND_Quote</v>
      </c>
      <c r="E4" s="199" t="str">
        <f>_xll.qlDepositRateHelper(,D4,C4,Permanent,Trigger,FileOverwrite)</f>
        <v>obj_00290#0002</v>
      </c>
      <c r="F4" s="55" t="str">
        <f>_xll.ohRangeRetrieveError(E4)</f>
        <v/>
      </c>
      <c r="G4" s="197"/>
    </row>
    <row r="5" spans="1:8" ht="14.25" thickBot="1" x14ac:dyDescent="0.3">
      <c r="A5" s="208"/>
      <c r="B5" s="200"/>
      <c r="C5" s="200"/>
      <c r="D5" s="200"/>
      <c r="E5" s="200"/>
      <c r="F5" s="200"/>
      <c r="G5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120</v>
      </c>
      <c r="C2" s="37" t="s">
        <v>124</v>
      </c>
      <c r="D2" s="37"/>
      <c r="E2" s="37"/>
      <c r="F2" s="37" t="s">
        <v>119</v>
      </c>
      <c r="G2" s="37" t="s">
        <v>118</v>
      </c>
      <c r="H2" s="37" t="s">
        <v>117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_xll.qlOvernightIndex(,FamilyName,1,Currency,Calendar,"act/360",,Permanent,Trigger,ObjectOverwrite)</f>
        <v>obj_0028f#0002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123</v>
      </c>
      <c r="D5" s="54" t="s">
        <v>54</v>
      </c>
      <c r="E5" s="53" t="s">
        <v>53</v>
      </c>
      <c r="F5" s="52" t="s">
        <v>122</v>
      </c>
      <c r="G5" s="52" t="s">
        <v>121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obj_002c7#0002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122</v>
      </c>
      <c r="G6" s="52" t="s">
        <v>121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obj_002a1#0002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122</v>
      </c>
      <c r="G7" s="52" t="s">
        <v>121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obj_00296#0002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122</v>
      </c>
      <c r="G8" s="52" t="s">
        <v>116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obj_002a2#0002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122</v>
      </c>
      <c r="G9" s="52" t="s">
        <v>116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obj_002b9#0002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122</v>
      </c>
      <c r="G10" s="52" t="s">
        <v>116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obj_00298#0002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122</v>
      </c>
      <c r="G11" s="52" t="s">
        <v>116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obj_002b6#0002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122</v>
      </c>
      <c r="G12" s="52" t="s">
        <v>116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obj_002a3#0002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122</v>
      </c>
      <c r="G13" s="52" t="s">
        <v>116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obj_002b3#0002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122</v>
      </c>
      <c r="G14" s="52" t="s">
        <v>116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obj_002aa#0002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122</v>
      </c>
      <c r="G15" s="52" t="s">
        <v>116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obj_002b7#0002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122</v>
      </c>
      <c r="G16" s="52" t="s">
        <v>116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obj_002b8#0002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122</v>
      </c>
      <c r="G17" s="52" t="s">
        <v>116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obj_002ba#0002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122</v>
      </c>
      <c r="G18" s="52" t="s">
        <v>116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obj_002a0#0002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122</v>
      </c>
      <c r="G19" s="52" t="s">
        <v>116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obj_002c6#0002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122</v>
      </c>
      <c r="G20" s="52" t="s">
        <v>116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obj_0029b#0002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122</v>
      </c>
      <c r="G21" s="52" t="s">
        <v>116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obj_002c2#0002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122</v>
      </c>
      <c r="G22" s="52" t="s">
        <v>116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obj_002a9#0002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122</v>
      </c>
      <c r="G23" s="52" t="s">
        <v>116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obj_002bc#0002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122</v>
      </c>
      <c r="G24" s="52" t="s">
        <v>116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obj_002a6#0002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122</v>
      </c>
      <c r="G25" s="52" t="s">
        <v>116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obj_002c0#0002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122</v>
      </c>
      <c r="G26" s="52" t="s">
        <v>116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obj_00295#0002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122</v>
      </c>
      <c r="G27" s="52" t="s">
        <v>116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obj_002a4#0002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122</v>
      </c>
      <c r="G28" s="52" t="s">
        <v>116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obj_002b0#0002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122</v>
      </c>
      <c r="G29" s="52" t="s">
        <v>116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obj_002a7#0002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122</v>
      </c>
      <c r="G30" s="52" t="s">
        <v>116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obj_0029a#0002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122</v>
      </c>
      <c r="G31" s="52" t="s">
        <v>116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obj_002ac#0002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122</v>
      </c>
      <c r="G32" s="52" t="s">
        <v>116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obj_002c4#0002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122</v>
      </c>
      <c r="G33" s="52" t="s">
        <v>116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obj_002bb#0002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122</v>
      </c>
      <c r="G34" s="52" t="s">
        <v>116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obj_002c1#0002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122</v>
      </c>
      <c r="G35" s="52" t="s">
        <v>116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obj_0029c#0002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122</v>
      </c>
      <c r="G36" s="52" t="s">
        <v>116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obj_00292#0002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122</v>
      </c>
      <c r="G37" s="52" t="s">
        <v>116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obj_002b2#0002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122</v>
      </c>
      <c r="G38" s="52" t="s">
        <v>116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obj_002ab#0002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122</v>
      </c>
      <c r="G39" s="52" t="s">
        <v>116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obj_002a5#0002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122</v>
      </c>
      <c r="G40" s="52" t="s">
        <v>116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obj_002be#0002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122</v>
      </c>
      <c r="G41" s="52" t="s">
        <v>116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obj_002b1#0002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122</v>
      </c>
      <c r="G42" s="52" t="s">
        <v>116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obj_00299#0002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122</v>
      </c>
      <c r="G43" s="52" t="s">
        <v>116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obj_002ae#0002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122</v>
      </c>
      <c r="G44" s="52" t="s">
        <v>116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obj_002af#0002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122</v>
      </c>
      <c r="G45" s="52" t="s">
        <v>116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obj_002c3#0002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122</v>
      </c>
      <c r="G46" s="52" t="s">
        <v>116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obj_00297#0002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122</v>
      </c>
      <c r="G47" s="52" t="s">
        <v>116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obj_0029d#0002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122</v>
      </c>
      <c r="G48" s="52" t="s">
        <v>116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obj_002bf#0002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122</v>
      </c>
      <c r="G49" s="52" t="s">
        <v>116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obj_002b4#0002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122</v>
      </c>
      <c r="G50" s="52" t="s">
        <v>116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obj_00293#0002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122</v>
      </c>
      <c r="G51" s="52" t="s">
        <v>116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obj_002bd#0002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122</v>
      </c>
      <c r="G52" s="52" t="s">
        <v>116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obj_002ad#0002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122</v>
      </c>
      <c r="G53" s="52" t="s">
        <v>116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obj_00294#0002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122</v>
      </c>
      <c r="G54" s="52" t="s">
        <v>116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obj_0029f#0002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122</v>
      </c>
      <c r="G55" s="52" t="s">
        <v>116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obj_002b5#0002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122</v>
      </c>
      <c r="G56" s="52" t="s">
        <v>116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obj_002a8#0002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122</v>
      </c>
      <c r="G57" s="52" t="s">
        <v>116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obj_002c5#0002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122</v>
      </c>
      <c r="G58" s="52" t="s">
        <v>116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obj_0029e#0002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disablePrompts="1"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132</v>
      </c>
      <c r="C1" s="66"/>
      <c r="D1" s="66"/>
      <c r="E1" s="66"/>
      <c r="F1" s="67"/>
      <c r="G1" s="68" t="s">
        <v>133</v>
      </c>
      <c r="H1" s="66"/>
      <c r="I1" s="69"/>
      <c r="J1" s="68"/>
      <c r="K1" s="70"/>
    </row>
    <row r="2" spans="1:28" hidden="1" outlineLevel="1" x14ac:dyDescent="0.2">
      <c r="A2" s="72"/>
      <c r="B2" s="73" t="s">
        <v>134</v>
      </c>
      <c r="C2" s="74" t="s">
        <v>135</v>
      </c>
      <c r="D2" s="74" t="s">
        <v>99</v>
      </c>
      <c r="E2" s="74" t="s">
        <v>136</v>
      </c>
      <c r="F2" s="216" t="s">
        <v>137</v>
      </c>
      <c r="G2" s="73" t="s">
        <v>135</v>
      </c>
      <c r="H2" s="74" t="s">
        <v>136</v>
      </c>
      <c r="I2" s="75" t="s">
        <v>138</v>
      </c>
      <c r="J2" s="217" t="s">
        <v>139</v>
      </c>
      <c r="K2" s="75" t="s">
        <v>140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42502</v>
      </c>
      <c r="F3" s="211">
        <f>IF(D3&lt;=12,1,IF(D3&lt;=24,3,IF(D3&lt;=120,6,IF(D3&lt;=240,12,IF(D3&lt;=360,36,60)))))</f>
        <v>1</v>
      </c>
      <c r="G3" s="188">
        <f>IF(J3&gt;=0,ROUNDDOWN(J3*10,3),ROUNDUP(J3*10,3))/10</f>
        <v>-6.0999999999999995E-3</v>
      </c>
      <c r="H3" s="215">
        <f>IF(K3-J3&gt;1%,(QUOTIENT(K3*10000,50)+1)*0.5%,(QUOTIENT(K3*10000,10)+1)*0.1%)</f>
        <v>-2E-3</v>
      </c>
      <c r="I3" s="81">
        <f>IF(H3-G3&lt;1%,0.1%,IF(H3-G3&lt;2%,0.25%,0.5%))</f>
        <v>1E-3</v>
      </c>
      <c r="J3" s="213">
        <f>MIN(_xll.ohPack($Z$11:INDEX($Z$11:$Z$3544,MATCH(E3+1,$Y$11:$Y$3544,1),1)))</f>
        <v>-6.031923064790945E-3</v>
      </c>
      <c r="K3" s="203">
        <f>MAX(_xll.ohPack($Z$11:INDEX($Z$11:$Z$3544,MATCH(E3+1,$Y$11:$Y$3544,1),1)))</f>
        <v>-3.5955417873445583E-3</v>
      </c>
      <c r="L3" s="82"/>
      <c r="M3" s="190"/>
      <c r="N3" s="219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42867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-6.0999999999999995E-3</v>
      </c>
      <c r="H4" s="215">
        <f t="shared" ref="H4:H9" si="3">IF(K4-J4&gt;1%,(QUOTIENT(K4*10000,50)+1)*0.5%,(QUOTIENT(K4*10000,10)+1)*0.1%)</f>
        <v>-2E-3</v>
      </c>
      <c r="I4" s="81">
        <f t="shared" ref="I4:I9" si="4">IF(H4-G4&lt;1%,0.1%,IF(H4-G4&lt;2%,0.25%,0.5%))</f>
        <v>1E-3</v>
      </c>
      <c r="J4" s="213">
        <f>MIN(_xll.ohPack($Z$11:INDEX($Z$11:$Z$3544,MATCH(E4+1,$Y$11:$Y$3544,1),1)))</f>
        <v>-6.031923064790945E-3</v>
      </c>
      <c r="K4" s="203">
        <f>MAX(_xll.ohPack($Z$11:INDEX($Z$11:$Z$3544,MATCH(E4+1,$Y$11:$Y$3544,1),1)))</f>
        <v>-3.175042377492332E-3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43963</v>
      </c>
      <c r="F5" s="211">
        <f t="shared" si="1"/>
        <v>6</v>
      </c>
      <c r="G5" s="188">
        <f t="shared" si="2"/>
        <v>-6.0999999999999995E-3</v>
      </c>
      <c r="H5" s="215">
        <f t="shared" si="3"/>
        <v>4.0000000000000001E-3</v>
      </c>
      <c r="I5" s="81">
        <f t="shared" si="4"/>
        <v>2.5000000000000001E-3</v>
      </c>
      <c r="J5" s="213">
        <f>MIN(_xll.ohPack($Z$11:INDEX($Z$11:$Z$3544,MATCH(E5+1,$Y$11:$Y$3544,1),1)))</f>
        <v>-6.031923064790945E-3</v>
      </c>
      <c r="K5" s="204">
        <f>MAX(_xll.ohPack($Z$11:INDEX($Z$11:$Z$3544,MATCH(E5+1,$Y$11:$Y$3544,1),1)))</f>
        <v>3.0413833163134285E-3</v>
      </c>
      <c r="L5" s="82"/>
    </row>
    <row r="6" spans="1:28" ht="11.25" hidden="1" customHeight="1" outlineLevel="1" x14ac:dyDescent="0.2">
      <c r="A6" s="78" t="s">
        <v>141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45789</v>
      </c>
      <c r="F6" s="211">
        <f t="shared" si="1"/>
        <v>6</v>
      </c>
      <c r="G6" s="188">
        <f t="shared" si="2"/>
        <v>-6.0999999999999995E-3</v>
      </c>
      <c r="H6" s="215">
        <f t="shared" si="3"/>
        <v>0.01</v>
      </c>
      <c r="I6" s="81">
        <f t="shared" si="4"/>
        <v>2.5000000000000001E-3</v>
      </c>
      <c r="J6" s="213">
        <f>MIN(_xll.ohPack($Z$11:INDEX($Z$11:$Z$3544,MATCH(E6+1,$Y$11:$Y$3544,1),1)))</f>
        <v>-6.031923064790945E-3</v>
      </c>
      <c r="K6" s="204">
        <f>MAX(_xll.ohPack($Z$11:INDEX($Z$11:$Z$3544,MATCH(E6+1,$Y$11:$Y$3544,1),1)))</f>
        <v>9.5450690330078913E-3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49441</v>
      </c>
      <c r="F7" s="211">
        <f t="shared" si="1"/>
        <v>12</v>
      </c>
      <c r="G7" s="188">
        <f t="shared" si="2"/>
        <v>-6.0999999999999995E-3</v>
      </c>
      <c r="H7" s="215">
        <f t="shared" si="3"/>
        <v>1.4999999999999999E-2</v>
      </c>
      <c r="I7" s="81">
        <f t="shared" si="4"/>
        <v>5.0000000000000001E-3</v>
      </c>
      <c r="J7" s="213">
        <f>MIN(_xll.ohPack($Z$11:INDEX($Z$11:$Z$3544,MATCH(E7+1,$Y$11:$Y$3544,1),1)))</f>
        <v>-6.031923064790945E-3</v>
      </c>
      <c r="K7" s="204">
        <f>MAX(_xll.ohPack($Z$11:INDEX($Z$11:$Z$3544,MATCH(E7+1,$Y$11:$Y$3544,1),1)))</f>
        <v>1.0191873748954805E-2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53094</v>
      </c>
      <c r="F8" s="211">
        <f t="shared" si="1"/>
        <v>36</v>
      </c>
      <c r="G8" s="188">
        <f t="shared" si="2"/>
        <v>-6.0999999999999995E-3</v>
      </c>
      <c r="H8" s="215">
        <f t="shared" si="3"/>
        <v>1.4999999999999999E-2</v>
      </c>
      <c r="I8" s="81">
        <f t="shared" si="4"/>
        <v>5.0000000000000001E-3</v>
      </c>
      <c r="J8" s="213">
        <f>MIN(_xll.ohPack($Z$11:INDEX($Z$11:$Z$3544,MATCH(E8+1,$Y$11:$Y$3544,1),1)))</f>
        <v>-6.031923064790945E-3</v>
      </c>
      <c r="K8" s="204">
        <f>MAX(_xll.ohPack($Z$11:INDEX($Z$11:$Z$3544,MATCH(E8+1,$Y$11:$Y$3544,1),1)))</f>
        <v>1.0366273127253578E-2</v>
      </c>
      <c r="L8" s="82"/>
      <c r="V8" s="71"/>
      <c r="Z8" s="85" t="s">
        <v>153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64051</v>
      </c>
      <c r="F9" s="212">
        <f t="shared" si="1"/>
        <v>60</v>
      </c>
      <c r="G9" s="189">
        <f t="shared" si="2"/>
        <v>-6.0999999999999995E-3</v>
      </c>
      <c r="H9" s="218">
        <f t="shared" si="3"/>
        <v>1.4999999999999999E-2</v>
      </c>
      <c r="I9" s="89">
        <f t="shared" si="4"/>
        <v>5.0000000000000001E-3</v>
      </c>
      <c r="J9" s="214">
        <f>MIN(_xll.ohPack($Z$11:INDEX($Z$11:$Z$3544,MATCH(E9+1,$Y$11:$Y$3544,1),1)))</f>
        <v>-6.031923064790945E-3</v>
      </c>
      <c r="K9" s="205">
        <f>MAX(_xll.ohPack($Z$11:INDEX($Z$11:$Z$3544,MATCH(E9+1,$Y$11:$Y$3544,1),1)))</f>
        <v>1.0366273127253578E-2</v>
      </c>
      <c r="L9" s="82"/>
      <c r="V9" s="90"/>
      <c r="Z9" s="91" t="str">
        <f>_xll.qlOvernightIndex(,FamilyName,NDays,Currency,Calendar,"act/360",YieldCurve)</f>
        <v>obj_002c9#0006</v>
      </c>
    </row>
    <row r="10" spans="1:28" ht="23.25" collapsed="1" thickBot="1" x14ac:dyDescent="0.25">
      <c r="C10" s="202"/>
      <c r="J10" s="92"/>
      <c r="M10" s="93" t="s">
        <v>142</v>
      </c>
      <c r="N10" s="94" t="s">
        <v>143</v>
      </c>
      <c r="O10" s="95" t="s">
        <v>144</v>
      </c>
      <c r="P10" s="95" t="s">
        <v>61</v>
      </c>
      <c r="Q10" s="95" t="s">
        <v>145</v>
      </c>
      <c r="R10" s="95" t="s">
        <v>54</v>
      </c>
      <c r="S10" s="95" t="s">
        <v>146</v>
      </c>
      <c r="T10" s="96" t="s">
        <v>147</v>
      </c>
      <c r="U10" s="85" t="s">
        <v>148</v>
      </c>
      <c r="V10" s="97"/>
      <c r="W10" s="98" t="s">
        <v>149</v>
      </c>
      <c r="X10" s="98" t="s">
        <v>150</v>
      </c>
      <c r="Y10" s="98" t="s">
        <v>144</v>
      </c>
      <c r="Z10" s="98" t="s">
        <v>141</v>
      </c>
      <c r="AA10" s="99"/>
    </row>
    <row r="11" spans="1:28" ht="12" thickBot="1" x14ac:dyDescent="0.25">
      <c r="J11" s="100" t="s">
        <v>151</v>
      </c>
      <c r="M11" s="101" t="str">
        <f t="array" ref="M11:M64">_xll.ohFilter(RateHelpers!A4:A57,IF(ISERROR(RateHelpers!C4:C57),FALSE,TRUE))</f>
        <v>obj_002a2#0002</v>
      </c>
      <c r="N11" s="101" t="str">
        <f>_xll.qlRateHelperQuoteName(M11)</f>
        <v>CHFOIS1M_Quote</v>
      </c>
      <c r="O11" s="102">
        <f>_xll.qlRateHelperLatestDate(M11,Trigger)</f>
        <v>42170</v>
      </c>
      <c r="P11" s="103">
        <f>_xll.qlRateHelperQuoteValue(M11,_xll.ohTrigger(RecalcTrigger,YieldCurve))</f>
        <v>-3.8E-3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obj_002d1#0006</v>
      </c>
      <c r="S11" s="105">
        <f>_xll.qlOvernightIndexedSwapFairRate(R11,_xll.ohTrigger(RecalcTrigger,YieldCurve))</f>
        <v>-3.7999999999994609E-3</v>
      </c>
      <c r="T11" s="106">
        <f>ABS(S11-P11)</f>
        <v>5.390653201597928E-16</v>
      </c>
      <c r="U11" s="107">
        <f>MAX(_xll.ohPack(T11:T64))</f>
        <v>4.9999999999513108E-5</v>
      </c>
      <c r="V11" s="97"/>
      <c r="W11" s="92" t="s">
        <v>115</v>
      </c>
      <c r="X11" s="108">
        <f>_xll.qlSettingsEvaluationDate(Trigger)</f>
        <v>42135</v>
      </c>
      <c r="Y11" s="108">
        <f>_xll.qlCalendarAdvance(Calendar,X11,NDays&amp;"D")</f>
        <v>42136</v>
      </c>
      <c r="Z11" s="109">
        <f t="array" ref="Z11:Z3544">IFERROR(_xll.qlIndexFixing(IborIndex,X11:X3544,TRUE,RecalcTrigger),NA())</f>
        <v>-3.7249999999744432E-3</v>
      </c>
      <c r="AA11" s="99"/>
      <c r="AB11" s="190"/>
    </row>
    <row r="12" spans="1:28" ht="12" thickBot="1" x14ac:dyDescent="0.25">
      <c r="J12" s="111"/>
      <c r="M12" s="101" t="str">
        <v>obj_002b9#0002</v>
      </c>
      <c r="N12" s="101" t="str">
        <f>_xll.qlRateHelperQuoteName(M12)</f>
        <v>CHFOIS2M_Quote</v>
      </c>
      <c r="O12" s="102">
        <f>_xll.qlRateHelperLatestDate(M12,Trigger)</f>
        <v>42198</v>
      </c>
      <c r="P12" s="103">
        <f>_xll.qlRateHelperQuoteValue(M12,_xll.ohTrigger(RecalcTrigger,YieldCurve))</f>
        <v>-4.3000000000000009E-3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obj_002db#0006</v>
      </c>
      <c r="S12" s="105">
        <f>_xll.qlOvernightIndexedSwapFairRate(R12,_xll.ohTrigger(RecalcTrigger,YieldCurve))</f>
        <v>-4.2999999999999965E-3</v>
      </c>
      <c r="T12" s="106">
        <f t="shared" ref="T12:T64" si="6">ABS(S12-P12)</f>
        <v>4.3368086899420177E-18</v>
      </c>
      <c r="V12" s="97"/>
      <c r="W12" s="92" t="str">
        <f>W11</f>
        <v>1D</v>
      </c>
      <c r="X12" s="102">
        <f>_xll.qlCalendarAdvance(Calendar,X11,W12,"f",FALSE)</f>
        <v>42136</v>
      </c>
      <c r="Y12" s="108">
        <f>_xll.qlCalendarAdvance(Calendar,X12,NDays&amp;"D")</f>
        <v>42137</v>
      </c>
      <c r="Z12" s="109">
        <v>-3.6917180262974192E-3</v>
      </c>
      <c r="AA12" s="99"/>
    </row>
    <row r="13" spans="1:28" ht="12" thickBot="1" x14ac:dyDescent="0.25">
      <c r="M13" s="101" t="str">
        <v>obj_00298#0002</v>
      </c>
      <c r="N13" s="101" t="str">
        <f>_xll.qlRateHelperQuoteName(M13)</f>
        <v>CHFOIS3M_Quote</v>
      </c>
      <c r="O13" s="102">
        <f>_xll.qlRateHelperLatestDate(M13,Trigger)</f>
        <v>42229</v>
      </c>
      <c r="P13" s="103">
        <f>_xll.qlRateHelperQuoteValue(M13,_xll.ohTrigger(RecalcTrigger,YieldCurve))</f>
        <v>-4.5000000000000005E-3</v>
      </c>
      <c r="Q13" s="104" t="str">
        <f t="shared" si="5"/>
        <v>3M</v>
      </c>
      <c r="R13" s="92" t="str">
        <f>_xll.qlMakeOIS(,IF(Q13="SW","1W",Q13),IborIndex,,"0D",,,,_xll.ohTrigger(RecalcTrigger,YieldCurve))</f>
        <v>obj_002df#0006</v>
      </c>
      <c r="S13" s="105">
        <f>_xll.qlOvernightIndexedSwapFairRate(R13,_xll.ohTrigger(RecalcTrigger,YieldCurve))</f>
        <v>-4.5000000000003735E-3</v>
      </c>
      <c r="T13" s="106">
        <f t="shared" si="6"/>
        <v>3.7296554733501353E-16</v>
      </c>
      <c r="V13" s="97"/>
      <c r="W13" s="92" t="str">
        <f t="shared" ref="W13:W76" si="7">W12</f>
        <v>1D</v>
      </c>
      <c r="X13" s="102">
        <f>_xll.qlCalendarAdvance(Calendar,X12,W13,"f",FALSE)</f>
        <v>42137</v>
      </c>
      <c r="Y13" s="108">
        <f>_xll.qlCalendarAdvance(Calendar,X13,NDays&amp;"D")</f>
        <v>42139</v>
      </c>
      <c r="Z13" s="109">
        <v>-3.6424553013914007E-3</v>
      </c>
      <c r="AA13" s="99"/>
    </row>
    <row r="14" spans="1:28" ht="23.25" thickBot="1" x14ac:dyDescent="0.25">
      <c r="D14" s="71"/>
      <c r="E14" s="71"/>
      <c r="J14" s="185" t="s">
        <v>159</v>
      </c>
      <c r="M14" s="101" t="str">
        <v>obj_002b6#0002</v>
      </c>
      <c r="N14" s="101" t="str">
        <f>_xll.qlRateHelperQuoteName(M14)</f>
        <v>CHFOIS4M_Quote</v>
      </c>
      <c r="O14" s="102">
        <f>_xll.qlRateHelperLatestDate(M14,Trigger)</f>
        <v>42261</v>
      </c>
      <c r="P14" s="103">
        <f>_xll.qlRateHelperQuoteValue(M14,_xll.ohTrigger(RecalcTrigger,YieldCurve))</f>
        <v>-4.8500000000000001E-3</v>
      </c>
      <c r="Q14" s="104" t="str">
        <f t="shared" si="5"/>
        <v>4M</v>
      </c>
      <c r="R14" s="92" t="str">
        <f>_xll.qlMakeOIS(,IF(Q14="SW","1W",Q14),IborIndex,,"0D",,,,_xll.ohTrigger(RecalcTrigger,YieldCurve))</f>
        <v>obj_002e4#0006</v>
      </c>
      <c r="S14" s="105">
        <f>_xll.qlOvernightIndexedSwapFairRate(R14,_xll.ohTrigger(RecalcTrigger,YieldCurve))</f>
        <v>-4.8500000000001858E-3</v>
      </c>
      <c r="T14" s="106">
        <f t="shared" si="6"/>
        <v>1.8561541192951836E-16</v>
      </c>
      <c r="V14" s="97"/>
      <c r="W14" s="92" t="str">
        <f t="shared" si="7"/>
        <v>1D</v>
      </c>
      <c r="X14" s="102">
        <f>_xll.qlCalendarAdvance(Calendar,X13,W14,"f",FALSE)</f>
        <v>42139</v>
      </c>
      <c r="Y14" s="108">
        <f>_xll.qlCalendarAdvance(Calendar,X14,NDays&amp;"D")</f>
        <v>42142</v>
      </c>
      <c r="Z14" s="109">
        <v>-3.6145494773265341E-3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obj_002a3#0002</v>
      </c>
      <c r="N15" s="101" t="str">
        <f>_xll.qlRateHelperQuoteName(M15)</f>
        <v>CHFOIS5M_Quote</v>
      </c>
      <c r="O15" s="102">
        <f>_xll.qlRateHelperLatestDate(M15,Trigger)</f>
        <v>42290</v>
      </c>
      <c r="P15" s="103">
        <f>_xll.qlRateHelperQuoteValue(M15,_xll.ohTrigger(RecalcTrigger,YieldCurve))</f>
        <v>-5.0000000000000001E-3</v>
      </c>
      <c r="Q15" s="104" t="str">
        <f t="shared" si="5"/>
        <v>5M</v>
      </c>
      <c r="R15" s="92" t="str">
        <f>_xll.qlMakeOIS(,IF(Q15="SW","1W",Q15),IborIndex,,"0D",,,,_xll.ohTrigger(RecalcTrigger,YieldCurve))</f>
        <v>obj_002e1#0006</v>
      </c>
      <c r="S15" s="105">
        <f>_xll.qlOvernightIndexedSwapFairRate(R15,_xll.ohTrigger(RecalcTrigger,YieldCurve))</f>
        <v>-5.0000000000001033E-3</v>
      </c>
      <c r="T15" s="106">
        <f t="shared" si="6"/>
        <v>1.0321604682062002E-16</v>
      </c>
      <c r="V15" s="97"/>
      <c r="W15" s="92" t="str">
        <f t="shared" si="7"/>
        <v>1D</v>
      </c>
      <c r="X15" s="102">
        <f>_xll.qlCalendarAdvance(Calendar,X14,W15,"f",FALSE)</f>
        <v>42142</v>
      </c>
      <c r="Y15" s="108">
        <f>_xll.qlCalendarAdvance(Calendar,X15,NDays&amp;"D")</f>
        <v>42143</v>
      </c>
      <c r="Z15" s="109">
        <v>-3.6053502893151901E-3</v>
      </c>
      <c r="AA15" s="112"/>
    </row>
    <row r="16" spans="1:28" x14ac:dyDescent="0.2">
      <c r="M16" s="101" t="str">
        <v>obj_002b3#0002</v>
      </c>
      <c r="N16" s="101" t="str">
        <f>_xll.qlRateHelperQuoteName(M16)</f>
        <v>CHFOIS6M_Quote</v>
      </c>
      <c r="O16" s="102">
        <f>_xll.qlRateHelperLatestDate(M16,Trigger)</f>
        <v>42321</v>
      </c>
      <c r="P16" s="103">
        <f>_xll.qlRateHelperQuoteValue(M16,_xll.ohTrigger(RecalcTrigger,YieldCurve))</f>
        <v>-5.1000000000000004E-3</v>
      </c>
      <c r="Q16" s="104" t="str">
        <f t="shared" si="5"/>
        <v>6M</v>
      </c>
      <c r="R16" s="92" t="str">
        <f>_xll.qlMakeOIS(,IF(Q16="SW","1W",Q16),IborIndex,,"0D",,,,_xll.ohTrigger(RecalcTrigger,YieldCurve))</f>
        <v>obj_002e5#0006</v>
      </c>
      <c r="S16" s="105">
        <f>_xll.qlOvernightIndexedSwapFairRate(R16,_xll.ohTrigger(RecalcTrigger,YieldCurve))</f>
        <v>-5.0999999999999587E-3</v>
      </c>
      <c r="T16" s="106">
        <f t="shared" si="6"/>
        <v>4.163336342344337E-17</v>
      </c>
      <c r="V16" s="97"/>
      <c r="W16" s="92" t="str">
        <f t="shared" si="7"/>
        <v>1D</v>
      </c>
      <c r="X16" s="102">
        <f>_xll.qlCalendarAdvance(Calendar,X15,W16,"f",FALSE)</f>
        <v>42143</v>
      </c>
      <c r="Y16" s="108">
        <f>_xll.qlCalendarAdvance(Calendar,X16,NDays&amp;"D")</f>
        <v>42144</v>
      </c>
      <c r="Z16" s="109">
        <v>-3.5990143927078222E-3</v>
      </c>
      <c r="AA16" s="112"/>
    </row>
    <row r="17" spans="13:27" x14ac:dyDescent="0.2">
      <c r="M17" s="101" t="str">
        <v>obj_002aa#0002</v>
      </c>
      <c r="N17" s="101" t="str">
        <f>_xll.qlRateHelperQuoteName(M17)</f>
        <v>CHFOIS7M_Quote</v>
      </c>
      <c r="O17" s="102">
        <f>_xll.qlRateHelperLatestDate(M17,Trigger)</f>
        <v>42352</v>
      </c>
      <c r="P17" s="103">
        <f>_xll.qlRateHelperQuoteValue(M17,_xll.ohTrigger(RecalcTrigger,YieldCurve))</f>
        <v>-5.1500000000000001E-3</v>
      </c>
      <c r="Q17" s="104" t="str">
        <f t="shared" si="5"/>
        <v>7M</v>
      </c>
      <c r="R17" s="92" t="str">
        <f>_xll.qlMakeOIS(,IF(Q17="SW","1W",Q17),IborIndex,,"0D",,,,_xll.ohTrigger(RecalcTrigger,YieldCurve))</f>
        <v>obj_002cb#0006</v>
      </c>
      <c r="S17" s="105">
        <f>_xll.qlOvernightIndexedSwapFairRate(R17,_xll.ohTrigger(RecalcTrigger,YieldCurve))</f>
        <v>-5.1499999999998118E-3</v>
      </c>
      <c r="T17" s="106">
        <f t="shared" si="6"/>
        <v>1.8821749714348357E-16</v>
      </c>
      <c r="V17" s="97"/>
      <c r="W17" s="92" t="str">
        <f t="shared" si="7"/>
        <v>1D</v>
      </c>
      <c r="X17" s="102">
        <f>_xll.qlCalendarAdvance(Calendar,X16,W17,"f",FALSE)</f>
        <v>42144</v>
      </c>
      <c r="Y17" s="108">
        <f>_xll.qlCalendarAdvance(Calendar,X17,NDays&amp;"D")</f>
        <v>42145</v>
      </c>
      <c r="Z17" s="109">
        <v>-3.5955417873445583E-3</v>
      </c>
      <c r="AA17" s="112"/>
    </row>
    <row r="18" spans="13:27" x14ac:dyDescent="0.2">
      <c r="M18" s="101" t="str">
        <v>obj_002b7#0002</v>
      </c>
      <c r="N18" s="101" t="str">
        <f>_xll.qlRateHelperQuoteName(M18)</f>
        <v>CHFOIS8M_Quote</v>
      </c>
      <c r="O18" s="102">
        <f>_xll.qlRateHelperLatestDate(M18,Trigger)</f>
        <v>42382</v>
      </c>
      <c r="P18" s="103">
        <f>_xll.qlRateHelperQuoteValue(M18,_xll.ohTrigger(RecalcTrigger,YieldCurve))</f>
        <v>-5.1500000000000001E-3</v>
      </c>
      <c r="Q18" s="104" t="str">
        <f t="shared" si="5"/>
        <v>8M</v>
      </c>
      <c r="R18" s="92" t="str">
        <f>_xll.qlMakeOIS(,IF(Q18="SW","1W",Q18),IborIndex,,"0D",,,,_xll.ohTrigger(RecalcTrigger,YieldCurve))</f>
        <v>obj_002cd#0006</v>
      </c>
      <c r="S18" s="105">
        <f>_xll.qlOvernightIndexedSwapFairRate(R18,_xll.ohTrigger(RecalcTrigger,YieldCurve))</f>
        <v>-5.1500000002134326E-3</v>
      </c>
      <c r="T18" s="106">
        <f t="shared" si="6"/>
        <v>2.1343257022854445E-13</v>
      </c>
      <c r="V18" s="97"/>
      <c r="W18" s="92" t="str">
        <f t="shared" si="7"/>
        <v>1D</v>
      </c>
      <c r="X18" s="102">
        <f>_xll.qlCalendarAdvance(Calendar,X17,W18,"f",FALSE)</f>
        <v>42145</v>
      </c>
      <c r="Y18" s="108">
        <f>_xll.qlCalendarAdvance(Calendar,X18,NDays&amp;"D")</f>
        <v>42146</v>
      </c>
      <c r="Z18" s="109">
        <v>-3.6011226962495702E-3</v>
      </c>
      <c r="AA18" s="112"/>
    </row>
    <row r="19" spans="13:27" x14ac:dyDescent="0.2">
      <c r="M19" s="101" t="str">
        <v>obj_002b8#0002</v>
      </c>
      <c r="N19" s="101" t="str">
        <f>_xll.qlRateHelperQuoteName(M19)</f>
        <v>CHFOIS9M_Quote</v>
      </c>
      <c r="O19" s="102">
        <f>_xll.qlRateHelperLatestDate(M19,Trigger)</f>
        <v>42415</v>
      </c>
      <c r="P19" s="103">
        <f>_xll.qlRateHelperQuoteValue(M19,_xll.ohTrigger(RecalcTrigger,YieldCurve))</f>
        <v>-5.1999999999999998E-3</v>
      </c>
      <c r="Q19" s="104" t="str">
        <f t="shared" si="5"/>
        <v>9M</v>
      </c>
      <c r="R19" s="92" t="str">
        <f>_xll.qlMakeOIS(,IF(Q19="SW","1W",Q19),IborIndex,,"0D",,,,_xll.ohTrigger(RecalcTrigger,YieldCurve))</f>
        <v>obj_002e6#0006</v>
      </c>
      <c r="S19" s="105">
        <f>_xll.qlOvernightIndexedSwapFairRate(R19,_xll.ohTrigger(RecalcTrigger,YieldCurve))</f>
        <v>-5.1999999999999928E-3</v>
      </c>
      <c r="T19" s="106">
        <f t="shared" si="6"/>
        <v>6.9388939039072284E-18</v>
      </c>
      <c r="V19" s="97"/>
      <c r="W19" s="92" t="str">
        <f t="shared" si="7"/>
        <v>1D</v>
      </c>
      <c r="X19" s="102">
        <f>_xll.qlCalendarAdvance(Calendar,X18,W19,"f",FALSE)</f>
        <v>42146</v>
      </c>
      <c r="Y19" s="108">
        <f>_xll.qlCalendarAdvance(Calendar,X19,NDays&amp;"D")</f>
        <v>42150</v>
      </c>
      <c r="Z19" s="109">
        <v>-3.6211281315079447E-3</v>
      </c>
      <c r="AA19" s="112"/>
    </row>
    <row r="20" spans="13:27" x14ac:dyDescent="0.2">
      <c r="M20" s="101" t="str">
        <v>obj_002ba#0002</v>
      </c>
      <c r="N20" s="101" t="str">
        <f>_xll.qlRateHelperQuoteName(M20)</f>
        <v>CHFOIS10M_Quote</v>
      </c>
      <c r="O20" s="102">
        <f>_xll.qlRateHelperLatestDate(M20,Trigger)</f>
        <v>42443</v>
      </c>
      <c r="P20" s="103">
        <f>_xll.qlRateHelperQuoteValue(M20,_xll.ohTrigger(RecalcTrigger,YieldCurve))</f>
        <v>-5.1999999999999998E-3</v>
      </c>
      <c r="Q20" s="104" t="str">
        <f t="shared" si="5"/>
        <v>10M</v>
      </c>
      <c r="R20" s="92" t="str">
        <f>_xll.qlMakeOIS(,IF(Q20="SW","1W",Q20),IborIndex,,"0D",,,,_xll.ohTrigger(RecalcTrigger,YieldCurve))</f>
        <v>obj_002da#0006</v>
      </c>
      <c r="S20" s="105">
        <f>_xll.qlOvernightIndexedSwapFairRate(R20,_xll.ohTrigger(RecalcTrigger,YieldCurve))</f>
        <v>-5.2000000001601095E-3</v>
      </c>
      <c r="T20" s="106">
        <f t="shared" si="6"/>
        <v>1.6010977266223136E-13</v>
      </c>
      <c r="V20" s="97"/>
      <c r="W20" s="92" t="str">
        <f t="shared" si="7"/>
        <v>1D</v>
      </c>
      <c r="X20" s="102">
        <f>_xll.qlCalendarAdvance(Calendar,X19,W20,"f",FALSE)</f>
        <v>42150</v>
      </c>
      <c r="Y20" s="108">
        <f>_xll.qlCalendarAdvance(Calendar,X20,NDays&amp;"D")</f>
        <v>42151</v>
      </c>
      <c r="Z20" s="109">
        <v>-3.6348352736892409E-3</v>
      </c>
      <c r="AA20" s="112"/>
    </row>
    <row r="21" spans="13:27" x14ac:dyDescent="0.2">
      <c r="M21" s="101" t="str">
        <v>obj_002a0#0002</v>
      </c>
      <c r="N21" s="101" t="str">
        <f>_xll.qlRateHelperQuoteName(M21)</f>
        <v>CHFOIS11M_Quote</v>
      </c>
      <c r="O21" s="102">
        <f>_xll.qlRateHelperLatestDate(M21,Trigger)</f>
        <v>42473</v>
      </c>
      <c r="P21" s="103">
        <f>_xll.qlRateHelperQuoteValue(M21,_xll.ohTrigger(RecalcTrigger,YieldCurve))</f>
        <v>-5.1999999999999998E-3</v>
      </c>
      <c r="Q21" s="104" t="str">
        <f t="shared" si="5"/>
        <v>11M</v>
      </c>
      <c r="R21" s="92" t="str">
        <f>_xll.qlMakeOIS(,IF(Q21="SW","1W",Q21),IborIndex,,"0D",,,,_xll.ohTrigger(RecalcTrigger,YieldCurve))</f>
        <v>obj_002cf#0006</v>
      </c>
      <c r="S21" s="105">
        <f>_xll.qlOvernightIndexedSwapFairRate(R21,_xll.ohTrigger(RecalcTrigger,YieldCurve))</f>
        <v>-5.2000000001940572E-3</v>
      </c>
      <c r="T21" s="106">
        <f t="shared" si="6"/>
        <v>1.9405744372535949E-13</v>
      </c>
      <c r="V21" s="97"/>
      <c r="W21" s="92" t="str">
        <f t="shared" si="7"/>
        <v>1D</v>
      </c>
      <c r="X21" s="102">
        <f>_xll.qlCalendarAdvance(Calendar,X20,W21,"f",FALSE)</f>
        <v>42151</v>
      </c>
      <c r="Y21" s="108">
        <f>_xll.qlCalendarAdvance(Calendar,X21,NDays&amp;"D")</f>
        <v>42152</v>
      </c>
      <c r="Z21" s="109">
        <v>-3.6514057063552485E-3</v>
      </c>
      <c r="AA21" s="112"/>
    </row>
    <row r="22" spans="13:27" x14ac:dyDescent="0.2">
      <c r="M22" s="101" t="str">
        <v>obj_002c6#0002</v>
      </c>
      <c r="N22" s="101" t="str">
        <f>_xll.qlRateHelperQuoteName(M22)</f>
        <v>CHFOIS1Y_Quote</v>
      </c>
      <c r="O22" s="102">
        <f>_xll.qlRateHelperLatestDate(M22,Trigger)</f>
        <v>42503</v>
      </c>
      <c r="P22" s="103">
        <f>_xll.qlRateHelperQuoteValue(M22,_xll.ohTrigger(RecalcTrigger,YieldCurve))</f>
        <v>-5.1999999999999998E-3</v>
      </c>
      <c r="Q22" s="104" t="str">
        <f t="shared" si="5"/>
        <v>1Y</v>
      </c>
      <c r="R22" s="92" t="str">
        <f>_xll.qlMakeOIS(,IF(Q22="SW","1W",Q22),IborIndex,,"0D",,,,_xll.ohTrigger(RecalcTrigger,YieldCurve))</f>
        <v>obj_002d3#0006</v>
      </c>
      <c r="S22" s="105">
        <f>_xll.qlOvernightIndexedSwapFairRate(R22,_xll.ohTrigger(RecalcTrigger,YieldCurve))</f>
        <v>-5.2000000001927379E-3</v>
      </c>
      <c r="T22" s="106">
        <f t="shared" si="6"/>
        <v>1.9273818652187913E-13</v>
      </c>
      <c r="V22" s="97"/>
      <c r="W22" s="92" t="str">
        <f t="shared" si="7"/>
        <v>1D</v>
      </c>
      <c r="X22" s="102">
        <f>_xll.qlCalendarAdvance(Calendar,X21,W22,"f",FALSE)</f>
        <v>42152</v>
      </c>
      <c r="Y22" s="108">
        <f>_xll.qlCalendarAdvance(Calendar,X22,NDays&amp;"D")</f>
        <v>42153</v>
      </c>
      <c r="Z22" s="109">
        <v>-3.6940529654394538E-3</v>
      </c>
      <c r="AA22" s="112"/>
    </row>
    <row r="23" spans="13:27" x14ac:dyDescent="0.2">
      <c r="M23" s="101" t="str">
        <v>obj_002a9#0002</v>
      </c>
      <c r="N23" s="101" t="str">
        <f>_xll.qlRateHelperQuoteName(M23)</f>
        <v>CHFOIS15M_Quote</v>
      </c>
      <c r="O23" s="102">
        <f>_xll.qlRateHelperLatestDate(M23,Trigger)</f>
        <v>42597</v>
      </c>
      <c r="P23" s="103">
        <f>_xll.qlRateHelperQuoteValue(M23,_xll.ohTrigger(RecalcTrigger,YieldCurve))</f>
        <v>-5.1500000000000001E-3</v>
      </c>
      <c r="Q23" s="104" t="str">
        <f t="shared" si="5"/>
        <v>15M</v>
      </c>
      <c r="R23" s="92" t="str">
        <f>_xll.qlMakeOIS(,IF(Q23="SW","1W",Q23),IborIndex,,"0D",,,,_xll.ohTrigger(RecalcTrigger,YieldCurve))</f>
        <v>obj_002e2#0006</v>
      </c>
      <c r="S23" s="105">
        <f>_xll.qlOvernightIndexedSwapFairRate(R23,_xll.ohTrigger(RecalcTrigger,YieldCurve))</f>
        <v>-5.1500000000021641E-3</v>
      </c>
      <c r="T23" s="106">
        <f t="shared" si="6"/>
        <v>2.1640675362810669E-15</v>
      </c>
      <c r="V23" s="97"/>
      <c r="W23" s="92" t="str">
        <f t="shared" si="7"/>
        <v>1D</v>
      </c>
      <c r="X23" s="102">
        <f>_xll.qlCalendarAdvance(Calendar,X22,W23,"f",FALSE)</f>
        <v>42153</v>
      </c>
      <c r="Y23" s="108">
        <f>_xll.qlCalendarAdvance(Calendar,X23,NDays&amp;"D")</f>
        <v>42156</v>
      </c>
      <c r="Z23" s="109">
        <v>-3.7463203329535233E-3</v>
      </c>
      <c r="AA23" s="112"/>
    </row>
    <row r="24" spans="13:27" x14ac:dyDescent="0.2">
      <c r="M24" s="101" t="str">
        <v>obj_002c0#0002</v>
      </c>
      <c r="N24" s="101" t="str">
        <f>_xll.qlRateHelperQuoteName(M24)</f>
        <v>CHFOIS18M_Quote</v>
      </c>
      <c r="O24" s="102">
        <f>_xll.qlRateHelperLatestDate(M24,Trigger)</f>
        <v>42688</v>
      </c>
      <c r="P24" s="103">
        <f>_xll.qlRateHelperQuoteValue(M24,_xll.ohTrigger(RecalcTrigger,YieldCurve))</f>
        <v>-5.0499999999999998E-3</v>
      </c>
      <c r="Q24" s="104" t="str">
        <f t="shared" si="5"/>
        <v>18M</v>
      </c>
      <c r="R24" s="92" t="str">
        <f>_xll.qlMakeOIS(,IF(Q24="SW","1W",Q24),IborIndex,,"0D",,,,_xll.ohTrigger(RecalcTrigger,YieldCurve))</f>
        <v>obj_002e0#0006</v>
      </c>
      <c r="S24" s="105">
        <f>_xll.qlOvernightIndexedSwapFairRate(R24,_xll.ohTrigger(RecalcTrigger,YieldCurve))</f>
        <v>-5.0500000000339145E-3</v>
      </c>
      <c r="T24" s="106">
        <f t="shared" si="6"/>
        <v>3.3914711317084567E-14</v>
      </c>
      <c r="V24" s="97"/>
      <c r="W24" s="92" t="str">
        <f t="shared" si="7"/>
        <v>1D</v>
      </c>
      <c r="X24" s="102">
        <f>_xll.qlCalendarAdvance(Calendar,X23,W24,"f",FALSE)</f>
        <v>42156</v>
      </c>
      <c r="Y24" s="108">
        <f>_xll.qlCalendarAdvance(Calendar,X24,NDays&amp;"D")</f>
        <v>42157</v>
      </c>
      <c r="Z24" s="109">
        <v>-3.7772072108888111E-3</v>
      </c>
      <c r="AA24" s="112"/>
    </row>
    <row r="25" spans="13:27" x14ac:dyDescent="0.2">
      <c r="M25" s="101" t="str">
        <v>obj_002b0#0002</v>
      </c>
      <c r="N25" s="101" t="str">
        <f>_xll.qlRateHelperQuoteName(M25)</f>
        <v>CHFOIS21M_Quote</v>
      </c>
      <c r="O25" s="102">
        <f>_xll.qlRateHelperLatestDate(M25,Trigger)</f>
        <v>42779</v>
      </c>
      <c r="P25" s="103">
        <f>_xll.qlRateHelperQuoteValue(M25,_xll.ohTrigger(RecalcTrigger,YieldCurve))</f>
        <v>-4.8999999999999998E-3</v>
      </c>
      <c r="Q25" s="104" t="str">
        <f t="shared" si="5"/>
        <v>21M</v>
      </c>
      <c r="R25" s="92" t="str">
        <f>_xll.qlMakeOIS(,IF(Q25="SW","1W",Q25),IborIndex,,"0D",,,,_xll.ohTrigger(RecalcTrigger,YieldCurve))</f>
        <v>obj_002d6#0006</v>
      </c>
      <c r="S25" s="105">
        <f>_xll.qlOvernightIndexedSwapFairRate(R25,_xll.ohTrigger(RecalcTrigger,YieldCurve))</f>
        <v>-4.9000000000067687E-3</v>
      </c>
      <c r="T25" s="106">
        <f t="shared" si="6"/>
        <v>6.7688910032615013E-15</v>
      </c>
      <c r="V25" s="97"/>
      <c r="W25" s="92" t="str">
        <f t="shared" si="7"/>
        <v>1D</v>
      </c>
      <c r="X25" s="102">
        <f>_xll.qlCalendarAdvance(Calendar,X24,W25,"f",FALSE)</f>
        <v>42157</v>
      </c>
      <c r="Y25" s="108">
        <f>_xll.qlCalendarAdvance(Calendar,X25,NDays&amp;"D")</f>
        <v>42158</v>
      </c>
      <c r="Z25" s="109">
        <v>-3.8109573759514959E-3</v>
      </c>
      <c r="AA25" s="112"/>
    </row>
    <row r="26" spans="13:27" x14ac:dyDescent="0.2">
      <c r="M26" s="101" t="str">
        <v>obj_002ac#0002</v>
      </c>
      <c r="N26" s="101" t="str">
        <f>_xll.qlRateHelperQuoteName(M26)</f>
        <v>CHFOIS2Y_Quote</v>
      </c>
      <c r="O26" s="102">
        <f>_xll.qlRateHelperLatestDate(M26,Trigger)</f>
        <v>42870</v>
      </c>
      <c r="P26" s="103">
        <f>_xll.qlRateHelperQuoteValue(M26,_xll.ohTrigger(RecalcTrigger,YieldCurve))</f>
        <v>-4.6999999999999993E-3</v>
      </c>
      <c r="Q26" s="104" t="str">
        <f t="shared" si="5"/>
        <v>2Y</v>
      </c>
      <c r="R26" s="92" t="str">
        <f>_xll.qlMakeOIS(,IF(Q26="SW","1W",Q26),IborIndex,,"0D",,,,_xll.ohTrigger(RecalcTrigger,YieldCurve))</f>
        <v>obj_002d7#0006</v>
      </c>
      <c r="S26" s="105">
        <f>_xll.qlOvernightIndexedSwapFairRate(R26,_xll.ohTrigger(RecalcTrigger,YieldCurve))</f>
        <v>-4.7000000002614057E-3</v>
      </c>
      <c r="T26" s="106">
        <f t="shared" si="6"/>
        <v>2.6140634795668305E-13</v>
      </c>
      <c r="V26" s="97"/>
      <c r="W26" s="92" t="str">
        <f t="shared" si="7"/>
        <v>1D</v>
      </c>
      <c r="X26" s="102">
        <f>_xll.qlCalendarAdvance(Calendar,X25,W26,"f",FALSE)</f>
        <v>42158</v>
      </c>
      <c r="Y26" s="108">
        <f>_xll.qlCalendarAdvance(Calendar,X26,NDays&amp;"D")</f>
        <v>42159</v>
      </c>
      <c r="Z26" s="109">
        <v>-3.8475708271024089E-3</v>
      </c>
      <c r="AA26" s="112"/>
    </row>
    <row r="27" spans="13:27" x14ac:dyDescent="0.2">
      <c r="M27" s="101" t="str">
        <v>obj_0029c#0002</v>
      </c>
      <c r="N27" s="101" t="str">
        <f>_xll.qlRateHelperQuoteName(M27)</f>
        <v>CHFOIS3Y_Quote</v>
      </c>
      <c r="O27" s="102">
        <f>_xll.qlRateHelperLatestDate(M27,Trigger)</f>
        <v>43234</v>
      </c>
      <c r="P27" s="103">
        <f>_xll.qlRateHelperQuoteValue(M27,_xll.ohTrigger(RecalcTrigger,YieldCurve))</f>
        <v>-4.0500000000000006E-3</v>
      </c>
      <c r="Q27" s="104" t="str">
        <f t="shared" si="5"/>
        <v>3Y</v>
      </c>
      <c r="R27" s="92" t="str">
        <f>_xll.qlMakeOIS(,IF(Q27="SW","1W",Q27),IborIndex,,"0D",,,,_xll.ohTrigger(RecalcTrigger,YieldCurve))</f>
        <v>obj_002cc#0006</v>
      </c>
      <c r="S27" s="105">
        <f>_xll.qlOvernightIndexedSwapFairRate(R27,_xll.ohTrigger(RecalcTrigger,YieldCurve))</f>
        <v>-4.0499999999940584E-3</v>
      </c>
      <c r="T27" s="106">
        <f t="shared" si="6"/>
        <v>5.9422952669585527E-15</v>
      </c>
      <c r="V27" s="97"/>
      <c r="W27" s="92" t="str">
        <f t="shared" si="7"/>
        <v>1D</v>
      </c>
      <c r="X27" s="102">
        <f>_xll.qlCalendarAdvance(Calendar,X26,W27,"f",FALSE)</f>
        <v>42159</v>
      </c>
      <c r="Y27" s="108">
        <f>_xll.qlCalendarAdvance(Calendar,X27,NDays&amp;"D")</f>
        <v>42160</v>
      </c>
      <c r="Z27" s="109">
        <v>-3.9302991048373315E-3</v>
      </c>
      <c r="AA27" s="112"/>
    </row>
    <row r="28" spans="13:27" x14ac:dyDescent="0.2">
      <c r="M28" s="101" t="str">
        <v>obj_002a5#0002</v>
      </c>
      <c r="N28" s="101" t="str">
        <f>_xll.qlRateHelperQuoteName(M28)</f>
        <v>CHFOIS4Y_Quote</v>
      </c>
      <c r="O28" s="102">
        <f>_xll.qlRateHelperLatestDate(M28,Trigger)</f>
        <v>43598</v>
      </c>
      <c r="P28" s="103">
        <f>_xll.qlRateHelperQuoteValue(M28,_xll.ohTrigger(RecalcTrigger,YieldCurve))</f>
        <v>-3.15E-3</v>
      </c>
      <c r="Q28" s="104" t="str">
        <f t="shared" si="5"/>
        <v>4Y</v>
      </c>
      <c r="R28" s="92" t="str">
        <f>_xll.qlMakeOIS(,IF(Q28="SW","1W",Q28),IborIndex,,"0D",,,,_xll.ohTrigger(RecalcTrigger,YieldCurve))</f>
        <v>obj_002ce#0006</v>
      </c>
      <c r="S28" s="105">
        <f>_xll.qlOvernightIndexedSwapFairRate(R28,_xll.ohTrigger(RecalcTrigger,YieldCurve))</f>
        <v>-3.1499999999965518E-3</v>
      </c>
      <c r="T28" s="106">
        <f t="shared" si="6"/>
        <v>3.4481965893728983E-15</v>
      </c>
      <c r="V28" s="97"/>
      <c r="W28" s="92" t="str">
        <f t="shared" si="7"/>
        <v>1D</v>
      </c>
      <c r="X28" s="102">
        <f>_xll.qlCalendarAdvance(Calendar,X27,W28,"f",FALSE)</f>
        <v>42160</v>
      </c>
      <c r="Y28" s="108">
        <f>_xll.qlCalendarAdvance(Calendar,X28,NDays&amp;"D")</f>
        <v>42163</v>
      </c>
      <c r="Z28" s="109">
        <v>-4.0226574767610046E-3</v>
      </c>
      <c r="AA28" s="112"/>
    </row>
    <row r="29" spans="13:27" x14ac:dyDescent="0.2">
      <c r="M29" s="101" t="str">
        <v>obj_002ae#0002</v>
      </c>
      <c r="N29" s="101" t="str">
        <f>_xll.qlRateHelperQuoteName(M29)</f>
        <v>CHFOIS5Y_Quote</v>
      </c>
      <c r="O29" s="102">
        <f>_xll.qlRateHelperLatestDate(M29,Trigger)</f>
        <v>43964</v>
      </c>
      <c r="P29" s="103">
        <f>_xll.qlRateHelperQuoteValue(M29,_xll.ohTrigger(RecalcTrigger,YieldCurve))</f>
        <v>-2.2000000000000001E-3</v>
      </c>
      <c r="Q29" s="104" t="str">
        <f t="shared" si="5"/>
        <v>5Y</v>
      </c>
      <c r="R29" s="92" t="str">
        <f>_xll.qlMakeOIS(,IF(Q29="SW","1W",Q29),IborIndex,,"0D",,,,_xll.ohTrigger(RecalcTrigger,YieldCurve))</f>
        <v>obj_002d2#0006</v>
      </c>
      <c r="S29" s="105">
        <f>_xll.qlOvernightIndexedSwapFairRate(R29,_xll.ohTrigger(RecalcTrigger,YieldCurve))</f>
        <v>-2.1999999999980928E-3</v>
      </c>
      <c r="T29" s="106">
        <f t="shared" si="6"/>
        <v>1.9073284618364994E-15</v>
      </c>
      <c r="V29" s="97"/>
      <c r="W29" s="92" t="str">
        <f t="shared" si="7"/>
        <v>1D</v>
      </c>
      <c r="X29" s="102">
        <f>_xll.qlCalendarAdvance(Calendar,X28,W29,"f",FALSE)</f>
        <v>42163</v>
      </c>
      <c r="Y29" s="108">
        <f>_xll.qlCalendarAdvance(Calendar,X29,NDays&amp;"D")</f>
        <v>42164</v>
      </c>
      <c r="Z29" s="109">
        <v>-4.0735873450037374E-3</v>
      </c>
      <c r="AA29" s="112"/>
    </row>
    <row r="30" spans="13:27" x14ac:dyDescent="0.2">
      <c r="M30" s="101" t="str">
        <v>obj_002af#0002</v>
      </c>
      <c r="N30" s="101" t="str">
        <f>_xll.qlRateHelperQuoteName(M30)</f>
        <v>CHFOIS6Y_Quote</v>
      </c>
      <c r="O30" s="102">
        <f>_xll.qlRateHelperLatestDate(M30,Trigger)</f>
        <v>44330</v>
      </c>
      <c r="P30" s="103">
        <f>_xll.qlRateHelperQuoteValue(M30,_xll.ohTrigger(RecalcTrigger,YieldCurve))</f>
        <v>-1.1000000000000001E-3</v>
      </c>
      <c r="Q30" s="104" t="str">
        <f t="shared" si="5"/>
        <v>6Y</v>
      </c>
      <c r="R30" s="92" t="str">
        <f>_xll.qlMakeOIS(,IF(Q30="SW","1W",Q30),IborIndex,,"0D",,,,_xll.ohTrigger(RecalcTrigger,YieldCurve))</f>
        <v>obj_002e3#0006</v>
      </c>
      <c r="S30" s="105">
        <f>_xll.qlOvernightIndexedSwapFairRate(R30,_xll.ohTrigger(RecalcTrigger,YieldCurve))</f>
        <v>-1.1499999999995132E-3</v>
      </c>
      <c r="T30" s="106">
        <f t="shared" si="6"/>
        <v>4.9999999999513108E-5</v>
      </c>
      <c r="V30" s="97"/>
      <c r="W30" s="92" t="str">
        <f t="shared" si="7"/>
        <v>1D</v>
      </c>
      <c r="X30" s="102">
        <f>_xll.qlCalendarAdvance(Calendar,X29,W30,"f",FALSE)</f>
        <v>42164</v>
      </c>
      <c r="Y30" s="108">
        <f>_xll.qlCalendarAdvance(Calendar,X30,NDays&amp;"D")</f>
        <v>42165</v>
      </c>
      <c r="Z30" s="109">
        <v>-4.1273804934194303E-3</v>
      </c>
      <c r="AA30" s="112"/>
    </row>
    <row r="31" spans="13:27" x14ac:dyDescent="0.2">
      <c r="M31" s="101" t="str">
        <v>obj_002c3#0002</v>
      </c>
      <c r="N31" s="101" t="str">
        <f>_xll.qlRateHelperQuoteName(M31)</f>
        <v>CHFOIS7Y_Quote</v>
      </c>
      <c r="O31" s="102">
        <f>_xll.qlRateHelperLatestDate(M31,Trigger)</f>
        <v>44694</v>
      </c>
      <c r="P31" s="103">
        <f>_xll.qlRateHelperQuoteValue(M31,_xll.ohTrigger(RecalcTrigger,YieldCurve))</f>
        <v>-1.0000000000000002E-4</v>
      </c>
      <c r="Q31" s="104" t="str">
        <f t="shared" si="5"/>
        <v>7Y</v>
      </c>
      <c r="R31" s="92" t="str">
        <f>_xll.qlMakeOIS(,IF(Q31="SW","1W",Q31),IborIndex,,"0D",,,,_xll.ohTrigger(RecalcTrigger,YieldCurve))</f>
        <v>obj_002d9#0006</v>
      </c>
      <c r="S31" s="105">
        <f>_xll.qlOvernightIndexedSwapFairRate(R31,_xll.ohTrigger(RecalcTrigger,YieldCurve))</f>
        <v>-9.9999999999908688E-5</v>
      </c>
      <c r="T31" s="106">
        <f t="shared" si="6"/>
        <v>9.133048050474768E-17</v>
      </c>
      <c r="U31" s="113"/>
      <c r="V31" s="97"/>
      <c r="W31" s="92" t="str">
        <f t="shared" si="7"/>
        <v>1D</v>
      </c>
      <c r="X31" s="102">
        <f>_xll.qlCalendarAdvance(Calendar,X30,W31,"f",FALSE)</f>
        <v>42165</v>
      </c>
      <c r="Y31" s="108">
        <f>_xll.qlCalendarAdvance(Calendar,X31,NDays&amp;"D")</f>
        <v>42166</v>
      </c>
      <c r="Z31" s="109">
        <v>-4.1840369204093619E-3</v>
      </c>
      <c r="AA31" s="112"/>
    </row>
    <row r="32" spans="13:27" x14ac:dyDescent="0.2">
      <c r="M32" s="101" t="str">
        <v>obj_00297#0002</v>
      </c>
      <c r="N32" s="101" t="str">
        <f>_xll.qlRateHelperQuoteName(M32)</f>
        <v>CHFOIS8Y_Quote</v>
      </c>
      <c r="O32" s="102">
        <f>_xll.qlRateHelperLatestDate(M32,Trigger)</f>
        <v>45061</v>
      </c>
      <c r="P32" s="103">
        <f>_xll.qlRateHelperQuoteValue(M32,_xll.ohTrigger(RecalcTrigger,YieldCurve))</f>
        <v>8.4999999999999995E-4</v>
      </c>
      <c r="Q32" s="104" t="str">
        <f t="shared" si="5"/>
        <v>8Y</v>
      </c>
      <c r="R32" s="92" t="str">
        <f>_xll.qlMakeOIS(,IF(Q32="SW","1W",Q32),IborIndex,,"0D",,,,_xll.ohTrigger(RecalcTrigger,YieldCurve))</f>
        <v>obj_002de#0006</v>
      </c>
      <c r="S32" s="105">
        <f>_xll.qlOvernightIndexedSwapFairRate(R32,_xll.ohTrigger(RecalcTrigger,YieldCurve))</f>
        <v>8.4999999999952442E-4</v>
      </c>
      <c r="T32" s="106">
        <f t="shared" si="6"/>
        <v>4.7553107285214224E-16</v>
      </c>
      <c r="U32" s="113"/>
      <c r="V32" s="97"/>
      <c r="W32" s="92" t="str">
        <f t="shared" si="7"/>
        <v>1D</v>
      </c>
      <c r="X32" s="102">
        <f>_xll.qlCalendarAdvance(Calendar,X31,W32,"f",FALSE)</f>
        <v>42166</v>
      </c>
      <c r="Y32" s="108">
        <f>_xll.qlCalendarAdvance(Calendar,X32,NDays&amp;"D")</f>
        <v>42167</v>
      </c>
      <c r="Z32" s="109">
        <v>-4.3068425082948281E-3</v>
      </c>
      <c r="AA32" s="112"/>
    </row>
    <row r="33" spans="13:27" x14ac:dyDescent="0.2">
      <c r="M33" s="101" t="str">
        <v>obj_0029d#0002</v>
      </c>
      <c r="N33" s="101" t="str">
        <f>_xll.qlRateHelperQuoteName(M33)</f>
        <v>CHFOIS9Y_Quote</v>
      </c>
      <c r="O33" s="102">
        <f>_xll.qlRateHelperLatestDate(M33,Trigger)</f>
        <v>45425</v>
      </c>
      <c r="P33" s="103">
        <f>_xll.qlRateHelperQuoteValue(M33,_xll.ohTrigger(RecalcTrigger,YieldCurve))</f>
        <v>1.6000000000000001E-3</v>
      </c>
      <c r="Q33" s="104" t="str">
        <f t="shared" si="5"/>
        <v>9Y</v>
      </c>
      <c r="R33" s="92" t="str">
        <f>_xll.qlMakeOIS(,IF(Q33="SW","1W",Q33),IborIndex,,"0D",,,,_xll.ohTrigger(RecalcTrigger,YieldCurve))</f>
        <v>obj_002d4#0006</v>
      </c>
      <c r="S33" s="105">
        <f>_xll.qlOvernightIndexedSwapFairRate(R33,_xll.ohTrigger(RecalcTrigger,YieldCurve))</f>
        <v>1.5999999999992544E-3</v>
      </c>
      <c r="T33" s="106">
        <f t="shared" si="6"/>
        <v>7.4571425423552995E-16</v>
      </c>
      <c r="U33" s="113"/>
      <c r="V33" s="97"/>
      <c r="W33" s="92" t="str">
        <f t="shared" si="7"/>
        <v>1D</v>
      </c>
      <c r="X33" s="102">
        <f>_xll.qlCalendarAdvance(Calendar,X32,W33,"f",FALSE)</f>
        <v>42167</v>
      </c>
      <c r="Y33" s="108">
        <f>_xll.qlCalendarAdvance(Calendar,X33,NDays&amp;"D")</f>
        <v>42170</v>
      </c>
      <c r="Z33" s="109">
        <v>-4.4382232637030228E-3</v>
      </c>
      <c r="AA33" s="112"/>
    </row>
    <row r="34" spans="13:27" x14ac:dyDescent="0.2">
      <c r="M34" s="101" t="str">
        <v>obj_002bf#0002</v>
      </c>
      <c r="N34" s="101" t="str">
        <f>_xll.qlRateHelperQuoteName(M34)</f>
        <v>CHFOIS10Y_Quote</v>
      </c>
      <c r="O34" s="102">
        <f>_xll.qlRateHelperLatestDate(M34,Trigger)</f>
        <v>45790</v>
      </c>
      <c r="P34" s="103">
        <f>_xll.qlRateHelperQuoteValue(M34,_xll.ohTrigger(RecalcTrigger,YieldCurve))</f>
        <v>2.3500000000000001E-3</v>
      </c>
      <c r="Q34" s="104" t="str">
        <f t="shared" si="5"/>
        <v>10Y</v>
      </c>
      <c r="R34" s="92" t="str">
        <f>_xll.qlMakeOIS(,IF(Q34="SW","1W",Q34),IborIndex,,"0D",,,,_xll.ohTrigger(RecalcTrigger,YieldCurve))</f>
        <v>obj_002d0#0006</v>
      </c>
      <c r="S34" s="105">
        <f>_xll.qlOvernightIndexedSwapFairRate(R34,_xll.ohTrigger(RecalcTrigger,YieldCurve))</f>
        <v>2.3499999999990178E-3</v>
      </c>
      <c r="T34" s="106">
        <f t="shared" si="6"/>
        <v>9.8228716827186702E-16</v>
      </c>
      <c r="V34" s="97"/>
      <c r="W34" s="92" t="str">
        <f t="shared" si="7"/>
        <v>1D</v>
      </c>
      <c r="X34" s="102">
        <f>_xll.qlCalendarAdvance(Calendar,X33,W34,"f",FALSE)</f>
        <v>42170</v>
      </c>
      <c r="Y34" s="108">
        <f>_xll.qlCalendarAdvance(Calendar,X34,NDays&amp;"D")</f>
        <v>42171</v>
      </c>
      <c r="Z34" s="109">
        <v>-4.5027633174044013E-3</v>
      </c>
      <c r="AA34" s="112"/>
    </row>
    <row r="35" spans="13:27" x14ac:dyDescent="0.2">
      <c r="M35" s="101" t="str">
        <v>obj_002b4#0002</v>
      </c>
      <c r="N35" s="101" t="str">
        <f>_xll.qlRateHelperQuoteName(M35)</f>
        <v>CHFOIS12Y_Quote</v>
      </c>
      <c r="O35" s="102">
        <f>_xll.qlRateHelperLatestDate(M35,Trigger)</f>
        <v>46520</v>
      </c>
      <c r="P35" s="103">
        <f>_xll.qlRateHelperQuoteValue(M35,_xll.ohTrigger(RecalcTrigger,YieldCurve))</f>
        <v>3.4499999999999999E-3</v>
      </c>
      <c r="Q35" s="104" t="str">
        <f t="shared" si="5"/>
        <v>12Y</v>
      </c>
      <c r="R35" s="92" t="str">
        <f>_xll.qlMakeOIS(,IF(Q35="SW","1W",Q35),IborIndex,,"0D",,,,_xll.ohTrigger(RecalcTrigger,YieldCurve))</f>
        <v>obj_002ca#0006</v>
      </c>
      <c r="S35" s="105">
        <f>_xll.qlOvernightIndexedSwapFairRate(R35,_xll.ohTrigger(RecalcTrigger,YieldCurve))</f>
        <v>3.4499999999451866E-3</v>
      </c>
      <c r="T35" s="106">
        <f t="shared" si="6"/>
        <v>5.4813358713046156E-14</v>
      </c>
      <c r="V35" s="97"/>
      <c r="W35" s="92" t="str">
        <f t="shared" si="7"/>
        <v>1D</v>
      </c>
      <c r="X35" s="102">
        <f>_xll.qlCalendarAdvance(Calendar,X34,W35,"f",FALSE)</f>
        <v>42171</v>
      </c>
      <c r="Y35" s="108">
        <f>_xll.qlCalendarAdvance(Calendar,X35,NDays&amp;"D")</f>
        <v>42172</v>
      </c>
      <c r="Z35" s="109">
        <v>-4.563733898468314E-3</v>
      </c>
      <c r="AA35" s="112"/>
    </row>
    <row r="36" spans="13:27" x14ac:dyDescent="0.2">
      <c r="M36" s="101" t="str">
        <v>obj_00293#0002</v>
      </c>
      <c r="N36" s="101" t="str">
        <f>_xll.qlRateHelperQuoteName(M36)</f>
        <v>CHFOIS15Y_Quote</v>
      </c>
      <c r="O36" s="102">
        <f>_xll.qlRateHelperLatestDate(M36,Trigger)</f>
        <v>47616</v>
      </c>
      <c r="P36" s="103">
        <f>_xll.qlRateHelperQuoteValue(M36,_xll.ohTrigger(RecalcTrigger,YieldCurve))</f>
        <v>4.6500000000000005E-3</v>
      </c>
      <c r="Q36" s="104" t="str">
        <f t="shared" si="5"/>
        <v>15Y</v>
      </c>
      <c r="R36" s="92" t="str">
        <f>_xll.qlMakeOIS(,IF(Q36="SW","1W",Q36),IborIndex,,"0D",,,,_xll.ohTrigger(RecalcTrigger,YieldCurve))</f>
        <v>obj_002dd#0006</v>
      </c>
      <c r="S36" s="105">
        <f>_xll.qlOvernightIndexedSwapFairRate(R36,_xll.ohTrigger(RecalcTrigger,YieldCurve))</f>
        <v>4.6500000000236309E-3</v>
      </c>
      <c r="T36" s="106">
        <f t="shared" si="6"/>
        <v>2.3630403189756066E-14</v>
      </c>
      <c r="U36" s="113"/>
      <c r="V36" s="97"/>
      <c r="W36" s="92" t="str">
        <f t="shared" si="7"/>
        <v>1D</v>
      </c>
      <c r="X36" s="102">
        <f>_xll.qlCalendarAdvance(Calendar,X35,W36,"f",FALSE)</f>
        <v>42172</v>
      </c>
      <c r="Y36" s="108">
        <f>_xll.qlCalendarAdvance(Calendar,X36,NDays&amp;"D")</f>
        <v>42173</v>
      </c>
      <c r="Z36" s="109">
        <v>-4.6211350088132264E-3</v>
      </c>
      <c r="AA36" s="112"/>
    </row>
    <row r="37" spans="13:27" x14ac:dyDescent="0.2">
      <c r="M37" s="101" t="str">
        <v>obj_002bd#0002</v>
      </c>
      <c r="N37" s="101" t="str">
        <f>_xll.qlRateHelperQuoteName(M37)</f>
        <v>CHFOIS20Y_Quote</v>
      </c>
      <c r="O37" s="102">
        <f>_xll.qlRateHelperLatestDate(M37,Trigger)</f>
        <v>49444</v>
      </c>
      <c r="P37" s="103">
        <f>_xll.qlRateHelperQuoteValue(M37,_xll.ohTrigger(RecalcTrigger,YieldCurve))</f>
        <v>5.9000000000000007E-3</v>
      </c>
      <c r="Q37" s="104" t="str">
        <f t="shared" si="5"/>
        <v>20Y</v>
      </c>
      <c r="R37" s="92" t="str">
        <f>_xll.qlMakeOIS(,IF(Q37="SW","1W",Q37),IborIndex,,"0D",,,,_xll.ohTrigger(RecalcTrigger,YieldCurve))</f>
        <v>obj_002d8#0006</v>
      </c>
      <c r="S37" s="105">
        <f>_xll.qlOvernightIndexedSwapFairRate(R37,_xll.ohTrigger(RecalcTrigger,YieldCurve))</f>
        <v>5.8999999999505125E-3</v>
      </c>
      <c r="T37" s="106">
        <f t="shared" si="6"/>
        <v>4.9488191322666353E-14</v>
      </c>
      <c r="U37" s="113"/>
      <c r="V37" s="97"/>
      <c r="W37" s="92" t="str">
        <f t="shared" si="7"/>
        <v>1D</v>
      </c>
      <c r="X37" s="102">
        <f>_xll.qlCalendarAdvance(Calendar,X36,W37,"f",FALSE)</f>
        <v>42173</v>
      </c>
      <c r="Y37" s="108">
        <f>_xll.qlCalendarAdvance(Calendar,X37,NDays&amp;"D")</f>
        <v>42174</v>
      </c>
      <c r="Z37" s="109">
        <v>-4.7239770141649373E-3</v>
      </c>
      <c r="AA37" s="112"/>
    </row>
    <row r="38" spans="13:27" x14ac:dyDescent="0.2">
      <c r="M38" s="101" t="str">
        <v>obj_002ad#0002</v>
      </c>
      <c r="N38" s="101" t="str">
        <f>_xll.qlRateHelperQuoteName(M38)</f>
        <v>CHFOIS25Y_Quote</v>
      </c>
      <c r="O38" s="102">
        <f>_xll.qlRateHelperLatestDate(M38,Trigger)</f>
        <v>51270</v>
      </c>
      <c r="P38" s="103">
        <f>_xll.qlRateHelperQuoteValue(M38,_xll.ohTrigger(RecalcTrigger,YieldCurve))</f>
        <v>6.6999999999999994E-3</v>
      </c>
      <c r="Q38" s="104" t="str">
        <f t="shared" si="5"/>
        <v>25Y</v>
      </c>
      <c r="R38" s="92" t="str">
        <f>_xll.qlMakeOIS(,IF(Q38="SW","1W",Q38),IborIndex,,"0D",,,,_xll.ohTrigger(RecalcTrigger,YieldCurve))</f>
        <v>obj_002d5#0006</v>
      </c>
      <c r="S38" s="105">
        <f>_xll.qlOvernightIndexedSwapFairRate(R38,_xll.ohTrigger(RecalcTrigger,YieldCurve))</f>
        <v>6.6999999999786406E-3</v>
      </c>
      <c r="T38" s="106">
        <f t="shared" si="6"/>
        <v>2.1358782797964437E-14</v>
      </c>
      <c r="U38" s="113"/>
      <c r="V38" s="97"/>
      <c r="W38" s="92" t="str">
        <f t="shared" si="7"/>
        <v>1D</v>
      </c>
      <c r="X38" s="102">
        <f>_xll.qlCalendarAdvance(Calendar,X37,W38,"f",FALSE)</f>
        <v>42174</v>
      </c>
      <c r="Y38" s="108">
        <f>_xll.qlCalendarAdvance(Calendar,X38,NDays&amp;"D")</f>
        <v>42177</v>
      </c>
      <c r="Z38" s="109">
        <v>-4.8150447755768155E-3</v>
      </c>
      <c r="AA38" s="112"/>
    </row>
    <row r="39" spans="13:27" x14ac:dyDescent="0.2">
      <c r="M39" s="101" t="str">
        <v>obj_0029f#0002</v>
      </c>
      <c r="N39" s="101" t="str">
        <f>_xll.qlRateHelperQuoteName(M39)</f>
        <v>CHFOIS30Y_Quote</v>
      </c>
      <c r="O39" s="102">
        <f>_xll.qlRateHelperLatestDate(M39,Trigger)</f>
        <v>53097</v>
      </c>
      <c r="P39" s="103">
        <f>_xll.qlRateHelperQuoteValue(M39,_xll.ohTrigger(RecalcTrigger,YieldCurve))</f>
        <v>7.0999999999999995E-3</v>
      </c>
      <c r="Q39" s="104" t="str">
        <f t="shared" si="5"/>
        <v>30Y</v>
      </c>
      <c r="R39" s="92" t="str">
        <f>_xll.qlMakeOIS(,IF(Q39="SW","1W",Q39),IborIndex,,"0D",,,,_xll.ohTrigger(RecalcTrigger,YieldCurve))</f>
        <v>obj_002dc#0006</v>
      </c>
      <c r="S39" s="105">
        <f>_xll.qlOvernightIndexedSwapFairRate(R39,_xll.ohTrigger(RecalcTrigger,YieldCurve))</f>
        <v>7.0999999999950972E-3</v>
      </c>
      <c r="T39" s="106">
        <f t="shared" si="6"/>
        <v>4.9023285431104568E-15</v>
      </c>
      <c r="U39" s="113"/>
      <c r="V39" s="97"/>
      <c r="W39" s="92" t="str">
        <f t="shared" si="7"/>
        <v>1D</v>
      </c>
      <c r="X39" s="102">
        <f>_xll.qlCalendarAdvance(Calendar,X38,W39,"f",FALSE)</f>
        <v>42177</v>
      </c>
      <c r="Y39" s="108">
        <f>_xll.qlCalendarAdvance(Calendar,X39,NDays&amp;"D")</f>
        <v>42178</v>
      </c>
      <c r="Z39" s="109">
        <v>-4.854598555867895E-3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42178</v>
      </c>
      <c r="Y40" s="108">
        <f>_xll.qlCalendarAdvance(Calendar,X40,NDays&amp;"D")</f>
        <v>42179</v>
      </c>
      <c r="Z40" s="109">
        <v>-4.8905828739531643E-3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42179</v>
      </c>
      <c r="Y41" s="108">
        <f>_xll.qlCalendarAdvance(Calendar,X41,NDays&amp;"D")</f>
        <v>42180</v>
      </c>
      <c r="Z41" s="109">
        <v>-4.9229977310716322E-3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42180</v>
      </c>
      <c r="Y42" s="108">
        <f>_xll.qlCalendarAdvance(Calendar,X42,NDays&amp;"D")</f>
        <v>42181</v>
      </c>
      <c r="Z42" s="109">
        <v>-4.975860470124438E-3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42181</v>
      </c>
      <c r="Y43" s="108">
        <f>_xll.qlCalendarAdvance(Calendar,X43,NDays&amp;"D")</f>
        <v>42184</v>
      </c>
      <c r="Z43" s="109">
        <v>-5.0169625674234553E-3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42184</v>
      </c>
      <c r="Y44" s="108">
        <f>_xll.qlCalendarAdvance(Calendar,X44,NDays&amp;"D")</f>
        <v>42185</v>
      </c>
      <c r="Z44" s="109">
        <v>-5.0315301318981653E-3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42185</v>
      </c>
      <c r="Y45" s="108">
        <f>_xll.qlCalendarAdvance(Calendar,X45,NDays&amp;"D")</f>
        <v>42186</v>
      </c>
      <c r="Z45" s="109">
        <v>-5.0425282395627491E-3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42186</v>
      </c>
      <c r="Y46" s="108">
        <f>_xll.qlCalendarAdvance(Calendar,X46,NDays&amp;"D")</f>
        <v>42187</v>
      </c>
      <c r="Z46" s="109">
        <v>-5.0499568908168868E-3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42187</v>
      </c>
      <c r="Y47" s="108">
        <f>_xll.qlCalendarAdvance(Calendar,X47,NDays&amp;"D")</f>
        <v>42188</v>
      </c>
      <c r="Z47" s="109">
        <v>-5.0528450839948391E-3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42188</v>
      </c>
      <c r="Y48" s="108">
        <f>_xll.qlCalendarAdvance(Calendar,X48,NDays&amp;"D")</f>
        <v>42191</v>
      </c>
      <c r="Z48" s="109">
        <v>-5.0439769335675066E-3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42191</v>
      </c>
      <c r="Y49" s="108">
        <f>_xll.qlCalendarAdvance(Calendar,X49,NDays&amp;"D")</f>
        <v>42192</v>
      </c>
      <c r="Z49" s="109">
        <v>-5.0335583035288067E-3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42192</v>
      </c>
      <c r="Y50" s="108">
        <f>_xll.qlCalendarAdvance(Calendar,X50,NDays&amp;"D")</f>
        <v>42193</v>
      </c>
      <c r="Z50" s="109">
        <v>-5.0195702167199485E-3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42193</v>
      </c>
      <c r="Y51" s="108">
        <f>_xll.qlCalendarAdvance(Calendar,X51,NDays&amp;"D")</f>
        <v>42194</v>
      </c>
      <c r="Z51" s="109">
        <v>-5.0020126727412517E-3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42194</v>
      </c>
      <c r="Y52" s="108">
        <f>_xll.qlCalendarAdvance(Calendar,X52,NDays&amp;"D")</f>
        <v>42195</v>
      </c>
      <c r="Z52" s="109">
        <v>-4.954931192426848E-3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42195</v>
      </c>
      <c r="Y53" s="108">
        <f>_xll.qlCalendarAdvance(Calendar,X53,NDays&amp;"D")</f>
        <v>42198</v>
      </c>
      <c r="Z53" s="109">
        <v>-4.8971812244991142E-3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42198</v>
      </c>
      <c r="Y54" s="108">
        <f>_xll.qlCalendarAdvance(Calendar,X54,NDays&amp;"D")</f>
        <v>42199</v>
      </c>
      <c r="Z54" s="109">
        <v>-4.868336252328298E-3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42199</v>
      </c>
      <c r="Y55" s="108">
        <f>_xll.qlCalendarAdvance(Calendar,X55,NDays&amp;"D")</f>
        <v>42200</v>
      </c>
      <c r="Z55" s="109">
        <v>-4.8424816875591858E-3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42200</v>
      </c>
      <c r="Y56" s="108">
        <f>_xll.qlCalendarAdvance(Calendar,X56,NDays&amp;"D")</f>
        <v>42201</v>
      </c>
      <c r="Z56" s="109">
        <v>-4.8196175308312661E-3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42201</v>
      </c>
      <c r="Y57" s="108">
        <f>_xll.qlCalendarAdvance(Calendar,X57,NDays&amp;"D")</f>
        <v>42202</v>
      </c>
      <c r="Z57" s="109">
        <v>-4.7837936770145362E-3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42202</v>
      </c>
      <c r="Y58" s="108">
        <f>_xll.qlCalendarAdvance(Calendar,X58,NDays&amp;"D")</f>
        <v>42205</v>
      </c>
      <c r="Z58" s="109">
        <v>-4.7580649943235187E-3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42205</v>
      </c>
      <c r="Y59" s="108">
        <f>_xll.qlCalendarAdvance(Calendar,X59,NDays&amp;"D")</f>
        <v>42206</v>
      </c>
      <c r="Z59" s="109">
        <v>-4.7501528847559982E-3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42206</v>
      </c>
      <c r="Y60" s="108">
        <f>_xll.qlCalendarAdvance(Calendar,X60,NDays&amp;"D")</f>
        <v>42207</v>
      </c>
      <c r="Z60" s="109">
        <v>-4.7452311854678797E-3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42207</v>
      </c>
      <c r="Y61" s="108">
        <f>_xll.qlCalendarAdvance(Calendar,X61,NDays&amp;"D")</f>
        <v>42208</v>
      </c>
      <c r="Z61" s="109">
        <v>-4.7432998966989715E-3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42208</v>
      </c>
      <c r="Y62" s="108">
        <f>_xll.qlCalendarAdvance(Calendar,X62,NDays&amp;"D")</f>
        <v>42209</v>
      </c>
      <c r="Z62" s="109">
        <v>-4.749342696293013E-3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42209</v>
      </c>
      <c r="Y63" s="108">
        <f>_xll.qlCalendarAdvance(Calendar,X63,NDays&amp;"D")</f>
        <v>42212</v>
      </c>
      <c r="Z63" s="109">
        <v>-4.765478845696336E-3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42212</v>
      </c>
      <c r="Y64" s="108">
        <f>_xll.qlCalendarAdvance(Calendar,X64,NDays&amp;"D")</f>
        <v>42213</v>
      </c>
      <c r="Z64" s="109">
        <v>-4.7784996082445019E-3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42213</v>
      </c>
      <c r="Y65" s="108">
        <f>_xll.qlCalendarAdvance(Calendar,X65,NDays&amp;"D")</f>
        <v>42214</v>
      </c>
      <c r="Z65" s="109">
        <v>-4.7945107804725495E-3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42214</v>
      </c>
      <c r="Y66" s="108">
        <f>_xll.qlCalendarAdvance(Calendar,X66,NDays&amp;"D")</f>
        <v>42215</v>
      </c>
      <c r="Z66" s="109">
        <v>-4.8135123620207665E-3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42215</v>
      </c>
      <c r="Y67" s="108">
        <f>_xll.qlCalendarAdvance(Calendar,X67,NDays&amp;"D")</f>
        <v>42216</v>
      </c>
      <c r="Z67" s="109">
        <v>-4.8614179039407901E-3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42216</v>
      </c>
      <c r="Y68" s="108">
        <f>_xll.qlCalendarAdvance(Calendar,X68,NDays&amp;"D")</f>
        <v>42219</v>
      </c>
      <c r="Z68" s="109">
        <v>-4.9194227693449832E-3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42219</v>
      </c>
      <c r="Y69" s="108">
        <f>_xll.qlCalendarAdvance(Calendar,X69,NDays&amp;"D")</f>
        <v>42220</v>
      </c>
      <c r="Z69" s="109">
        <v>-4.9533763882614323E-3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42220</v>
      </c>
      <c r="Y70" s="108">
        <f>_xll.qlCalendarAdvance(Calendar,X70,NDays&amp;"D")</f>
        <v>42221</v>
      </c>
      <c r="Z70" s="109">
        <v>-4.9903204125012479E-3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42221</v>
      </c>
      <c r="Y71" s="108">
        <f>_xll.qlCalendarAdvance(Calendar,X71,NDays&amp;"D")</f>
        <v>42222</v>
      </c>
      <c r="Z71" s="109">
        <v>-5.0302548410252612E-3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42222</v>
      </c>
      <c r="Y72" s="108">
        <f>_xll.qlCalendarAdvance(Calendar,X72,NDays&amp;"D")</f>
        <v>42223</v>
      </c>
      <c r="Z72" s="109">
        <v>-5.1200188894062748E-3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42223</v>
      </c>
      <c r="Y73" s="108">
        <f>_xll.qlCalendarAdvance(Calendar,X73,NDays&amp;"D")</f>
        <v>42226</v>
      </c>
      <c r="Z73" s="109">
        <v>-5.2198965774596928E-3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42226</v>
      </c>
      <c r="Y74" s="108">
        <f>_xll.qlCalendarAdvance(Calendar,X74,NDays&amp;"D")</f>
        <v>42227</v>
      </c>
      <c r="Z74" s="109">
        <v>-5.2747830112576111E-3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42227</v>
      </c>
      <c r="Y75" s="108">
        <f>_xll.qlCalendarAdvance(Calendar,X75,NDays&amp;"D")</f>
        <v>42228</v>
      </c>
      <c r="Z75" s="109">
        <v>-5.3326598422254179E-3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42228</v>
      </c>
      <c r="Y76" s="108">
        <f>_xll.qlCalendarAdvance(Calendar,X76,NDays&amp;"D")</f>
        <v>42229</v>
      </c>
      <c r="Z76" s="109">
        <v>-5.3925677333133137E-3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42229</v>
      </c>
      <c r="Y77" s="108">
        <f>_xll.qlCalendarAdvance(Calendar,X77,NDays&amp;"D")</f>
        <v>42230</v>
      </c>
      <c r="Z77" s="109">
        <v>-5.504999278906908E-3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42230</v>
      </c>
      <c r="Y78" s="108">
        <f>_xll.qlCalendarAdvance(Calendar,X78,NDays&amp;"D")</f>
        <v>42233</v>
      </c>
      <c r="Z78" s="109">
        <v>-5.6083804626405609E-3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42233</v>
      </c>
      <c r="Y79" s="108">
        <f>_xll.qlCalendarAdvance(Calendar,X79,NDays&amp;"D")</f>
        <v>42234</v>
      </c>
      <c r="Z79" s="109">
        <v>-5.6554196064206863E-3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42234</v>
      </c>
      <c r="Y80" s="108">
        <f>_xll.qlCalendarAdvance(Calendar,X80,NDays&amp;"D")</f>
        <v>42235</v>
      </c>
      <c r="Z80" s="109">
        <v>-5.6996931371022796E-3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42235</v>
      </c>
      <c r="Y81" s="108">
        <f>_xll.qlCalendarAdvance(Calendar,X81,NDays&amp;"D")</f>
        <v>42236</v>
      </c>
      <c r="Z81" s="109">
        <v>-5.7412010557245097E-3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42236</v>
      </c>
      <c r="Y82" s="108">
        <f>_xll.qlCalendarAdvance(Calendar,X82,NDays&amp;"D")</f>
        <v>42237</v>
      </c>
      <c r="Z82" s="109">
        <v>-5.8149042638078186E-3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42237</v>
      </c>
      <c r="Y83" s="108">
        <f>_xll.qlCalendarAdvance(Calendar,X83,NDays&amp;"D")</f>
        <v>42240</v>
      </c>
      <c r="Z83" s="109">
        <v>-5.8795766272856653E-3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42240</v>
      </c>
      <c r="Y84" s="108">
        <f>_xll.qlCalendarAdvance(Calendar,X84,NDays&amp;"D")</f>
        <v>42241</v>
      </c>
      <c r="Z84" s="109">
        <v>-5.907256498400848E-3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42241</v>
      </c>
      <c r="Y85" s="108">
        <f>_xll.qlCalendarAdvance(Calendar,X85,NDays&amp;"D")</f>
        <v>42242</v>
      </c>
      <c r="Z85" s="109">
        <v>-5.9321707621728947E-3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42242</v>
      </c>
      <c r="Y86" s="108">
        <f>_xll.qlCalendarAdvance(Calendar,X86,NDays&amp;"D")</f>
        <v>42243</v>
      </c>
      <c r="Z86" s="109">
        <v>-5.9543194192812621E-3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42243</v>
      </c>
      <c r="Y87" s="108">
        <f>_xll.qlCalendarAdvance(Calendar,X87,NDays&amp;"D")</f>
        <v>42244</v>
      </c>
      <c r="Z87" s="109">
        <v>-5.9892984005527339E-3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42244</v>
      </c>
      <c r="Y88" s="108">
        <f>_xll.qlCalendarAdvance(Calendar,X88,NDays&amp;"D")</f>
        <v>42247</v>
      </c>
      <c r="Z88" s="109">
        <v>-6.0152579893912872E-3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42247</v>
      </c>
      <c r="Y89" s="108">
        <f>_xll.qlCalendarAdvance(Calendar,X89,NDays&amp;"D")</f>
        <v>42248</v>
      </c>
      <c r="Z89" s="109">
        <v>-6.0235786190965257E-3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42248</v>
      </c>
      <c r="Y90" s="108">
        <f>_xll.qlCalendarAdvance(Calendar,X90,NDays&amp;"D")</f>
        <v>42249</v>
      </c>
      <c r="Z90" s="109">
        <v>-6.0291336440965182E-3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42249</v>
      </c>
      <c r="Y91" s="108">
        <f>_xll.qlCalendarAdvance(Calendar,X91,NDays&amp;"D")</f>
        <v>42250</v>
      </c>
      <c r="Z91" s="109">
        <v>-6.031923064790945E-3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42250</v>
      </c>
      <c r="Y92" s="108">
        <f>_xll.qlCalendarAdvance(Calendar,X92,NDays&amp;"D")</f>
        <v>42251</v>
      </c>
      <c r="Z92" s="109">
        <v>-6.0281822798957663E-3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42251</v>
      </c>
      <c r="Y93" s="108">
        <f>_xll.qlCalendarAdvance(Calendar,X93,NDays&amp;"D")</f>
        <v>42254</v>
      </c>
      <c r="Z93" s="109">
        <v>-6.0154247021948493E-3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42254</v>
      </c>
      <c r="Y94" s="108">
        <f>_xll.qlCalendarAdvance(Calendar,X94,NDays&amp;"D")</f>
        <v>42255</v>
      </c>
      <c r="Z94" s="109">
        <v>-6.0043860999225984E-3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42255</v>
      </c>
      <c r="Y95" s="108">
        <f>_xll.qlCalendarAdvance(Calendar,X95,NDays&amp;"D")</f>
        <v>42256</v>
      </c>
      <c r="Z95" s="109">
        <v>-5.9905818924255172E-3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42256</v>
      </c>
      <c r="Y96" s="108">
        <f>_xll.qlCalendarAdvance(Calendar,X96,NDays&amp;"D")</f>
        <v>42257</v>
      </c>
      <c r="Z96" s="109">
        <v>-5.9740120797036056E-3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42257</v>
      </c>
      <c r="Y97" s="108">
        <f>_xll.qlCalendarAdvance(Calendar,X97,NDays&amp;"D")</f>
        <v>42258</v>
      </c>
      <c r="Z97" s="109">
        <v>-5.9315560336381523E-3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42258</v>
      </c>
      <c r="Y98" s="108">
        <f>_xll.qlCalendarAdvance(Calendar,X98,NDays&amp;"D")</f>
        <v>42261</v>
      </c>
      <c r="Z98" s="109">
        <v>-5.8807260179083443E-3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42261</v>
      </c>
      <c r="Y99" s="108">
        <f>_xll.qlCalendarAdvance(Calendar,X99,NDays&amp;"D")</f>
        <v>42262</v>
      </c>
      <c r="Z99" s="109">
        <v>-5.8542236833813988E-3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42262</v>
      </c>
      <c r="Y100" s="108">
        <f>_xll.qlCalendarAdvance(Calendar,X100,NDays&amp;"D")</f>
        <v>42263</v>
      </c>
      <c r="Z100" s="109">
        <v>-5.8288512535042969E-3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42263</v>
      </c>
      <c r="Y101" s="108">
        <f>_xll.qlCalendarAdvance(Calendar,X101,NDays&amp;"D")</f>
        <v>42264</v>
      </c>
      <c r="Z101" s="109">
        <v>-5.8046087283569747E-3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42264</v>
      </c>
      <c r="Y102" s="108">
        <f>_xll.qlCalendarAdvance(Calendar,X102,NDays&amp;"D")</f>
        <v>42265</v>
      </c>
      <c r="Z102" s="109">
        <v>-5.75979787326375E-3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42265</v>
      </c>
      <c r="Y103" s="108">
        <f>_xll.qlCalendarAdvance(Calendar,X103,NDays&amp;"D")</f>
        <v>42268</v>
      </c>
      <c r="Z103" s="109">
        <v>-5.7189376808608472E-3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42268</v>
      </c>
      <c r="Y104" s="108">
        <f>_xll.qlCalendarAdvance(Calendar,X104,NDays&amp;"D")</f>
        <v>42269</v>
      </c>
      <c r="Z104" s="109">
        <v>-5.7003446830394822E-3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42269</v>
      </c>
      <c r="Y105" s="108">
        <f>_xll.qlCalendarAdvance(Calendar,X105,NDays&amp;"D")</f>
        <v>42270</v>
      </c>
      <c r="Z105" s="109">
        <v>-5.6828815913467778E-3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42270</v>
      </c>
      <c r="Y106" s="108">
        <f>_xll.qlCalendarAdvance(Calendar,X106,NDays&amp;"D")</f>
        <v>42271</v>
      </c>
      <c r="Z106" s="109">
        <v>-5.6665484058626703E-3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42271</v>
      </c>
      <c r="Y107" s="108">
        <f>_xll.qlCalendarAdvance(Calendar,X107,NDays&amp;"D")</f>
        <v>42272</v>
      </c>
      <c r="Z107" s="109">
        <v>-5.6375601039171386E-3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42272</v>
      </c>
      <c r="Y108" s="108">
        <f>_xll.qlCalendarAdvance(Calendar,X108,NDays&amp;"D")</f>
        <v>42275</v>
      </c>
      <c r="Z108" s="109">
        <v>-5.6125147286900656E-3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42275</v>
      </c>
      <c r="Y109" s="108">
        <f>_xll.qlCalendarAdvance(Calendar,X109,NDays&amp;"D")</f>
        <v>42276</v>
      </c>
      <c r="Z109" s="109">
        <v>-5.6018310764072154E-3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42276</v>
      </c>
      <c r="Y110" s="108">
        <f>_xll.qlCalendarAdvance(Calendar,X110,NDays&amp;"D")</f>
        <v>42277</v>
      </c>
      <c r="Z110" s="109">
        <v>-5.5922773308925144E-3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42277</v>
      </c>
      <c r="Y111" s="108">
        <f>_xll.qlCalendarAdvance(Calendar,X111,NDays&amp;"D")</f>
        <v>42278</v>
      </c>
      <c r="Z111" s="109">
        <v>-5.5838534924257388E-3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42278</v>
      </c>
      <c r="Y112" s="108">
        <f>_xll.qlCalendarAdvance(Calendar,X112,NDays&amp;"D")</f>
        <v>42279</v>
      </c>
      <c r="Z112" s="109">
        <v>-5.570685969193967E-3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42279</v>
      </c>
      <c r="Y113" s="108">
        <f>_xll.qlCalendarAdvance(Calendar,X113,NDays&amp;"D")</f>
        <v>42282</v>
      </c>
      <c r="Z113" s="109">
        <v>-5.5614572108364513E-3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42282</v>
      </c>
      <c r="Y114" s="108">
        <f>_xll.qlCalendarAdvance(Calendar,X114,NDays&amp;"D")</f>
        <v>42283</v>
      </c>
      <c r="Z114" s="109">
        <v>-5.5586829086085032E-3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42283</v>
      </c>
      <c r="Y115" s="108">
        <f>_xll.qlCalendarAdvance(Calendar,X115,NDays&amp;"D")</f>
        <v>42284</v>
      </c>
      <c r="Z115" s="109">
        <v>-5.5570385137881928E-3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42284</v>
      </c>
      <c r="Y116" s="108">
        <f>_xll.qlCalendarAdvance(Calendar,X116,NDays&amp;"D")</f>
        <v>42285</v>
      </c>
      <c r="Z116" s="109">
        <v>-5.5565240264554561E-3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42285</v>
      </c>
      <c r="Y117" s="108">
        <f>_xll.qlCalendarAdvance(Calendar,X117,NDays&amp;"D")</f>
        <v>42286</v>
      </c>
      <c r="Z117" s="109">
        <v>-5.5591755616868355E-3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42286</v>
      </c>
      <c r="Y118" s="108">
        <f>_xll.qlCalendarAdvance(Calendar,X118,NDays&amp;"D")</f>
        <v>42289</v>
      </c>
      <c r="Z118" s="109">
        <v>-5.5657651504814609E-3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42289</v>
      </c>
      <c r="Y119" s="108">
        <f>_xll.qlCalendarAdvance(Calendar,X119,NDays&amp;"D")</f>
        <v>42290</v>
      </c>
      <c r="Z119" s="109">
        <v>-5.5706692514068124E-3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42290</v>
      </c>
      <c r="Y120" s="108">
        <f>_xll.qlCalendarAdvance(Calendar,X120,NDays&amp;"D")</f>
        <v>42291</v>
      </c>
      <c r="Z120" s="109">
        <v>-5.5755485170783103E-3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42291</v>
      </c>
      <c r="Y121" s="108">
        <f>_xll.qlCalendarAdvance(Calendar,X121,NDays&amp;"D")</f>
        <v>42292</v>
      </c>
      <c r="Z121" s="109">
        <v>-5.5801719993153753E-3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42292</v>
      </c>
      <c r="Y122" s="108">
        <f>_xll.qlCalendarAdvance(Calendar,X122,NDays&amp;"D")</f>
        <v>42293</v>
      </c>
      <c r="Z122" s="109">
        <v>-5.5884795961391731E-3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42293</v>
      </c>
      <c r="Y123" s="108">
        <f>_xll.qlCalendarAdvance(Calendar,X123,NDays&amp;"D")</f>
        <v>42296</v>
      </c>
      <c r="Z123" s="109">
        <v>-5.5961080917210637E-3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42296</v>
      </c>
      <c r="Y124" s="108">
        <f>_xll.qlCalendarAdvance(Calendar,X124,NDays&amp;"D")</f>
        <v>42297</v>
      </c>
      <c r="Z124" s="109">
        <v>-5.5994526559466351E-3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42297</v>
      </c>
      <c r="Y125" s="108">
        <f>_xll.qlCalendarAdvance(Calendar,X125,NDays&amp;"D")</f>
        <v>42298</v>
      </c>
      <c r="Z125" s="109">
        <v>-5.6025414364180293E-3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42298</v>
      </c>
      <c r="Y126" s="108">
        <f>_xll.qlCalendarAdvance(Calendar,X126,NDays&amp;"D")</f>
        <v>42299</v>
      </c>
      <c r="Z126" s="109">
        <v>-5.6053744335349265E-3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42299</v>
      </c>
      <c r="Y127" s="108">
        <f>_xll.qlCalendarAdvance(Calendar,X127,NDays&amp;"D")</f>
        <v>42300</v>
      </c>
      <c r="Z127" s="109">
        <v>-5.6101003878694655E-3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42300</v>
      </c>
      <c r="Y128" s="108">
        <f>_xll.qlCalendarAdvance(Calendar,X128,NDays&amp;"D")</f>
        <v>42303</v>
      </c>
      <c r="Z128" s="109">
        <v>-5.6141485862193363E-3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42303</v>
      </c>
      <c r="Y129" s="108">
        <f>_xll.qlCalendarAdvance(Calendar,X129,NDays&amp;"D")</f>
        <v>42304</v>
      </c>
      <c r="Z129" s="109">
        <v>-5.6157026654846121E-3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42304</v>
      </c>
      <c r="Y130" s="108">
        <f>_xll.qlCalendarAdvance(Calendar,X130,NDays&amp;"D")</f>
        <v>42305</v>
      </c>
      <c r="Z130" s="109">
        <v>-5.6170009613154548E-3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42305</v>
      </c>
      <c r="Y131" s="108">
        <f>_xll.qlCalendarAdvance(Calendar,X131,NDays&amp;"D")</f>
        <v>42306</v>
      </c>
      <c r="Z131" s="109">
        <v>-5.6180434735120244E-3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42306</v>
      </c>
      <c r="Y132" s="108">
        <f>_xll.qlCalendarAdvance(Calendar,X132,NDays&amp;"D")</f>
        <v>42307</v>
      </c>
      <c r="Z132" s="109">
        <v>-5.6191881749523276E-3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42307</v>
      </c>
      <c r="Y133" s="108">
        <f>_xll.qlCalendarAdvance(Calendar,X133,NDays&amp;"D")</f>
        <v>42310</v>
      </c>
      <c r="Z133" s="109">
        <v>-5.6196556872745163E-3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42310</v>
      </c>
      <c r="Y134" s="108">
        <f>_xll.qlCalendarAdvance(Calendar,X134,NDays&amp;"D")</f>
        <v>42311</v>
      </c>
      <c r="Z134" s="109">
        <v>-5.6194192819791766E-3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42311</v>
      </c>
      <c r="Y135" s="108">
        <f>_xll.qlCalendarAdvance(Calendar,X135,NDays&amp;"D")</f>
        <v>42312</v>
      </c>
      <c r="Z135" s="109">
        <v>-5.6189270930495638E-3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42312</v>
      </c>
      <c r="Y136" s="108">
        <f>_xll.qlCalendarAdvance(Calendar,X136,NDays&amp;"D")</f>
        <v>42313</v>
      </c>
      <c r="Z136" s="109">
        <v>-5.61817912064555E-3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42313</v>
      </c>
      <c r="Y137" s="108">
        <f>_xll.qlCalendarAdvance(Calendar,X137,NDays&amp;"D")</f>
        <v>42314</v>
      </c>
      <c r="Z137" s="109">
        <v>-5.6157429602121667E-3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42314</v>
      </c>
      <c r="Y138" s="108">
        <f>_xll.qlCalendarAdvance(Calendar,X138,NDays&amp;"D")</f>
        <v>42317</v>
      </c>
      <c r="Z138" s="109">
        <v>-5.6126293956859641E-3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42317</v>
      </c>
      <c r="Y139" s="108">
        <f>_xll.qlCalendarAdvance(Calendar,X139,NDays&amp;"D")</f>
        <v>42318</v>
      </c>
      <c r="Z139" s="109">
        <v>-5.6106025055902009E-3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42318</v>
      </c>
      <c r="Y140" s="108">
        <f>_xll.qlCalendarAdvance(Calendar,X140,NDays&amp;"D")</f>
        <v>42319</v>
      </c>
      <c r="Z140" s="109">
        <v>-5.6083198320200367E-3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42319</v>
      </c>
      <c r="Y141" s="108">
        <f>_xll.qlCalendarAdvance(Calendar,X141,NDays&amp;"D")</f>
        <v>42320</v>
      </c>
      <c r="Z141" s="109">
        <v>-5.6057813748155993E-3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42320</v>
      </c>
      <c r="Y142" s="108">
        <f>_xll.qlCalendarAdvance(Calendar,X142,NDays&amp;"D")</f>
        <v>42321</v>
      </c>
      <c r="Z142" s="109">
        <v>-5.5992225500789417E-3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42321</v>
      </c>
      <c r="Y143" s="108">
        <f>_xll.qlCalendarAdvance(Calendar,X143,NDays&amp;"D")</f>
        <v>42324</v>
      </c>
      <c r="Z143" s="109">
        <v>-5.5908406274163269E-3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42324</v>
      </c>
      <c r="Y144" s="108">
        <f>_xll.qlCalendarAdvance(Calendar,X144,NDays&amp;"D")</f>
        <v>42325</v>
      </c>
      <c r="Z144" s="109">
        <v>-5.5855773607538239E-3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42325</v>
      </c>
      <c r="Y145" s="108">
        <f>_xll.qlCalendarAdvance(Calendar,X145,NDays&amp;"D")</f>
        <v>42326</v>
      </c>
      <c r="Z145" s="109">
        <v>-5.5796968373655886E-3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42326</v>
      </c>
      <c r="Y146" s="108">
        <f>_xll.qlCalendarAdvance(Calendar,X146,NDays&amp;"D")</f>
        <v>42327</v>
      </c>
      <c r="Z146" s="109">
        <v>-5.5731990573715251E-3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42327</v>
      </c>
      <c r="Y147" s="108">
        <f>_xll.qlCalendarAdvance(Calendar,X147,NDays&amp;"D")</f>
        <v>42328</v>
      </c>
      <c r="Z147" s="109">
        <v>-5.5580601619409364E-3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42328</v>
      </c>
      <c r="Y148" s="108">
        <f>_xll.qlCalendarAdvance(Calendar,X148,NDays&amp;"D")</f>
        <v>42331</v>
      </c>
      <c r="Z148" s="109">
        <v>-5.5410353707774362E-3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42331</v>
      </c>
      <c r="Y149" s="108">
        <f>_xll.qlCalendarAdvance(Calendar,X149,NDays&amp;"D")</f>
        <v>42332</v>
      </c>
      <c r="Z149" s="109">
        <v>-5.5314513073145832E-3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42332</v>
      </c>
      <c r="Y150" s="108">
        <f>_xll.qlCalendarAdvance(Calendar,X150,NDays&amp;"D")</f>
        <v>42333</v>
      </c>
      <c r="Z150" s="109">
        <v>-5.5212499868861897E-3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42333</v>
      </c>
      <c r="Y151" s="108">
        <f>_xll.qlCalendarAdvance(Calendar,X151,NDays&amp;"D")</f>
        <v>42334</v>
      </c>
      <c r="Z151" s="109">
        <v>-5.5104314095322238E-3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42334</v>
      </c>
      <c r="Y152" s="108">
        <f>_xll.qlCalendarAdvance(Calendar,X152,NDays&amp;"D")</f>
        <v>42335</v>
      </c>
      <c r="Z152" s="109">
        <v>-5.4866531092434556E-3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42335</v>
      </c>
      <c r="Y153" s="108">
        <f>_xll.qlCalendarAdvance(Calendar,X153,NDays&amp;"D")</f>
        <v>42338</v>
      </c>
      <c r="Z153" s="109">
        <v>-5.4609845301412108E-3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42338</v>
      </c>
      <c r="Y154" s="108">
        <f>_xll.qlCalendarAdvance(Calendar,X154,NDays&amp;"D")</f>
        <v>42339</v>
      </c>
      <c r="Z154" s="109">
        <v>-5.4470796673999899E-3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42339</v>
      </c>
      <c r="Y155" s="108">
        <f>_xll.qlCalendarAdvance(Calendar,X155,NDays&amp;"D")</f>
        <v>42340</v>
      </c>
      <c r="Z155" s="109">
        <v>-5.4325575474134524E-3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42340</v>
      </c>
      <c r="Y156" s="108">
        <f>_xll.qlCalendarAdvance(Calendar,X156,NDays&amp;"D")</f>
        <v>42341</v>
      </c>
      <c r="Z156" s="109">
        <v>-5.4174181700616941E-3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42341</v>
      </c>
      <c r="Y157" s="108">
        <f>_xll.qlCalendarAdvance(Calendar,X157,NDays&amp;"D")</f>
        <v>42342</v>
      </c>
      <c r="Z157" s="109">
        <v>-5.3850013379763695E-3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42342</v>
      </c>
      <c r="Y158" s="108">
        <f>_xll.qlCalendarAdvance(Calendar,X158,NDays&amp;"D")</f>
        <v>42345</v>
      </c>
      <c r="Z158" s="109">
        <v>-5.3506880853237959E-3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42345</v>
      </c>
      <c r="Y159" s="108">
        <f>_xll.qlCalendarAdvance(Calendar,X159,NDays&amp;"D")</f>
        <v>42346</v>
      </c>
      <c r="Z159" s="109">
        <v>-5.3324624199069248E-3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42346</v>
      </c>
      <c r="Y160" s="108">
        <f>_xll.qlCalendarAdvance(Calendar,X160,NDays&amp;"D")</f>
        <v>42347</v>
      </c>
      <c r="Z160" s="109">
        <v>-5.3136194966452166E-3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42347</v>
      </c>
      <c r="Y161" s="108">
        <f>_xll.qlCalendarAdvance(Calendar,X161,NDays&amp;"D")</f>
        <v>42348</v>
      </c>
      <c r="Z161" s="109">
        <v>-5.2941593154187672E-3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42348</v>
      </c>
      <c r="Y162" s="108">
        <f>_xll.qlCalendarAdvance(Calendar,X162,NDays&amp;"D")</f>
        <v>42349</v>
      </c>
      <c r="Z162" s="109">
        <v>-5.2531047712545131E-3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42349</v>
      </c>
      <c r="Y163" s="108">
        <f>_xll.qlCalendarAdvance(Calendar,X163,NDays&amp;"D")</f>
        <v>42352</v>
      </c>
      <c r="Z163" s="109">
        <v>-5.2105540943525597E-3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42352</v>
      </c>
      <c r="Y164" s="108">
        <f>_xll.qlCalendarAdvance(Calendar,X164,NDays&amp;"D")</f>
        <v>42353</v>
      </c>
      <c r="Z164" s="109">
        <v>-5.1904561362148272E-3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42353</v>
      </c>
      <c r="Y165" s="108">
        <f>_xll.qlCalendarAdvance(Calendar,X165,NDays&amp;"D")</f>
        <v>42354</v>
      </c>
      <c r="Z165" s="109">
        <v>-5.1721894346634656E-3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42354</v>
      </c>
      <c r="Y166" s="108">
        <f>_xll.qlCalendarAdvance(Calendar,X166,NDays&amp;"D")</f>
        <v>42355</v>
      </c>
      <c r="Z166" s="109">
        <v>-5.155753989778411E-3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42355</v>
      </c>
      <c r="Y167" s="108">
        <f>_xll.qlCalendarAdvance(Calendar,X167,NDays&amp;"D")</f>
        <v>42356</v>
      </c>
      <c r="Z167" s="109">
        <v>-5.1289142170007906E-3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42356</v>
      </c>
      <c r="Y168" s="108">
        <f>_xll.qlCalendarAdvance(Calendar,X168,NDays&amp;"D")</f>
        <v>42359</v>
      </c>
      <c r="Z168" s="109">
        <v>-5.1083247818572985E-3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42359</v>
      </c>
      <c r="Y169" s="108">
        <f>_xll.qlCalendarAdvance(Calendar,X169,NDays&amp;"D")</f>
        <v>42360</v>
      </c>
      <c r="Z169" s="109">
        <v>-5.1010456235811574E-3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42360</v>
      </c>
      <c r="Y170" s="108">
        <f>_xll.qlCalendarAdvance(Calendar,X170,NDays&amp;"D")</f>
        <v>42361</v>
      </c>
      <c r="Z170" s="109">
        <v>-5.0955977232503002E-3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42361</v>
      </c>
      <c r="Y171" s="108">
        <f>_xll.qlCalendarAdvance(Calendar,X171,NDays&amp;"D")</f>
        <v>42362</v>
      </c>
      <c r="Z171" s="109">
        <v>-5.0910262642889226E-3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42362</v>
      </c>
      <c r="Y172" s="108">
        <f>_xll.qlCalendarAdvance(Calendar,X172,NDays&amp;"D")</f>
        <v>42366</v>
      </c>
      <c r="Z172" s="109">
        <v>-5.0958270901357849E-3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42366</v>
      </c>
      <c r="Y173" s="108">
        <f>_xll.qlCalendarAdvance(Calendar,X173,NDays&amp;"D")</f>
        <v>42367</v>
      </c>
      <c r="Z173" s="109">
        <v>-5.1013667371968552E-3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42367</v>
      </c>
      <c r="Y174" s="108">
        <f>_xll.qlCalendarAdvance(Calendar,X174,NDays&amp;"D")</f>
        <v>42368</v>
      </c>
      <c r="Z174" s="109">
        <v>-5.1087376422032094E-3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42368</v>
      </c>
      <c r="Y175" s="108">
        <f>_xll.qlCalendarAdvance(Calendar,X175,NDays&amp;"D")</f>
        <v>42369</v>
      </c>
      <c r="Z175" s="109">
        <v>-5.1362112694164352E-3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42369</v>
      </c>
      <c r="Y176" s="108">
        <f>_xll.qlCalendarAdvance(Calendar,X176,NDays&amp;"D")</f>
        <v>42373</v>
      </c>
      <c r="Z176" s="109">
        <v>-5.1730610286204737E-3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42373</v>
      </c>
      <c r="Y177" s="108">
        <f>_xll.qlCalendarAdvance(Calendar,X177,NDays&amp;"D")</f>
        <v>42374</v>
      </c>
      <c r="Z177" s="109">
        <v>-5.1914194769420163E-3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42374</v>
      </c>
      <c r="Y178" s="108">
        <f>_xll.qlCalendarAdvance(Calendar,X178,NDays&amp;"D")</f>
        <v>42375</v>
      </c>
      <c r="Z178" s="109">
        <v>-5.2116091816101218E-3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42375</v>
      </c>
      <c r="Y179" s="108">
        <f>_xll.qlCalendarAdvance(Calendar,X179,NDays&amp;"D")</f>
        <v>42376</v>
      </c>
      <c r="Z179" s="109">
        <v>-5.2336301424249498E-3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42376</v>
      </c>
      <c r="Y180" s="108">
        <f>_xll.qlCalendarAdvance(Calendar,X180,NDays&amp;"D")</f>
        <v>42377</v>
      </c>
      <c r="Z180" s="109">
        <v>-5.2836986995385971E-3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42377</v>
      </c>
      <c r="Y181" s="108">
        <f>_xll.qlCalendarAdvance(Calendar,X181,NDays&amp;"D")</f>
        <v>42380</v>
      </c>
      <c r="Z181" s="109">
        <v>-5.340026539517595E-3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42380</v>
      </c>
      <c r="Y182" s="108">
        <f>_xll.qlCalendarAdvance(Calendar,X182,NDays&amp;"D")</f>
        <v>42381</v>
      </c>
      <c r="Z182" s="109">
        <v>-5.3712037752706721E-3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42381</v>
      </c>
      <c r="Y183" s="108">
        <f>_xll.qlCalendarAdvance(Calendar,X183,NDays&amp;"D")</f>
        <v>42382</v>
      </c>
      <c r="Z183" s="109">
        <v>-5.4035949836261921E-3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42382</v>
      </c>
      <c r="Y184" s="108">
        <f>_xll.qlCalendarAdvance(Calendar,X184,NDays&amp;"D")</f>
        <v>42383</v>
      </c>
      <c r="Z184" s="109">
        <v>-5.4347310403990434E-3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42383</v>
      </c>
      <c r="Y185" s="108">
        <f>_xll.qlCalendarAdvance(Calendar,X185,NDays&amp;"D")</f>
        <v>42384</v>
      </c>
      <c r="Z185" s="109">
        <v>-5.4906779692220908E-3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42384</v>
      </c>
      <c r="Y186" s="108">
        <f>_xll.qlCalendarAdvance(Calendar,X186,NDays&amp;"D")</f>
        <v>42387</v>
      </c>
      <c r="Z186" s="109">
        <v>-5.5405509495143335E-3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42387</v>
      </c>
      <c r="Y187" s="108">
        <f>_xll.qlCalendarAdvance(Calendar,X187,NDays&amp;"D")</f>
        <v>42388</v>
      </c>
      <c r="Z187" s="109">
        <v>-5.5623248494773847E-3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42388</v>
      </c>
      <c r="Y188" s="108">
        <f>_xll.qlCalendarAdvance(Calendar,X188,NDays&amp;"D")</f>
        <v>42389</v>
      </c>
      <c r="Z188" s="109">
        <v>-5.5822263191096511E-3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42389</v>
      </c>
      <c r="Y189" s="108">
        <f>_xll.qlCalendarAdvance(Calendar,X189,NDays&amp;"D")</f>
        <v>42390</v>
      </c>
      <c r="Z189" s="109">
        <v>-5.6002553588507809E-3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42390</v>
      </c>
      <c r="Y190" s="108">
        <f>_xll.qlCalendarAdvance(Calendar,X190,NDays&amp;"D")</f>
        <v>42391</v>
      </c>
      <c r="Z190" s="109">
        <v>-5.6299839580464806E-3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42391</v>
      </c>
      <c r="Y191" s="108">
        <f>_xll.qlCalendarAdvance(Calendar,X191,NDays&amp;"D")</f>
        <v>42394</v>
      </c>
      <c r="Z191" s="109">
        <v>-5.65364722385997E-3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42394</v>
      </c>
      <c r="Y192" s="108">
        <f>_xll.qlCalendarAdvance(Calendar,X192,NDays&amp;"D")</f>
        <v>42395</v>
      </c>
      <c r="Z192" s="109">
        <v>-5.6623141175826674E-3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42395</v>
      </c>
      <c r="Y193" s="108">
        <f>_xll.qlCalendarAdvance(Calendar,X193,NDays&amp;"D")</f>
        <v>42396</v>
      </c>
      <c r="Z193" s="109">
        <v>-5.6691085826932053E-3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42396</v>
      </c>
      <c r="Y194" s="108">
        <f>_xll.qlCalendarAdvance(Calendar,X194,NDays&amp;"D")</f>
        <v>42397</v>
      </c>
      <c r="Z194" s="109">
        <v>-5.6740306192315515E-3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42397</v>
      </c>
      <c r="Y195" s="108">
        <f>_xll.qlCalendarAdvance(Calendar,X195,NDays&amp;"D")</f>
        <v>42398</v>
      </c>
      <c r="Z195" s="109">
        <v>-5.6775437214140467E-3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42398</v>
      </c>
      <c r="Y196" s="108">
        <f>_xll.qlCalendarAdvance(Calendar,X196,NDays&amp;"D")</f>
        <v>42401</v>
      </c>
      <c r="Z196" s="109">
        <v>-5.6749944807821251E-3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42401</v>
      </c>
      <c r="Y197" s="108">
        <f>_xll.qlCalendarAdvance(Calendar,X197,NDays&amp;"D")</f>
        <v>42402</v>
      </c>
      <c r="Z197" s="109">
        <v>-5.6705543750590337E-3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42402</v>
      </c>
      <c r="Y198" s="108">
        <f>_xll.qlCalendarAdvance(Calendar,X198,NDays&amp;"D")</f>
        <v>42403</v>
      </c>
      <c r="Z198" s="109">
        <v>-5.6642418408037187E-3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42403</v>
      </c>
      <c r="Y199" s="108">
        <f>_xll.qlCalendarAdvance(Calendar,X199,NDays&amp;"D")</f>
        <v>42404</v>
      </c>
      <c r="Z199" s="109">
        <v>-5.65605687781634E-3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42404</v>
      </c>
      <c r="Y200" s="108">
        <f>_xll.qlCalendarAdvance(Calendar,X200,NDays&amp;"D")</f>
        <v>42405</v>
      </c>
      <c r="Z200" s="109">
        <v>-5.6333573684108629E-3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42405</v>
      </c>
      <c r="Y201" s="108">
        <f>_xll.qlCalendarAdvance(Calendar,X201,NDays&amp;"D")</f>
        <v>42408</v>
      </c>
      <c r="Z201" s="109">
        <v>-5.6045927367875947E-3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42408</v>
      </c>
      <c r="Y202" s="108">
        <f>_xll.qlCalendarAdvance(Calendar,X202,NDays&amp;"D")</f>
        <v>42409</v>
      </c>
      <c r="Z202" s="109">
        <v>-5.587045628221432E-3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42409</v>
      </c>
      <c r="Y203" s="108">
        <f>_xll.qlCalendarAdvance(Calendar,X203,NDays&amp;"D")</f>
        <v>42410</v>
      </c>
      <c r="Z203" s="109">
        <v>-5.5676260896841967E-3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42410</v>
      </c>
      <c r="Y204" s="108">
        <f>_xll.qlCalendarAdvance(Calendar,X204,NDays&amp;"D")</f>
        <v>42411</v>
      </c>
      <c r="Z204" s="109">
        <v>-5.5463341210160166E-3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42411</v>
      </c>
      <c r="Y205" s="108">
        <f>_xll.qlCalendarAdvance(Calendar,X205,NDays&amp;"D")</f>
        <v>42412</v>
      </c>
      <c r="Z205" s="109">
        <v>-5.4974247976780077E-3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42412</v>
      </c>
      <c r="Y206" s="108">
        <f>_xll.qlCalendarAdvance(Calendar,X206,NDays&amp;"D")</f>
        <v>42415</v>
      </c>
      <c r="Z206" s="109">
        <v>-5.4429680230150268E-3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42415</v>
      </c>
      <c r="Y207" s="108">
        <f>_xll.qlCalendarAdvance(Calendar,X207,NDays&amp;"D")</f>
        <v>42416</v>
      </c>
      <c r="Z207" s="109">
        <v>-5.415470408030032E-3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42416</v>
      </c>
      <c r="Y208" s="108">
        <f>_xll.qlCalendarAdvance(Calendar,X208,NDays&amp;"D")</f>
        <v>42417</v>
      </c>
      <c r="Z208" s="109">
        <v>-5.3892568714486444E-3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42417</v>
      </c>
      <c r="Y209" s="108">
        <f>_xll.qlCalendarAdvance(Calendar,X209,NDays&amp;"D")</f>
        <v>42418</v>
      </c>
      <c r="Z209" s="109">
        <v>-5.364327413230896E-3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42418</v>
      </c>
      <c r="Y210" s="108">
        <f>_xll.qlCalendarAdvance(Calendar,X210,NDays&amp;"D")</f>
        <v>42419</v>
      </c>
      <c r="Z210" s="109">
        <v>-5.3186701798235703E-3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42419</v>
      </c>
      <c r="Y211" s="108">
        <f>_xll.qlCalendarAdvance(Calendar,X211,NDays&amp;"D")</f>
        <v>42422</v>
      </c>
      <c r="Z211" s="109">
        <v>-5.2774503705110831E-3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42422</v>
      </c>
      <c r="Y212" s="108">
        <f>_xll.qlCalendarAdvance(Calendar,X212,NDays&amp;"D")</f>
        <v>42423</v>
      </c>
      <c r="Z212" s="109">
        <v>-5.2589413084680459E-3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42423</v>
      </c>
      <c r="Y213" s="108">
        <f>_xll.qlCalendarAdvance(Calendar,X213,NDays&amp;"D")</f>
        <v>42424</v>
      </c>
      <c r="Z213" s="109">
        <v>-5.241716326387369E-3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42424</v>
      </c>
      <c r="Y214" s="108">
        <f>_xll.qlCalendarAdvance(Calendar,X214,NDays&amp;"D")</f>
        <v>42425</v>
      </c>
      <c r="Z214" s="109">
        <v>-5.2257754243090204E-3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42425</v>
      </c>
      <c r="Y215" s="108">
        <f>_xll.qlCalendarAdvance(Calendar,X215,NDays&amp;"D")</f>
        <v>42426</v>
      </c>
      <c r="Z215" s="109">
        <v>-5.198098830012654E-3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42426</v>
      </c>
      <c r="Y216" s="108">
        <f>_xll.qlCalendarAdvance(Calendar,X216,NDays&amp;"D")</f>
        <v>42429</v>
      </c>
      <c r="Z216" s="109">
        <v>-5.1748526199357769E-3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42429</v>
      </c>
      <c r="Y217" s="108">
        <f>_xll.qlCalendarAdvance(Calendar,X217,NDays&amp;"D")</f>
        <v>42430</v>
      </c>
      <c r="Z217" s="109">
        <v>-5.1653321203870561E-3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42430</v>
      </c>
      <c r="Y218" s="108">
        <f>_xll.qlCalendarAdvance(Calendar,X218,NDays&amp;"D")</f>
        <v>42431</v>
      </c>
      <c r="Z218" s="109">
        <v>-5.1570957019198005E-3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42431</v>
      </c>
      <c r="Y219" s="108">
        <f>_xll.qlCalendarAdvance(Calendar,X219,NDays&amp;"D")</f>
        <v>42432</v>
      </c>
      <c r="Z219" s="109">
        <v>-5.1501433642942018E-3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42432</v>
      </c>
      <c r="Y220" s="108">
        <f>_xll.qlCalendarAdvance(Calendar,X220,NDays&amp;"D")</f>
        <v>42433</v>
      </c>
      <c r="Z220" s="109">
        <v>-5.140445557123563E-3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42433</v>
      </c>
      <c r="Y221" s="108">
        <f>_xll.qlCalendarAdvance(Calendar,X221,NDays&amp;"D")</f>
        <v>42436</v>
      </c>
      <c r="Z221" s="109">
        <v>-5.135174824926203E-3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42436</v>
      </c>
      <c r="Y222" s="108">
        <f>_xll.qlCalendarAdvance(Calendar,X222,NDays&amp;"D")</f>
        <v>42437</v>
      </c>
      <c r="Z222" s="109">
        <v>-5.1346428930276744E-3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42437</v>
      </c>
      <c r="Y223" s="108">
        <f>_xll.qlCalendarAdvance(Calendar,X223,NDays&amp;"D")</f>
        <v>42438</v>
      </c>
      <c r="Z223" s="109">
        <v>-5.135395042330515E-3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42438</v>
      </c>
      <c r="Y224" s="108">
        <f>_xll.qlCalendarAdvance(Calendar,X224,NDays&amp;"D")</f>
        <v>42439</v>
      </c>
      <c r="Z224" s="109">
        <v>-5.1374312728746929E-3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42439</v>
      </c>
      <c r="Y225" s="108">
        <f>_xll.qlCalendarAdvance(Calendar,X225,NDays&amp;"D")</f>
        <v>42440</v>
      </c>
      <c r="Z225" s="109">
        <v>-5.145710451830432E-3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42440</v>
      </c>
      <c r="Y226" s="108">
        <f>_xll.qlCalendarAdvance(Calendar,X226,NDays&amp;"D")</f>
        <v>42443</v>
      </c>
      <c r="Z226" s="109">
        <v>-5.1581607486106407E-3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42443</v>
      </c>
      <c r="Y227" s="108">
        <f>_xll.qlCalendarAdvance(Calendar,X227,NDays&amp;"D")</f>
        <v>42444</v>
      </c>
      <c r="Z227" s="109">
        <v>-5.1650798375924012E-3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42444</v>
      </c>
      <c r="Y228" s="108">
        <f>_xll.qlCalendarAdvance(Calendar,X228,NDays&amp;"D")</f>
        <v>42445</v>
      </c>
      <c r="Z228" s="109">
        <v>-5.1717454606459157E-3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42445</v>
      </c>
      <c r="Y229" s="108">
        <f>_xll.qlCalendarAdvance(Calendar,X229,NDays&amp;"D")</f>
        <v>42446</v>
      </c>
      <c r="Z229" s="109">
        <v>-5.1781576177711841E-3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42446</v>
      </c>
      <c r="Y230" s="108">
        <f>_xll.qlCalendarAdvance(Calendar,X230,NDays&amp;"D")</f>
        <v>42447</v>
      </c>
      <c r="Z230" s="109">
        <v>-5.190062219502245E-3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42447</v>
      </c>
      <c r="Y231" s="108">
        <f>_xll.qlCalendarAdvance(Calendar,X231,NDays&amp;"D")</f>
        <v>42450</v>
      </c>
      <c r="Z231" s="109">
        <v>-5.2012715869897974E-3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42450</v>
      </c>
      <c r="Y232" s="108">
        <f>_xll.qlCalendarAdvance(Calendar,X232,NDays&amp;"D")</f>
        <v>42451</v>
      </c>
      <c r="Z232" s="109">
        <v>-5.2064164145937397E-3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42451</v>
      </c>
      <c r="Y233" s="108">
        <f>_xll.qlCalendarAdvance(Calendar,X233,NDays&amp;"D")</f>
        <v>42452</v>
      </c>
      <c r="Z233" s="109">
        <v>-5.2113077762294679E-3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42452</v>
      </c>
      <c r="Y234" s="108">
        <f>_xll.qlCalendarAdvance(Calendar,X234,NDays&amp;"D")</f>
        <v>42453</v>
      </c>
      <c r="Z234" s="109">
        <v>-5.2240559784673124E-3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42453</v>
      </c>
      <c r="Y235" s="108">
        <f>_xll.qlCalendarAdvance(Calendar,X235,NDays&amp;"D")</f>
        <v>42458</v>
      </c>
      <c r="Z235" s="109">
        <v>-5.2353331635890399E-3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42458</v>
      </c>
      <c r="Y236" s="108">
        <f>_xll.qlCalendarAdvance(Calendar,X236,NDays&amp;"D")</f>
        <v>42459</v>
      </c>
      <c r="Z236" s="109">
        <v>-5.2384502644464703E-3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42459</v>
      </c>
      <c r="Y237" s="108">
        <f>_xll.qlCalendarAdvance(Calendar,X237,NDays&amp;"D")</f>
        <v>42460</v>
      </c>
      <c r="Z237" s="109">
        <v>-5.2413138995355268E-3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42460</v>
      </c>
      <c r="Y238" s="108">
        <f>_xll.qlCalendarAdvance(Calendar,X238,NDays&amp;"D")</f>
        <v>42461</v>
      </c>
      <c r="Z238" s="109">
        <v>-5.2461198323072722E-3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42461</v>
      </c>
      <c r="Y239" s="108">
        <f>_xll.qlCalendarAdvance(Calendar,X239,NDays&amp;"D")</f>
        <v>42464</v>
      </c>
      <c r="Z239" s="109">
        <v>-5.2502337816884292E-3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42464</v>
      </c>
      <c r="Y240" s="108">
        <f>_xll.qlCalendarAdvance(Calendar,X240,NDays&amp;"D")</f>
        <v>42465</v>
      </c>
      <c r="Z240" s="109">
        <v>-5.2518300876558399E-3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42465</v>
      </c>
      <c r="Y241" s="108">
        <f>_xll.qlCalendarAdvance(Calendar,X241,NDays&amp;"D")</f>
        <v>42466</v>
      </c>
      <c r="Z241" s="109">
        <v>-5.2531729280147488E-3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42466</v>
      </c>
      <c r="Y242" s="108">
        <f>_xll.qlCalendarAdvance(Calendar,X242,NDays&amp;"D")</f>
        <v>42467</v>
      </c>
      <c r="Z242" s="109">
        <v>-5.2542623025253476E-3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42467</v>
      </c>
      <c r="Y243" s="108">
        <f>_xll.qlCalendarAdvance(Calendar,X243,NDays&amp;"D")</f>
        <v>42468</v>
      </c>
      <c r="Z243" s="109">
        <v>-5.2555194402392758E-3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42468</v>
      </c>
      <c r="Y244" s="108">
        <f>_xll.qlCalendarAdvance(Calendar,X244,NDays&amp;"D")</f>
        <v>42471</v>
      </c>
      <c r="Z244" s="109">
        <v>-5.2560851429639399E-3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42471</v>
      </c>
      <c r="Y245" s="108">
        <f>_xll.qlCalendarAdvance(Calendar,X245,NDays&amp;"D")</f>
        <v>42472</v>
      </c>
      <c r="Z245" s="109">
        <v>-5.2559071885527331E-3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42472</v>
      </c>
      <c r="Y246" s="108">
        <f>_xll.qlCalendarAdvance(Calendar,X246,NDays&amp;"D")</f>
        <v>42473</v>
      </c>
      <c r="Z246" s="109">
        <v>-5.2554926773273891E-3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42473</v>
      </c>
      <c r="Y247" s="108">
        <f>_xll.qlCalendarAdvance(Calendar,X247,NDays&amp;"D")</f>
        <v>42474</v>
      </c>
      <c r="Z247" s="109">
        <v>-5.2549092443454626E-3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42474</v>
      </c>
      <c r="Y248" s="108">
        <f>_xll.qlCalendarAdvance(Calendar,X248,NDays&amp;"D")</f>
        <v>42475</v>
      </c>
      <c r="Z248" s="109">
        <v>-5.2531590123328087E-3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42475</v>
      </c>
      <c r="Y249" s="108">
        <f>_xll.qlCalendarAdvance(Calendar,X249,NDays&amp;"D")</f>
        <v>42478</v>
      </c>
      <c r="Z249" s="109">
        <v>-5.2510553837148422E-3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42478</v>
      </c>
      <c r="Y250" s="108">
        <f>_xll.qlCalendarAdvance(Calendar,X250,NDays&amp;"D")</f>
        <v>42479</v>
      </c>
      <c r="Z250" s="109">
        <v>-5.2497118865613146E-3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42479</v>
      </c>
      <c r="Y251" s="108">
        <f>_xll.qlCalendarAdvance(Calendar,X251,NDays&amp;"D")</f>
        <v>42480</v>
      </c>
      <c r="Z251" s="109">
        <v>-5.2482163763256651E-3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42480</v>
      </c>
      <c r="Y252" s="108">
        <f>_xll.qlCalendarAdvance(Calendar,X252,NDays&amp;"D")</f>
        <v>42481</v>
      </c>
      <c r="Z252" s="109">
        <v>-5.2465688532477017E-3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42481</v>
      </c>
      <c r="Y253" s="108">
        <f>_xll.qlCalendarAdvance(Calendar,X253,NDays&amp;"D")</f>
        <v>42482</v>
      </c>
      <c r="Z253" s="109">
        <v>-5.2426907462121974E-3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42482</v>
      </c>
      <c r="Y254" s="108">
        <f>_xll.qlCalendarAdvance(Calendar,X254,NDays&amp;"D")</f>
        <v>42485</v>
      </c>
      <c r="Z254" s="109">
        <v>-5.238458632192966E-3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42485</v>
      </c>
      <c r="Y255" s="108">
        <f>_xll.qlCalendarAdvance(Calendar,X255,NDays&amp;"D")</f>
        <v>42486</v>
      </c>
      <c r="Z255" s="109">
        <v>-5.2360510447435615E-3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42486</v>
      </c>
      <c r="Y256" s="108">
        <f>_xll.qlCalendarAdvance(Calendar,X256,NDays&amp;"D")</f>
        <v>42487</v>
      </c>
      <c r="Z256" s="109">
        <v>-5.2334914443319391E-3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42487</v>
      </c>
      <c r="Y257" s="108">
        <f>_xll.qlCalendarAdvance(Calendar,X257,NDays&amp;"D")</f>
        <v>42488</v>
      </c>
      <c r="Z257" s="109">
        <v>-5.230779831117971E-3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42488</v>
      </c>
      <c r="Y258" s="108">
        <f>_xll.qlCalendarAdvance(Calendar,X258,NDays&amp;"D")</f>
        <v>42489</v>
      </c>
      <c r="Z258" s="109">
        <v>-5.224774064567228E-3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42489</v>
      </c>
      <c r="Y259" s="108">
        <f>_xll.qlCalendarAdvance(Calendar,X259,NDays&amp;"D")</f>
        <v>42492</v>
      </c>
      <c r="Z259" s="109">
        <v>-5.2184132490395996E-3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42492</v>
      </c>
      <c r="Y260" s="108">
        <f>_xll.qlCalendarAdvance(Calendar,X260,NDays&amp;"D")</f>
        <v>42493</v>
      </c>
      <c r="Z260" s="109">
        <v>-5.214941571174414E-3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42493</v>
      </c>
      <c r="Y261" s="108">
        <f>_xll.qlCalendarAdvance(Calendar,X261,NDays&amp;"D")</f>
        <v>42494</v>
      </c>
      <c r="Z261" s="109">
        <v>-5.2093923368423667E-3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42494</v>
      </c>
      <c r="Y262" s="108">
        <f>_xll.qlCalendarAdvance(Calendar,X262,NDays&amp;"D")</f>
        <v>42496</v>
      </c>
      <c r="Z262" s="109">
        <v>-5.1994089640405861E-3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42496</v>
      </c>
      <c r="Y263" s="108">
        <f>_xll.qlCalendarAdvance(Calendar,X263,NDays&amp;"D")</f>
        <v>42499</v>
      </c>
      <c r="Z263" s="109">
        <v>-5.1909192330557019E-3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42499</v>
      </c>
      <c r="Y264" s="108">
        <f>_xll.qlCalendarAdvance(Calendar,X264,NDays&amp;"D")</f>
        <v>42500</v>
      </c>
      <c r="Z264" s="109">
        <v>-5.1863834648147034E-3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42500</v>
      </c>
      <c r="Y265" s="108">
        <f>_xll.qlCalendarAdvance(Calendar,X265,NDays&amp;"D")</f>
        <v>42501</v>
      </c>
      <c r="Z265" s="109">
        <v>-5.1816956834116468E-3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42501</v>
      </c>
      <c r="Y266" s="108">
        <f>_xll.qlCalendarAdvance(Calendar,X266,NDays&amp;"D")</f>
        <v>42502</v>
      </c>
      <c r="Z266" s="109">
        <v>-5.1768558892462124E-3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42502</v>
      </c>
      <c r="Y267" s="108">
        <f>_xll.qlCalendarAdvance(Calendar,X267,NDays&amp;"D")</f>
        <v>42503</v>
      </c>
      <c r="Z267" s="109">
        <v>-5.1643207604012975E-3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42503</v>
      </c>
      <c r="Y268" s="108">
        <f>_xll.qlCalendarAdvance(Calendar,X268,NDays&amp;"D")</f>
        <v>42507</v>
      </c>
      <c r="Z268" s="109">
        <v>-5.1520372622926303E-3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42507</v>
      </c>
      <c r="Y269" s="108">
        <f>_xll.qlCalendarAdvance(Calendar,X269,NDays&amp;"D")</f>
        <v>42508</v>
      </c>
      <c r="Z269" s="109">
        <v>-5.1471020486548724E-3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42508</v>
      </c>
      <c r="Y270" s="108">
        <f>_xll.qlCalendarAdvance(Calendar,X270,NDays&amp;"D")</f>
        <v>42509</v>
      </c>
      <c r="Z270" s="109">
        <v>-5.142178153643151E-3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42509</v>
      </c>
      <c r="Y271" s="108">
        <f>_xll.qlCalendarAdvance(Calendar,X271,NDays&amp;"D")</f>
        <v>42510</v>
      </c>
      <c r="Z271" s="109">
        <v>-5.132294923209102E-3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42510</v>
      </c>
      <c r="Y272" s="108">
        <f>_xll.qlCalendarAdvance(Calendar,X272,NDays&amp;"D")</f>
        <v>42513</v>
      </c>
      <c r="Z272" s="109">
        <v>-5.1225957610157025E-3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42513</v>
      </c>
      <c r="Y273" s="108">
        <f>_xll.qlCalendarAdvance(Calendar,X273,NDays&amp;"D")</f>
        <v>42514</v>
      </c>
      <c r="Z273" s="109">
        <v>-5.1177284596137795E-3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42514</v>
      </c>
      <c r="Y274" s="108">
        <f>_xll.qlCalendarAdvance(Calendar,X274,NDays&amp;"D")</f>
        <v>42515</v>
      </c>
      <c r="Z274" s="109">
        <v>-5.1128724769977651E-3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42515</v>
      </c>
      <c r="Y275" s="108">
        <f>_xll.qlCalendarAdvance(Calendar,X275,NDays&amp;"D")</f>
        <v>42516</v>
      </c>
      <c r="Z275" s="109">
        <v>-5.1080278130077872E-3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42516</v>
      </c>
      <c r="Y276" s="108">
        <f>_xll.qlCalendarAdvance(Calendar,X276,NDays&amp;"D")</f>
        <v>42517</v>
      </c>
      <c r="Z276" s="109">
        <v>-5.0983040105245792E-3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42517</v>
      </c>
      <c r="Y277" s="108">
        <f>_xll.qlCalendarAdvance(Calendar,X277,NDays&amp;"D")</f>
        <v>42520</v>
      </c>
      <c r="Z277" s="109">
        <v>-5.0887623444273444E-3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42520</v>
      </c>
      <c r="Y278" s="108">
        <f>_xll.qlCalendarAdvance(Calendar,X278,NDays&amp;"D")</f>
        <v>42521</v>
      </c>
      <c r="Z278" s="109">
        <v>-5.0839742739672289E-3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42521</v>
      </c>
      <c r="Y279" s="108">
        <f>_xll.qlCalendarAdvance(Calendar,X279,NDays&amp;"D")</f>
        <v>42522</v>
      </c>
      <c r="Z279" s="109">
        <v>-5.0791975222930219E-3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42522</v>
      </c>
      <c r="Y280" s="108">
        <f>_xll.qlCalendarAdvance(Calendar,X280,NDays&amp;"D")</f>
        <v>42523</v>
      </c>
      <c r="Z280" s="109">
        <v>-5.0744320893247874E-3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42523</v>
      </c>
      <c r="Y281" s="108">
        <f>_xll.qlCalendarAdvance(Calendar,X281,NDays&amp;"D")</f>
        <v>42524</v>
      </c>
      <c r="Z281" s="109">
        <v>-5.0648676928632952E-3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42524</v>
      </c>
      <c r="Y282" s="108">
        <f>_xll.qlCalendarAdvance(Calendar,X282,NDays&amp;"D")</f>
        <v>42527</v>
      </c>
      <c r="Z282" s="109">
        <v>-5.0554835447513824E-3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42527</v>
      </c>
      <c r="Y283" s="108">
        <f>_xll.qlCalendarAdvance(Calendar,X283,NDays&amp;"D")</f>
        <v>42528</v>
      </c>
      <c r="Z283" s="109">
        <v>-5.0507747053529783E-3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42528</v>
      </c>
      <c r="Y284" s="108">
        <f>_xll.qlCalendarAdvance(Calendar,X284,NDays&amp;"D")</f>
        <v>42529</v>
      </c>
      <c r="Z284" s="109">
        <v>-5.0460771847804509E-3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42529</v>
      </c>
      <c r="Y285" s="108">
        <f>_xll.qlCalendarAdvance(Calendar,X285,NDays&amp;"D")</f>
        <v>42530</v>
      </c>
      <c r="Z285" s="109">
        <v>-5.0413909828339598E-3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42530</v>
      </c>
      <c r="Y286" s="108">
        <f>_xll.qlCalendarAdvance(Calendar,X286,NDays&amp;"D")</f>
        <v>42531</v>
      </c>
      <c r="Z286" s="109">
        <v>-5.0319859706782211E-3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42531</v>
      </c>
      <c r="Y287" s="108">
        <f>_xll.qlCalendarAdvance(Calendar,X287,NDays&amp;"D")</f>
        <v>42534</v>
      </c>
      <c r="Z287" s="109">
        <v>-5.0227593623874967E-3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42534</v>
      </c>
      <c r="Y288" s="108">
        <f>_xll.qlCalendarAdvance(Calendar,X288,NDays&amp;"D")</f>
        <v>42535</v>
      </c>
      <c r="Z288" s="109">
        <v>-5.0181297540508041E-3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42535</v>
      </c>
      <c r="Y289" s="108">
        <f>_xll.qlCalendarAdvance(Calendar,X289,NDays&amp;"D")</f>
        <v>42536</v>
      </c>
      <c r="Z289" s="109">
        <v>-5.0135114645000201E-3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42536</v>
      </c>
      <c r="Y290" s="108">
        <f>_xll.qlCalendarAdvance(Calendar,X290,NDays&amp;"D")</f>
        <v>42537</v>
      </c>
      <c r="Z290" s="109">
        <v>-5.0089044935752725E-3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42537</v>
      </c>
      <c r="Y291" s="108">
        <f>_xll.qlCalendarAdvance(Calendar,X291,NDays&amp;"D")</f>
        <v>42538</v>
      </c>
      <c r="Z291" s="109">
        <v>-4.9996588444090051E-3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42538</v>
      </c>
      <c r="Y292" s="108">
        <f>_xll.qlCalendarAdvance(Calendar,X292,NDays&amp;"D")</f>
        <v>42541</v>
      </c>
      <c r="Z292" s="109">
        <v>-4.9905897974156233E-3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42541</v>
      </c>
      <c r="Y293" s="108">
        <f>_xll.qlCalendarAdvance(Calendar,X293,NDays&amp;"D")</f>
        <v>42542</v>
      </c>
      <c r="Z293" s="109">
        <v>-4.9860394201806102E-3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42542</v>
      </c>
      <c r="Y294" s="108">
        <f>_xll.qlCalendarAdvance(Calendar,X294,NDays&amp;"D")</f>
        <v>42543</v>
      </c>
      <c r="Z294" s="109">
        <v>-4.9815003616515696E-3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42543</v>
      </c>
      <c r="Y295" s="108">
        <f>_xll.qlCalendarAdvance(Calendar,X295,NDays&amp;"D")</f>
        <v>42544</v>
      </c>
      <c r="Z295" s="109">
        <v>-4.9769726218285015E-3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42544</v>
      </c>
      <c r="Y296" s="108">
        <f>_xll.qlCalendarAdvance(Calendar,X296,NDays&amp;"D")</f>
        <v>42545</v>
      </c>
      <c r="Z296" s="109">
        <v>-4.9678863145352636E-3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42545</v>
      </c>
      <c r="Y297" s="108">
        <f>_xll.qlCalendarAdvance(Calendar,X297,NDays&amp;"D")</f>
        <v>42548</v>
      </c>
      <c r="Z297" s="109">
        <v>-4.9589748499556663E-3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42548</v>
      </c>
      <c r="Y298" s="108">
        <f>_xll.qlCalendarAdvance(Calendar,X298,NDays&amp;"D")</f>
        <v>42549</v>
      </c>
      <c r="Z298" s="109">
        <v>-4.9545037038223327E-3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42549</v>
      </c>
      <c r="Y299" s="108">
        <f>_xll.qlCalendarAdvance(Calendar,X299,NDays&amp;"D")</f>
        <v>42550</v>
      </c>
      <c r="Z299" s="109">
        <v>-4.9500438763150356E-3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42550</v>
      </c>
      <c r="Y300" s="108">
        <f>_xll.qlCalendarAdvance(Calendar,X300,NDays&amp;"D")</f>
        <v>42551</v>
      </c>
      <c r="Z300" s="109">
        <v>-4.9455953677135511E-3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42551</v>
      </c>
      <c r="Y301" s="108">
        <f>_xll.qlCalendarAdvance(Calendar,X301,NDays&amp;"D")</f>
        <v>42552</v>
      </c>
      <c r="Z301" s="109">
        <v>-4.9366683814833223E-3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42552</v>
      </c>
      <c r="Y302" s="108">
        <f>_xll.qlCalendarAdvance(Calendar,X302,NDays&amp;"D")</f>
        <v>42555</v>
      </c>
      <c r="Z302" s="109">
        <v>-4.9279145202474339E-3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42555</v>
      </c>
      <c r="Y303" s="108">
        <f>_xll.qlCalendarAdvance(Calendar,X303,NDays&amp;"D")</f>
        <v>42556</v>
      </c>
      <c r="Z303" s="109">
        <v>-4.9235226051758119E-3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42556</v>
      </c>
      <c r="Y304" s="108">
        <f>_xll.qlCalendarAdvance(Calendar,X304,NDays&amp;"D")</f>
        <v>42557</v>
      </c>
      <c r="Z304" s="109">
        <v>-4.9191420088101623E-3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42557</v>
      </c>
      <c r="Y305" s="108">
        <f>_xll.qlCalendarAdvance(Calendar,X305,NDays&amp;"D")</f>
        <v>42558</v>
      </c>
      <c r="Z305" s="109">
        <v>-4.9147727312703893E-3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42558</v>
      </c>
      <c r="Y306" s="108">
        <f>_xll.qlCalendarAdvance(Calendar,X306,NDays&amp;"D")</f>
        <v>42559</v>
      </c>
      <c r="Z306" s="109">
        <v>-4.9060050456928295E-3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42559</v>
      </c>
      <c r="Y307" s="108">
        <f>_xll.qlCalendarAdvance(Calendar,X307,NDays&amp;"D")</f>
        <v>42562</v>
      </c>
      <c r="Z307" s="109">
        <v>-4.8974088082509581E-3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42562</v>
      </c>
      <c r="Y308" s="108">
        <f>_xll.qlCalendarAdvance(Calendar,X308,NDays&amp;"D")</f>
        <v>42563</v>
      </c>
      <c r="Z308" s="109">
        <v>-4.8930961244009197E-3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42563</v>
      </c>
      <c r="Y309" s="108">
        <f>_xll.qlCalendarAdvance(Calendar,X309,NDays&amp;"D")</f>
        <v>42564</v>
      </c>
      <c r="Z309" s="109">
        <v>-4.8887947591369496E-3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42564</v>
      </c>
      <c r="Y310" s="108">
        <f>_xll.qlCalendarAdvance(Calendar,X310,NDays&amp;"D")</f>
        <v>42565</v>
      </c>
      <c r="Z310" s="109">
        <v>-4.8845047126988561E-3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42565</v>
      </c>
      <c r="Y311" s="108">
        <f>_xll.qlCalendarAdvance(Calendar,X311,NDays&amp;"D")</f>
        <v>42566</v>
      </c>
      <c r="Z311" s="109">
        <v>-4.8758963075901107E-3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42566</v>
      </c>
      <c r="Y312" s="108">
        <f>_xll.qlCalendarAdvance(Calendar,X312,NDays&amp;"D")</f>
        <v>42569</v>
      </c>
      <c r="Z312" s="109">
        <v>-4.8674577143259512E-3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42569</v>
      </c>
      <c r="Y313" s="108">
        <f>_xll.qlCalendarAdvance(Calendar,X313,NDays&amp;"D")</f>
        <v>42570</v>
      </c>
      <c r="Z313" s="109">
        <v>-4.8632242615376242E-3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42570</v>
      </c>
      <c r="Y314" s="108">
        <f>_xll.qlCalendarAdvance(Calendar,X314,NDays&amp;"D")</f>
        <v>42571</v>
      </c>
      <c r="Z314" s="109">
        <v>-4.8590021274552697E-3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42571</v>
      </c>
      <c r="Y315" s="108">
        <f>_xll.qlCalendarAdvance(Calendar,X315,NDays&amp;"D")</f>
        <v>42572</v>
      </c>
      <c r="Z315" s="109">
        <v>-4.8547913121987918E-3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42572</v>
      </c>
      <c r="Y316" s="108">
        <f>_xll.qlCalendarAdvance(Calendar,X316,NDays&amp;"D")</f>
        <v>42573</v>
      </c>
      <c r="Z316" s="109">
        <v>-4.8463421675615237E-3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42573</v>
      </c>
      <c r="Y317" s="108">
        <f>_xll.qlCalendarAdvance(Calendar,X317,NDays&amp;"D")</f>
        <v>42576</v>
      </c>
      <c r="Z317" s="109">
        <v>-4.8380612384724131E-3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42576</v>
      </c>
      <c r="Y318" s="108">
        <f>_xll.qlCalendarAdvance(Calendar,X318,NDays&amp;"D")</f>
        <v>42577</v>
      </c>
      <c r="Z318" s="109">
        <v>-4.8339070168657017E-3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42577</v>
      </c>
      <c r="Y319" s="108">
        <f>_xll.qlCalendarAdvance(Calendar,X319,NDays&amp;"D")</f>
        <v>42578</v>
      </c>
      <c r="Z319" s="109">
        <v>-4.8297641139649627E-3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42578</v>
      </c>
      <c r="Y320" s="108">
        <f>_xll.qlCalendarAdvance(Calendar,X320,NDays&amp;"D")</f>
        <v>42579</v>
      </c>
      <c r="Z320" s="109">
        <v>-4.8256325298501324E-3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42579</v>
      </c>
      <c r="Y321" s="108">
        <f>_xll.qlCalendarAdvance(Calendar,X321,NDays&amp;"D")</f>
        <v>42580</v>
      </c>
      <c r="Z321" s="109">
        <v>-4.8152635487863638E-3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42580</v>
      </c>
      <c r="Y322" s="108">
        <f>_xll.qlCalendarAdvance(Calendar,X322,NDays&amp;"D")</f>
        <v>42584</v>
      </c>
      <c r="Z322" s="109">
        <v>-4.8051443903851521E-3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42584</v>
      </c>
      <c r="Y323" s="108">
        <f>_xll.qlCalendarAdvance(Calendar,X323,NDays&amp;"D")</f>
        <v>42585</v>
      </c>
      <c r="Z323" s="109">
        <v>-4.8010807187059967E-3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42585</v>
      </c>
      <c r="Y324" s="108">
        <f>_xll.qlCalendarAdvance(Calendar,X324,NDays&amp;"D")</f>
        <v>42586</v>
      </c>
      <c r="Z324" s="109">
        <v>-4.7970283658127499E-3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42586</v>
      </c>
      <c r="Y325" s="108">
        <f>_xll.qlCalendarAdvance(Calendar,X325,NDays&amp;"D")</f>
        <v>42587</v>
      </c>
      <c r="Z325" s="109">
        <v>-4.78889768344537E-3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42587</v>
      </c>
      <c r="Y326" s="108">
        <f>_xll.qlCalendarAdvance(Calendar,X326,NDays&amp;"D")</f>
        <v>42590</v>
      </c>
      <c r="Z326" s="109">
        <v>-4.7809321415392958E-3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42590</v>
      </c>
      <c r="Y327" s="108">
        <f>_xll.qlCalendarAdvance(Calendar,X327,NDays&amp;"D")</f>
        <v>42591</v>
      </c>
      <c r="Z327" s="109">
        <v>-4.7769363823757516E-3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42591</v>
      </c>
      <c r="Y328" s="108">
        <f>_xll.qlCalendarAdvance(Calendar,X328,NDays&amp;"D")</f>
        <v>42592</v>
      </c>
      <c r="Z328" s="109">
        <v>-4.7729519418782118E-3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42592</v>
      </c>
      <c r="Y329" s="108">
        <f>_xll.qlCalendarAdvance(Calendar,X329,NDays&amp;"D")</f>
        <v>42593</v>
      </c>
      <c r="Z329" s="109">
        <v>-4.7689788202065486E-3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42593</v>
      </c>
      <c r="Y330" s="108">
        <f>_xll.qlCalendarAdvance(Calendar,X330,NDays&amp;"D")</f>
        <v>42594</v>
      </c>
      <c r="Z330" s="109">
        <v>-4.7610073401305186E-3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42594</v>
      </c>
      <c r="Y331" s="108">
        <f>_xll.qlCalendarAdvance(Calendar,X331,NDays&amp;"D")</f>
        <v>42597</v>
      </c>
      <c r="Z331" s="109">
        <v>-4.753194863704735E-3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42597</v>
      </c>
      <c r="Y332" s="108">
        <f>_xll.qlCalendarAdvance(Calendar,X332,NDays&amp;"D")</f>
        <v>42598</v>
      </c>
      <c r="Z332" s="109">
        <v>-4.749250392994675E-3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42598</v>
      </c>
      <c r="Y333" s="108">
        <f>_xll.qlCalendarAdvance(Calendar,X333,NDays&amp;"D")</f>
        <v>42599</v>
      </c>
      <c r="Z333" s="109">
        <v>-4.7452892983024242E-3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42599</v>
      </c>
      <c r="Y334" s="108">
        <f>_xll.qlCalendarAdvance(Calendar,X334,NDays&amp;"D")</f>
        <v>42600</v>
      </c>
      <c r="Z334" s="109">
        <v>-4.7413115795080785E-3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42600</v>
      </c>
      <c r="Y335" s="108">
        <f>_xll.qlCalendarAdvance(Calendar,X335,NDays&amp;"D")</f>
        <v>42601</v>
      </c>
      <c r="Z335" s="109">
        <v>-4.7332384954668072E-3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42601</v>
      </c>
      <c r="Y336" s="108">
        <f>_xll.qlCalendarAdvance(Calendar,X336,NDays&amp;"D")</f>
        <v>42604</v>
      </c>
      <c r="Z336" s="109">
        <v>-4.7252344648684996E-3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42604</v>
      </c>
      <c r="Y337" s="108">
        <f>_xll.qlCalendarAdvance(Calendar,X337,NDays&amp;"D")</f>
        <v>42605</v>
      </c>
      <c r="Z337" s="109">
        <v>-4.7211736262031678E-3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42605</v>
      </c>
      <c r="Y338" s="108">
        <f>_xll.qlCalendarAdvance(Calendar,X338,NDays&amp;"D")</f>
        <v>42606</v>
      </c>
      <c r="Z338" s="109">
        <v>-4.7170961636355813E-3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42606</v>
      </c>
      <c r="Y339" s="108">
        <f>_xll.qlCalendarAdvance(Calendar,X339,NDays&amp;"D")</f>
        <v>42607</v>
      </c>
      <c r="Z339" s="109">
        <v>-4.7130020768459957E-3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42607</v>
      </c>
      <c r="Y340" s="108">
        <f>_xll.qlCalendarAdvance(Calendar,X340,NDays&amp;"D")</f>
        <v>42608</v>
      </c>
      <c r="Z340" s="109">
        <v>-4.7046970051489723E-3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42608</v>
      </c>
      <c r="Y341" s="108">
        <f>_xll.qlCalendarAdvance(Calendar,X341,NDays&amp;"D")</f>
        <v>42611</v>
      </c>
      <c r="Z341" s="109">
        <v>-4.6964594904252976E-3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42611</v>
      </c>
      <c r="Y342" s="108">
        <f>_xll.qlCalendarAdvance(Calendar,X342,NDays&amp;"D")</f>
        <v>42612</v>
      </c>
      <c r="Z342" s="109">
        <v>-4.6922822836448219E-3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42612</v>
      </c>
      <c r="Y343" s="108">
        <f>_xll.qlCalendarAdvance(Calendar,X343,NDays&amp;"D")</f>
        <v>42613</v>
      </c>
      <c r="Z343" s="109">
        <v>-4.6880884530819955E-3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42613</v>
      </c>
      <c r="Y344" s="108">
        <f>_xll.qlCalendarAdvance(Calendar,X344,NDays&amp;"D")</f>
        <v>42614</v>
      </c>
      <c r="Z344" s="109">
        <v>-4.6838779984970103E-3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42614</v>
      </c>
      <c r="Y345" s="108">
        <f>_xll.qlCalendarAdvance(Calendar,X345,NDays&amp;"D")</f>
        <v>42615</v>
      </c>
      <c r="Z345" s="109">
        <v>-4.6753409556243852E-3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42615</v>
      </c>
      <c r="Y346" s="108">
        <f>_xll.qlCalendarAdvance(Calendar,X346,NDays&amp;"D")</f>
        <v>42618</v>
      </c>
      <c r="Z346" s="109">
        <v>-4.6668699399354807E-3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42618</v>
      </c>
      <c r="Y347" s="108">
        <f>_xll.qlCalendarAdvance(Calendar,X347,NDays&amp;"D")</f>
        <v>42619</v>
      </c>
      <c r="Z347" s="109">
        <v>-4.6625763651997332E-3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42619</v>
      </c>
      <c r="Y348" s="108">
        <f>_xll.qlCalendarAdvance(Calendar,X348,NDays&amp;"D")</f>
        <v>42620</v>
      </c>
      <c r="Z348" s="109">
        <v>-4.658266166721603E-3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42620</v>
      </c>
      <c r="Y349" s="108">
        <f>_xll.qlCalendarAdvance(Calendar,X349,NDays&amp;"D")</f>
        <v>42621</v>
      </c>
      <c r="Z349" s="109">
        <v>-4.6539393440214738E-3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42621</v>
      </c>
      <c r="Y350" s="108">
        <f>_xll.qlCalendarAdvance(Calendar,X350,NDays&amp;"D")</f>
        <v>42622</v>
      </c>
      <c r="Z350" s="109">
        <v>-4.645170346280203E-3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42622</v>
      </c>
      <c r="Y351" s="108">
        <f>_xll.qlCalendarAdvance(Calendar,X351,NDays&amp;"D")</f>
        <v>42625</v>
      </c>
      <c r="Z351" s="109">
        <v>-4.6364658133990488E-3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42625</v>
      </c>
      <c r="Y352" s="108">
        <f>_xll.qlCalendarAdvance(Calendar,X352,NDays&amp;"D")</f>
        <v>42626</v>
      </c>
      <c r="Z352" s="109">
        <v>-4.6320558707479975E-3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42626</v>
      </c>
      <c r="Y353" s="108">
        <f>_xll.qlCalendarAdvance(Calendar,X353,NDays&amp;"D")</f>
        <v>42627</v>
      </c>
      <c r="Z353" s="109">
        <v>-4.6276293040348193E-3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42627</v>
      </c>
      <c r="Y354" s="108">
        <f>_xll.qlCalendarAdvance(Calendar,X354,NDays&amp;"D")</f>
        <v>42628</v>
      </c>
      <c r="Z354" s="109">
        <v>-4.6231861134193863E-3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42628</v>
      </c>
      <c r="Y355" s="108">
        <f>_xll.qlCalendarAdvance(Calendar,X355,NDays&amp;"D")</f>
        <v>42629</v>
      </c>
      <c r="Z355" s="109">
        <v>-4.6141851765302277E-3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42629</v>
      </c>
      <c r="Y356" s="108">
        <f>_xll.qlCalendarAdvance(Calendar,X356,NDays&amp;"D")</f>
        <v>42632</v>
      </c>
      <c r="Z356" s="109">
        <v>-4.6052471106161619E-3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42632</v>
      </c>
      <c r="Y357" s="108">
        <f>_xll.qlCalendarAdvance(Calendar,X357,NDays&amp;"D")</f>
        <v>42633</v>
      </c>
      <c r="Z357" s="109">
        <v>-4.6007207997700306E-3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42633</v>
      </c>
      <c r="Y358" s="108">
        <f>_xll.qlCalendarAdvance(Calendar,X358,NDays&amp;"D")</f>
        <v>42634</v>
      </c>
      <c r="Z358" s="109">
        <v>-4.5961778651015806E-3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42634</v>
      </c>
      <c r="Y359" s="108">
        <f>_xll.qlCalendarAdvance(Calendar,X359,NDays&amp;"D")</f>
        <v>42635</v>
      </c>
      <c r="Z359" s="109">
        <v>-4.5916183062910676E-3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42635</v>
      </c>
      <c r="Y360" s="108">
        <f>_xll.qlCalendarAdvance(Calendar,X360,NDays&amp;"D")</f>
        <v>42636</v>
      </c>
      <c r="Z360" s="109">
        <v>-4.5823854457482938E-3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42636</v>
      </c>
      <c r="Y361" s="108">
        <f>_xll.qlCalendarAdvance(Calendar,X361,NDays&amp;"D")</f>
        <v>42639</v>
      </c>
      <c r="Z361" s="109">
        <v>-4.5732138312271076E-3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42639</v>
      </c>
      <c r="Y362" s="108">
        <f>_xll.qlCalendarAdvance(Calendar,X362,NDays&amp;"D")</f>
        <v>42640</v>
      </c>
      <c r="Z362" s="109">
        <v>-4.5685711523457684E-3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42640</v>
      </c>
      <c r="Y363" s="108">
        <f>_xll.qlCalendarAdvance(Calendar,X363,NDays&amp;"D")</f>
        <v>42641</v>
      </c>
      <c r="Z363" s="109">
        <v>-4.5639118495621744E-3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42641</v>
      </c>
      <c r="Y364" s="108">
        <f>_xll.qlCalendarAdvance(Calendar,X364,NDays&amp;"D")</f>
        <v>42642</v>
      </c>
      <c r="Z364" s="109">
        <v>-4.5592359226365176E-3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42642</v>
      </c>
      <c r="Y365" s="108">
        <f>_xll.qlCalendarAdvance(Calendar,X365,NDays&amp;"D")</f>
        <v>42643</v>
      </c>
      <c r="Z365" s="109">
        <v>-4.5497711532282992E-3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42643</v>
      </c>
      <c r="Y366" s="108">
        <f>_xll.qlCalendarAdvance(Calendar,X366,NDays&amp;"D")</f>
        <v>42646</v>
      </c>
      <c r="Z366" s="109">
        <v>-4.5403659750720138E-3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42646</v>
      </c>
      <c r="Y367" s="108">
        <f>_xll.qlCalendarAdvance(Calendar,X367,NDays&amp;"D")</f>
        <v>42647</v>
      </c>
      <c r="Z367" s="109">
        <v>-4.5356069281554667E-3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42647</v>
      </c>
      <c r="Y368" s="108">
        <f>_xll.qlCalendarAdvance(Calendar,X368,NDays&amp;"D")</f>
        <v>42648</v>
      </c>
      <c r="Z368" s="109">
        <v>-4.5308312571368248E-3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42648</v>
      </c>
      <c r="Y369" s="108">
        <f>_xll.qlCalendarAdvance(Calendar,X369,NDays&amp;"D")</f>
        <v>42649</v>
      </c>
      <c r="Z369" s="109">
        <v>-4.52603896217596E-3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42649</v>
      </c>
      <c r="Y370" s="108">
        <f>_xll.qlCalendarAdvance(Calendar,X370,NDays&amp;"D")</f>
        <v>42650</v>
      </c>
      <c r="Z370" s="109">
        <v>-4.5163422983440782E-3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42650</v>
      </c>
      <c r="Y371" s="108">
        <f>_xll.qlCalendarAdvance(Calendar,X371,NDays&amp;"D")</f>
        <v>42653</v>
      </c>
      <c r="Z371" s="109">
        <v>-4.5067035420709445E-3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42653</v>
      </c>
      <c r="Y372" s="108">
        <f>_xll.qlCalendarAdvance(Calendar,X372,NDays&amp;"D")</f>
        <v>42654</v>
      </c>
      <c r="Z372" s="109">
        <v>-4.5018281268793814E-3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42654</v>
      </c>
      <c r="Y373" s="108">
        <f>_xll.qlCalendarAdvance(Calendar,X373,NDays&amp;"D")</f>
        <v>42655</v>
      </c>
      <c r="Z373" s="109">
        <v>-4.4969360877855635E-3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42655</v>
      </c>
      <c r="Y374" s="108">
        <f>_xll.qlCalendarAdvance(Calendar,X374,NDays&amp;"D")</f>
        <v>42656</v>
      </c>
      <c r="Z374" s="109">
        <v>-4.4920274246296188E-3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42656</v>
      </c>
      <c r="Y375" s="108">
        <f>_xll.qlCalendarAdvance(Calendar,X375,NDays&amp;"D")</f>
        <v>42657</v>
      </c>
      <c r="Z375" s="109">
        <v>-4.4820988804428197E-3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42657</v>
      </c>
      <c r="Y376" s="108">
        <f>_xll.qlCalendarAdvance(Calendar,X376,NDays&amp;"D")</f>
        <v>42660</v>
      </c>
      <c r="Z376" s="109">
        <v>-4.4722265317442833E-3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42660</v>
      </c>
      <c r="Y377" s="108">
        <f>_xll.qlCalendarAdvance(Calendar,X377,NDays&amp;"D")</f>
        <v>42661</v>
      </c>
      <c r="Z377" s="109">
        <v>-4.4672347484775443E-3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42661</v>
      </c>
      <c r="Y378" s="108">
        <f>_xll.qlCalendarAdvance(Calendar,X378,NDays&amp;"D")</f>
        <v>42662</v>
      </c>
      <c r="Z378" s="109">
        <v>-4.4622263411886465E-3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42662</v>
      </c>
      <c r="Y379" s="108">
        <f>_xll.qlCalendarAdvance(Calendar,X379,NDays&amp;"D")</f>
        <v>42663</v>
      </c>
      <c r="Z379" s="109">
        <v>-4.4572013098376217E-3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42663</v>
      </c>
      <c r="Y380" s="108">
        <f>_xll.qlCalendarAdvance(Calendar,X380,NDays&amp;"D")</f>
        <v>42664</v>
      </c>
      <c r="Z380" s="109">
        <v>-4.4470408987651311E-3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42664</v>
      </c>
      <c r="Y381" s="108">
        <f>_xll.qlCalendarAdvance(Calendar,X381,NDays&amp;"D")</f>
        <v>42667</v>
      </c>
      <c r="Z381" s="109">
        <v>-4.4369349440520622E-3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42667</v>
      </c>
      <c r="Y382" s="108">
        <f>_xll.qlCalendarAdvance(Calendar,X382,NDays&amp;"D")</f>
        <v>42668</v>
      </c>
      <c r="Z382" s="109">
        <v>-4.4318267926302113E-3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42668</v>
      </c>
      <c r="Y383" s="108">
        <f>_xll.qlCalendarAdvance(Calendar,X383,NDays&amp;"D")</f>
        <v>42669</v>
      </c>
      <c r="Z383" s="109">
        <v>-4.4267020170263294E-3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42669</v>
      </c>
      <c r="Y384" s="108">
        <f>_xll.qlCalendarAdvance(Calendar,X384,NDays&amp;"D")</f>
        <v>42670</v>
      </c>
      <c r="Z384" s="109">
        <v>-4.4215606174002886E-3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42670</v>
      </c>
      <c r="Y385" s="108">
        <f>_xll.qlCalendarAdvance(Calendar,X385,NDays&amp;"D")</f>
        <v>42671</v>
      </c>
      <c r="Z385" s="109">
        <v>-4.4111683526315559E-3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42671</v>
      </c>
      <c r="Y386" s="108">
        <f>_xll.qlCalendarAdvance(Calendar,X386,NDays&amp;"D")</f>
        <v>42674</v>
      </c>
      <c r="Z386" s="109">
        <v>-4.4008287787544731E-3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42674</v>
      </c>
      <c r="Y387" s="108">
        <f>_xll.qlCalendarAdvance(Calendar,X387,NDays&amp;"D")</f>
        <v>42675</v>
      </c>
      <c r="Z387" s="109">
        <v>-4.3956042590176381E-3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42675</v>
      </c>
      <c r="Y388" s="108">
        <f>_xll.qlCalendarAdvance(Calendar,X388,NDays&amp;"D")</f>
        <v>42676</v>
      </c>
      <c r="Z388" s="109">
        <v>-4.3903631151787081E-3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42676</v>
      </c>
      <c r="Y389" s="108">
        <f>_xll.qlCalendarAdvance(Calendar,X389,NDays&amp;"D")</f>
        <v>42677</v>
      </c>
      <c r="Z389" s="109">
        <v>-4.3851053472776513E-3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42677</v>
      </c>
      <c r="Y390" s="108">
        <f>_xll.qlCalendarAdvance(Calendar,X390,NDays&amp;"D")</f>
        <v>42678</v>
      </c>
      <c r="Z390" s="109">
        <v>-4.374481241309347E-3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42678</v>
      </c>
      <c r="Y391" s="108">
        <f>_xll.qlCalendarAdvance(Calendar,X391,NDays&amp;"D")</f>
        <v>42681</v>
      </c>
      <c r="Z391" s="109">
        <v>-4.3639080355317716E-3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42681</v>
      </c>
      <c r="Y392" s="108">
        <f>_xll.qlCalendarAdvance(Calendar,X392,NDays&amp;"D")</f>
        <v>42682</v>
      </c>
      <c r="Z392" s="109">
        <v>-4.3585671474399845E-3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42682</v>
      </c>
      <c r="Y393" s="108">
        <f>_xll.qlCalendarAdvance(Calendar,X393,NDays&amp;"D")</f>
        <v>42683</v>
      </c>
      <c r="Z393" s="109">
        <v>-4.3532096352860705E-3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42683</v>
      </c>
      <c r="Y394" s="108">
        <f>_xll.qlCalendarAdvance(Calendar,X394,NDays&amp;"D")</f>
        <v>42684</v>
      </c>
      <c r="Z394" s="109">
        <v>-4.3478354992299018E-3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42684</v>
      </c>
      <c r="Y395" s="108">
        <f>_xll.qlCalendarAdvance(Calendar,X395,NDays&amp;"D")</f>
        <v>42685</v>
      </c>
      <c r="Z395" s="109">
        <v>-4.3369795640391118E-3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42685</v>
      </c>
      <c r="Y396" s="108">
        <f>_xll.qlCalendarAdvance(Calendar,X396,NDays&amp;"D")</f>
        <v>42688</v>
      </c>
      <c r="Z396" s="109">
        <v>-4.3261664620652951E-3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42688</v>
      </c>
      <c r="Y397" s="108">
        <f>_xll.qlCalendarAdvance(Calendar,X397,NDays&amp;"D")</f>
        <v>42689</v>
      </c>
      <c r="Z397" s="109">
        <v>-4.3206716932653322E-3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42689</v>
      </c>
      <c r="Y398" s="108">
        <f>_xll.qlCalendarAdvance(Calendar,X398,NDays&amp;"D")</f>
        <v>42690</v>
      </c>
      <c r="Z398" s="109">
        <v>-4.3151227882498588E-3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42690</v>
      </c>
      <c r="Y399" s="108">
        <f>_xll.qlCalendarAdvance(Calendar,X399,NDays&amp;"D")</f>
        <v>42691</v>
      </c>
      <c r="Z399" s="109">
        <v>-4.3095197467790669E-3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42691</v>
      </c>
      <c r="Y400" s="108">
        <f>_xll.qlCalendarAdvance(Calendar,X400,NDays&amp;"D")</f>
        <v>42692</v>
      </c>
      <c r="Z400" s="109">
        <v>-4.2980818930082876E-3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42692</v>
      </c>
      <c r="Y401" s="108">
        <f>_xll.qlCalendarAdvance(Calendar,X401,NDays&amp;"D")</f>
        <v>42695</v>
      </c>
      <c r="Z401" s="109">
        <v>-4.2865662172220098E-3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42695</v>
      </c>
      <c r="Y402" s="108">
        <f>_xll.qlCalendarAdvance(Calendar,X402,NDays&amp;"D")</f>
        <v>42696</v>
      </c>
      <c r="Z402" s="109">
        <v>-4.2806924939142732E-3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42696</v>
      </c>
      <c r="Y403" s="108">
        <f>_xll.qlCalendarAdvance(Calendar,X403,NDays&amp;"D")</f>
        <v>42697</v>
      </c>
      <c r="Z403" s="109">
        <v>-4.27476463411125E-3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42697</v>
      </c>
      <c r="Y404" s="108">
        <f>_xll.qlCalendarAdvance(Calendar,X404,NDays&amp;"D")</f>
        <v>42698</v>
      </c>
      <c r="Z404" s="109">
        <v>-4.2687826379728122E-3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42698</v>
      </c>
      <c r="Y405" s="108">
        <f>_xll.qlCalendarAdvance(Calendar,X405,NDays&amp;"D")</f>
        <v>42699</v>
      </c>
      <c r="Z405" s="109">
        <v>-4.2565878608114005E-3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42699</v>
      </c>
      <c r="Y406" s="108">
        <f>_xll.qlCalendarAdvance(Calendar,X406,NDays&amp;"D")</f>
        <v>42702</v>
      </c>
      <c r="Z406" s="109">
        <v>-4.2443132895053637E-3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42702</v>
      </c>
      <c r="Y407" s="108">
        <f>_xll.qlCalendarAdvance(Calendar,X407,NDays&amp;"D")</f>
        <v>42703</v>
      </c>
      <c r="Z407" s="109">
        <v>-4.2380606113701091E-3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42703</v>
      </c>
      <c r="Y408" s="108">
        <f>_xll.qlCalendarAdvance(Calendar,X408,NDays&amp;"D")</f>
        <v>42704</v>
      </c>
      <c r="Z408" s="109">
        <v>-4.2317537968594721E-3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42704</v>
      </c>
      <c r="Y409" s="108">
        <f>_xll.qlCalendarAdvance(Calendar,X409,NDays&amp;"D")</f>
        <v>42705</v>
      </c>
      <c r="Z409" s="109">
        <v>-4.2253928458935164E-3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42705</v>
      </c>
      <c r="Y410" s="108">
        <f>_xll.qlCalendarAdvance(Calendar,X410,NDays&amp;"D")</f>
        <v>42706</v>
      </c>
      <c r="Z410" s="109">
        <v>-4.2124411976462994E-3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42706</v>
      </c>
      <c r="Y411" s="108">
        <f>_xll.qlCalendarAdvance(Calendar,X411,NDays&amp;"D")</f>
        <v>42709</v>
      </c>
      <c r="Z411" s="109">
        <v>-4.199407677916156E-3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42709</v>
      </c>
      <c r="Y412" s="108">
        <f>_xll.qlCalendarAdvance(Calendar,X412,NDays&amp;"D")</f>
        <v>42710</v>
      </c>
      <c r="Z412" s="109">
        <v>-4.1927760449933515E-3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42710</v>
      </c>
      <c r="Y413" s="108">
        <f>_xll.qlCalendarAdvance(Calendar,X413,NDays&amp;"D")</f>
        <v>42711</v>
      </c>
      <c r="Z413" s="109">
        <v>-4.1860902754553564E-3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42711</v>
      </c>
      <c r="Y414" s="108">
        <f>_xll.qlCalendarAdvance(Calendar,X414,NDays&amp;"D")</f>
        <v>42712</v>
      </c>
      <c r="Z414" s="109">
        <v>-4.1793503695419787E-3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42712</v>
      </c>
      <c r="Y415" s="108">
        <f>_xll.qlCalendarAdvance(Calendar,X415,NDays&amp;"D")</f>
        <v>42713</v>
      </c>
      <c r="Z415" s="109">
        <v>-4.1656419005020595E-3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42713</v>
      </c>
      <c r="Y416" s="108">
        <f>_xll.qlCalendarAdvance(Calendar,X416,NDays&amp;"D")</f>
        <v>42716</v>
      </c>
      <c r="Z416" s="109">
        <v>-4.1518493816550261E-3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42716</v>
      </c>
      <c r="Y417" s="108">
        <f>_xll.qlCalendarAdvance(Calendar,X417,NDays&amp;"D")</f>
        <v>42717</v>
      </c>
      <c r="Z417" s="109">
        <v>-4.1448387935050235E-3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42717</v>
      </c>
      <c r="Y418" s="108">
        <f>_xll.qlCalendarAdvance(Calendar,X418,NDays&amp;"D")</f>
        <v>42718</v>
      </c>
      <c r="Z418" s="109">
        <v>-4.1377740689796383E-3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42718</v>
      </c>
      <c r="Y419" s="108">
        <f>_xll.qlCalendarAdvance(Calendar,X419,NDays&amp;"D")</f>
        <v>42719</v>
      </c>
      <c r="Z419" s="109">
        <v>-4.1306552079989345E-3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42719</v>
      </c>
      <c r="Y420" s="108">
        <f>_xll.qlCalendarAdvance(Calendar,X420,NDays&amp;"D")</f>
        <v>42720</v>
      </c>
      <c r="Z420" s="109">
        <v>-4.1161899663277879E-3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42720</v>
      </c>
      <c r="Y421" s="108">
        <f>_xll.qlCalendarAdvance(Calendar,X421,NDays&amp;"D")</f>
        <v>42723</v>
      </c>
      <c r="Z421" s="109">
        <v>-4.1016383994829653E-3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42723</v>
      </c>
      <c r="Y422" s="108">
        <f>_xll.qlCalendarAdvance(Calendar,X422,NDays&amp;"D")</f>
        <v>42724</v>
      </c>
      <c r="Z422" s="109">
        <v>-4.0942488560657964E-3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42724</v>
      </c>
      <c r="Y423" s="108">
        <f>_xll.qlCalendarAdvance(Calendar,X423,NDays&amp;"D")</f>
        <v>42725</v>
      </c>
      <c r="Z423" s="109">
        <v>-4.0868051763132129E-3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42725</v>
      </c>
      <c r="Y424" s="108">
        <f>_xll.qlCalendarAdvance(Calendar,X424,NDays&amp;"D")</f>
        <v>42726</v>
      </c>
      <c r="Z424" s="109">
        <v>-4.0793073601053109E-3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42726</v>
      </c>
      <c r="Y425" s="108">
        <f>_xll.qlCalendarAdvance(Calendar,X425,NDays&amp;"D")</f>
        <v>42727</v>
      </c>
      <c r="Z425" s="109">
        <v>-4.060223446096245E-3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42727</v>
      </c>
      <c r="Y426" s="108">
        <f>_xll.qlCalendarAdvance(Calendar,X426,NDays&amp;"D")</f>
        <v>42731</v>
      </c>
      <c r="Z426" s="109">
        <v>-4.0410062315565654E-3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42731</v>
      </c>
      <c r="Y427" s="108">
        <f>_xll.qlCalendarAdvance(Calendar,X427,NDays&amp;"D")</f>
        <v>42732</v>
      </c>
      <c r="Z427" s="109">
        <v>-4.0331835963769436E-3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42732</v>
      </c>
      <c r="Y428" s="108">
        <f>_xll.qlCalendarAdvance(Calendar,X428,NDays&amp;"D")</f>
        <v>42733</v>
      </c>
      <c r="Z428" s="109">
        <v>-4.0253068247020352E-3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42733</v>
      </c>
      <c r="Y429" s="108">
        <f>_xll.qlCalendarAdvance(Calendar,X429,NDays&amp;"D")</f>
        <v>42734</v>
      </c>
      <c r="Z429" s="109">
        <v>-4.0052773686483079E-3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42734</v>
      </c>
      <c r="Y430" s="108">
        <f>_xll.qlCalendarAdvance(Calendar,X430,NDays&amp;"D")</f>
        <v>42738</v>
      </c>
      <c r="Z430" s="109">
        <v>-3.9851109186583855E-3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42738</v>
      </c>
      <c r="Y431" s="108">
        <f>_xll.qlCalendarAdvance(Calendar,X431,NDays&amp;"D")</f>
        <v>42739</v>
      </c>
      <c r="Z431" s="109">
        <v>-3.9769093278918533E-3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42739</v>
      </c>
      <c r="Y432" s="108">
        <f>_xll.qlCalendarAdvance(Calendar,X432,NDays&amp;"D")</f>
        <v>42740</v>
      </c>
      <c r="Z432" s="109">
        <v>-3.9686536006300344E-3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42740</v>
      </c>
      <c r="Y433" s="108">
        <f>_xll.qlCalendarAdvance(Calendar,X433,NDays&amp;"D")</f>
        <v>42741</v>
      </c>
      <c r="Z433" s="109">
        <v>-3.9519183078917663E-3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42741</v>
      </c>
      <c r="Y434" s="108">
        <f>_xll.qlCalendarAdvance(Calendar,X434,NDays&amp;"D")</f>
        <v>42744</v>
      </c>
      <c r="Z434" s="109">
        <v>-3.9350893262701803E-3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42744</v>
      </c>
      <c r="Y435" s="108">
        <f>_xll.qlCalendarAdvance(Calendar,X435,NDays&amp;"D")</f>
        <v>42745</v>
      </c>
      <c r="Z435" s="109">
        <v>-3.926562916252152E-3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42745</v>
      </c>
      <c r="Y436" s="108">
        <f>_xll.qlCalendarAdvance(Calendar,X436,NDays&amp;"D")</f>
        <v>42746</v>
      </c>
      <c r="Z436" s="109">
        <v>-3.9179823697788052E-3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42746</v>
      </c>
      <c r="Y437" s="108">
        <f>_xll.qlCalendarAdvance(Calendar,X437,NDays&amp;"D")</f>
        <v>42747</v>
      </c>
      <c r="Z437" s="109">
        <v>-3.9093476866502996E-3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42747</v>
      </c>
      <c r="Y438" s="108">
        <f>_xll.qlCalendarAdvance(Calendar,X438,NDays&amp;"D")</f>
        <v>42748</v>
      </c>
      <c r="Z438" s="109">
        <v>-3.8918557909850549E-3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42748</v>
      </c>
      <c r="Y439" s="108">
        <f>_xll.qlCalendarAdvance(Calendar,X439,NDays&amp;"D")</f>
        <v>42751</v>
      </c>
      <c r="Z439" s="109">
        <v>-3.8742675888636668E-3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42751</v>
      </c>
      <c r="Y440" s="108">
        <f>_xll.qlCalendarAdvance(Calendar,X440,NDays&amp;"D")</f>
        <v>42752</v>
      </c>
      <c r="Z440" s="109">
        <v>-3.865362223058888E-3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42752</v>
      </c>
      <c r="Y441" s="108">
        <f>_xll.qlCalendarAdvance(Calendar,X441,NDays&amp;"D")</f>
        <v>42753</v>
      </c>
      <c r="Z441" s="109">
        <v>-3.8564027205589824E-3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42753</v>
      </c>
      <c r="Y442" s="108">
        <f>_xll.qlCalendarAdvance(Calendar,X442,NDays&amp;"D")</f>
        <v>42754</v>
      </c>
      <c r="Z442" s="109">
        <v>-3.8473890814838541E-3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42754</v>
      </c>
      <c r="Y443" s="108">
        <f>_xll.qlCalendarAdvance(Calendar,X443,NDays&amp;"D")</f>
        <v>42755</v>
      </c>
      <c r="Z443" s="109">
        <v>-3.8291406188895039E-3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42755</v>
      </c>
      <c r="Y444" s="108">
        <f>_xll.qlCalendarAdvance(Calendar,X444,NDays&amp;"D")</f>
        <v>42758</v>
      </c>
      <c r="Z444" s="109">
        <v>-3.8107931595510181E-3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42758</v>
      </c>
      <c r="Y445" s="108">
        <f>_xll.qlCalendarAdvance(Calendar,X445,NDays&amp;"D")</f>
        <v>42759</v>
      </c>
      <c r="Z445" s="109">
        <v>-3.8015088375997763E-3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42759</v>
      </c>
      <c r="Y446" s="108">
        <f>_xll.qlCalendarAdvance(Calendar,X446,NDays&amp;"D")</f>
        <v>42760</v>
      </c>
      <c r="Z446" s="109">
        <v>-3.7921703789534078E-3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42760</v>
      </c>
      <c r="Y447" s="108">
        <f>_xll.qlCalendarAdvance(Calendar,X447,NDays&amp;"D")</f>
        <v>42761</v>
      </c>
      <c r="Z447" s="109">
        <v>-3.7827777838517207E-3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42761</v>
      </c>
      <c r="Y448" s="108">
        <f>_xll.qlCalendarAdvance(Calendar,X448,NDays&amp;"D")</f>
        <v>42762</v>
      </c>
      <c r="Z448" s="109">
        <v>-3.7637727874084703E-3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42762</v>
      </c>
      <c r="Y449" s="108">
        <f>_xll.qlCalendarAdvance(Calendar,X449,NDays&amp;"D")</f>
        <v>42765</v>
      </c>
      <c r="Z449" s="109">
        <v>-3.7446660368534168E-3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42765</v>
      </c>
      <c r="Y450" s="108">
        <f>_xll.qlCalendarAdvance(Calendar,X450,NDays&amp;"D")</f>
        <v>42766</v>
      </c>
      <c r="Z450" s="109">
        <v>-3.735002758515904E-3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42766</v>
      </c>
      <c r="Y451" s="108">
        <f>_xll.qlCalendarAdvance(Calendar,X451,NDays&amp;"D")</f>
        <v>42767</v>
      </c>
      <c r="Z451" s="109">
        <v>-3.7252853435632005E-3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42767</v>
      </c>
      <c r="Y452" s="108">
        <f>_xll.qlCalendarAdvance(Calendar,X452,NDays&amp;"D")</f>
        <v>42768</v>
      </c>
      <c r="Z452" s="109">
        <v>-3.7155137919553383E-3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42768</v>
      </c>
      <c r="Y453" s="108">
        <f>_xll.qlCalendarAdvance(Calendar,X453,NDays&amp;"D")</f>
        <v>42769</v>
      </c>
      <c r="Z453" s="109">
        <v>-3.6957522922786978E-3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42769</v>
      </c>
      <c r="Y454" s="108">
        <f>_xll.qlCalendarAdvance(Calendar,X454,NDays&amp;"D")</f>
        <v>42772</v>
      </c>
      <c r="Z454" s="109">
        <v>-3.675886219252078E-3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42772</v>
      </c>
      <c r="Y455" s="108">
        <f>_xll.qlCalendarAdvance(Calendar,X455,NDays&amp;"D")</f>
        <v>42773</v>
      </c>
      <c r="Z455" s="109">
        <v>-3.665843984328454E-3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42773</v>
      </c>
      <c r="Y456" s="108">
        <f>_xll.qlCalendarAdvance(Calendar,X456,NDays&amp;"D")</f>
        <v>42774</v>
      </c>
      <c r="Z456" s="109">
        <v>-3.6557476129095434E-3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42774</v>
      </c>
      <c r="Y457" s="108">
        <f>_xll.qlCalendarAdvance(Calendar,X457,NDays&amp;"D")</f>
        <v>42775</v>
      </c>
      <c r="Z457" s="109">
        <v>-3.64559710471557E-3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42775</v>
      </c>
      <c r="Y458" s="108">
        <f>_xll.qlCalendarAdvance(Calendar,X458,NDays&amp;"D")</f>
        <v>42776</v>
      </c>
      <c r="Z458" s="109">
        <v>-3.6250791289038631E-3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42776</v>
      </c>
      <c r="Y459" s="108">
        <f>_xll.qlCalendarAdvance(Calendar,X459,NDays&amp;"D")</f>
        <v>42779</v>
      </c>
      <c r="Z459" s="109">
        <v>-3.6044833344872629E-3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42779</v>
      </c>
      <c r="Y460" s="108">
        <f>_xll.qlCalendarAdvance(Calendar,X460,NDays&amp;"D")</f>
        <v>42780</v>
      </c>
      <c r="Z460" s="109">
        <v>-3.5942399184518692E-3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42780</v>
      </c>
      <c r="Y461" s="108">
        <f>_xll.qlCalendarAdvance(Calendar,X461,NDays&amp;"D")</f>
        <v>42781</v>
      </c>
      <c r="Z461" s="109">
        <v>-3.5841201414354984E-3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42781</v>
      </c>
      <c r="Y462" s="108">
        <f>_xll.qlCalendarAdvance(Calendar,X462,NDays&amp;"D")</f>
        <v>42782</v>
      </c>
      <c r="Z462" s="109">
        <v>-3.5741240031583743E-3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42782</v>
      </c>
      <c r="Y463" s="108">
        <f>_xll.qlCalendarAdvance(Calendar,X463,NDays&amp;"D")</f>
        <v>42783</v>
      </c>
      <c r="Z463" s="109">
        <v>-3.5545087602750769E-3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42783</v>
      </c>
      <c r="Y464" s="108">
        <f>_xll.qlCalendarAdvance(Calendar,X464,NDays&amp;"D")</f>
        <v>42786</v>
      </c>
      <c r="Z464" s="109">
        <v>-3.5353758400402668E-3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42786</v>
      </c>
      <c r="Y465" s="108">
        <f>_xll.qlCalendarAdvance(Calendar,X465,NDays&amp;"D")</f>
        <v>42787</v>
      </c>
      <c r="Z465" s="109">
        <v>-3.525997896498545E-3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42787</v>
      </c>
      <c r="Y466" s="108">
        <f>_xll.qlCalendarAdvance(Calendar,X466,NDays&amp;"D")</f>
        <v>42788</v>
      </c>
      <c r="Z466" s="109">
        <v>-3.5167435920957502E-3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42788</v>
      </c>
      <c r="Y467" s="108">
        <f>_xll.qlCalendarAdvance(Calendar,X467,NDays&amp;"D")</f>
        <v>42789</v>
      </c>
      <c r="Z467" s="109">
        <v>-3.5076129267119782E-3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42789</v>
      </c>
      <c r="Y468" s="108">
        <f>_xll.qlCalendarAdvance(Calendar,X468,NDays&amp;"D")</f>
        <v>42790</v>
      </c>
      <c r="Z468" s="109">
        <v>-3.4897298969349677E-3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42790</v>
      </c>
      <c r="Y469" s="108">
        <f>_xll.qlCalendarAdvance(Calendar,X469,NDays&amp;"D")</f>
        <v>42793</v>
      </c>
      <c r="Z469" s="109">
        <v>-3.4723266549274712E-3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42793</v>
      </c>
      <c r="Y470" s="108">
        <f>_xll.qlCalendarAdvance(Calendar,X470,NDays&amp;"D")</f>
        <v>42794</v>
      </c>
      <c r="Z470" s="109">
        <v>-3.4638141846787818E-3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42794</v>
      </c>
      <c r="Y471" s="108">
        <f>_xll.qlCalendarAdvance(Calendar,X471,NDays&amp;"D")</f>
        <v>42795</v>
      </c>
      <c r="Z471" s="109">
        <v>-3.4554253532892432E-3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42795</v>
      </c>
      <c r="Y472" s="108">
        <f>_xll.qlCalendarAdvance(Calendar,X472,NDays&amp;"D")</f>
        <v>42796</v>
      </c>
      <c r="Z472" s="109">
        <v>-3.4471601610386315E-3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42796</v>
      </c>
      <c r="Y473" s="108">
        <f>_xll.qlCalendarAdvance(Calendar,X473,NDays&amp;"D")</f>
        <v>42797</v>
      </c>
      <c r="Z473" s="109">
        <v>-3.4310092067446618E-3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42797</v>
      </c>
      <c r="Y474" s="108">
        <f>_xll.qlCalendarAdvance(Calendar,X474,NDays&amp;"D")</f>
        <v>42800</v>
      </c>
      <c r="Z474" s="109">
        <v>-3.4153357826660624E-3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42800</v>
      </c>
      <c r="Y475" s="108">
        <f>_xll.qlCalendarAdvance(Calendar,X475,NDays&amp;"D")</f>
        <v>42801</v>
      </c>
      <c r="Z475" s="109">
        <v>-3.4076887858303095E-3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42801</v>
      </c>
      <c r="Y476" s="108">
        <f>_xll.qlCalendarAdvance(Calendar,X476,NDays&amp;"D")</f>
        <v>42802</v>
      </c>
      <c r="Z476" s="109">
        <v>-3.4001654280135796E-3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42802</v>
      </c>
      <c r="Y477" s="108">
        <f>_xll.qlCalendarAdvance(Calendar,X477,NDays&amp;"D")</f>
        <v>42803</v>
      </c>
      <c r="Z477" s="109">
        <v>-3.3927657093757446E-3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42803</v>
      </c>
      <c r="Y478" s="108">
        <f>_xll.qlCalendarAdvance(Calendar,X478,NDays&amp;"D")</f>
        <v>42804</v>
      </c>
      <c r="Z478" s="109">
        <v>-3.3783466985770616E-3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42804</v>
      </c>
      <c r="Y479" s="108">
        <f>_xll.qlCalendarAdvance(Calendar,X479,NDays&amp;"D")</f>
        <v>42807</v>
      </c>
      <c r="Z479" s="109">
        <v>-3.3644032259338985E-3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42807</v>
      </c>
      <c r="Y480" s="108">
        <f>_xll.qlCalendarAdvance(Calendar,X480,NDays&amp;"D")</f>
        <v>42808</v>
      </c>
      <c r="Z480" s="109">
        <v>-3.3576217029906985E-3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42808</v>
      </c>
      <c r="Y481" s="108">
        <f>_xll.qlCalendarAdvance(Calendar,X481,NDays&amp;"D")</f>
        <v>42809</v>
      </c>
      <c r="Z481" s="109">
        <v>-3.3509638190665214E-3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42809</v>
      </c>
      <c r="Y482" s="108">
        <f>_xll.qlCalendarAdvance(Calendar,X482,NDays&amp;"D")</f>
        <v>42810</v>
      </c>
      <c r="Z482" s="109">
        <v>-3.3444295744411434E-3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42810</v>
      </c>
      <c r="Y483" s="108">
        <f>_xll.qlCalendarAdvance(Calendar,X483,NDays&amp;"D")</f>
        <v>42811</v>
      </c>
      <c r="Z483" s="109">
        <v>-3.3317423804124502E-3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42811</v>
      </c>
      <c r="Y484" s="108">
        <f>_xll.qlCalendarAdvance(Calendar,X484,NDays&amp;"D")</f>
        <v>42814</v>
      </c>
      <c r="Z484" s="109">
        <v>-3.3195289873688694E-3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42814</v>
      </c>
      <c r="Y485" s="108">
        <f>_xll.qlCalendarAdvance(Calendar,X485,NDays&amp;"D")</f>
        <v>42815</v>
      </c>
      <c r="Z485" s="109">
        <v>-3.3136129386379665E-3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42815</v>
      </c>
      <c r="Y486" s="108">
        <f>_xll.qlCalendarAdvance(Calendar,X486,NDays&amp;"D")</f>
        <v>42816</v>
      </c>
      <c r="Z486" s="109">
        <v>-3.3078205290060225E-3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42816</v>
      </c>
      <c r="Y487" s="108">
        <f>_xll.qlCalendarAdvance(Calendar,X487,NDays&amp;"D")</f>
        <v>42817</v>
      </c>
      <c r="Z487" s="109">
        <v>-3.3021517585929416E-3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42817</v>
      </c>
      <c r="Y488" s="108">
        <f>_xll.qlCalendarAdvance(Calendar,X488,NDays&amp;"D")</f>
        <v>42818</v>
      </c>
      <c r="Z488" s="109">
        <v>-3.2911962593251687E-3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42818</v>
      </c>
      <c r="Y489" s="108">
        <f>_xll.qlCalendarAdvance(Calendar,X489,NDays&amp;"D")</f>
        <v>42821</v>
      </c>
      <c r="Z489" s="109">
        <v>-3.2807130692491526E-3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42821</v>
      </c>
      <c r="Y490" s="108">
        <f>_xll.qlCalendarAdvance(Calendar,X490,NDays&amp;"D")</f>
        <v>42822</v>
      </c>
      <c r="Z490" s="109">
        <v>-3.275662494930387E-3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42822</v>
      </c>
      <c r="Y491" s="108">
        <f>_xll.qlCalendarAdvance(Calendar,X491,NDays&amp;"D")</f>
        <v>42823</v>
      </c>
      <c r="Z491" s="109">
        <v>-3.2707355599503884E-3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42823</v>
      </c>
      <c r="Y492" s="108">
        <f>_xll.qlCalendarAdvance(Calendar,X492,NDays&amp;"D")</f>
        <v>42824</v>
      </c>
      <c r="Z492" s="109">
        <v>-3.265932264189253E-3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42824</v>
      </c>
      <c r="Y493" s="108">
        <f>_xll.qlCalendarAdvance(Calendar,X493,NDays&amp;"D")</f>
        <v>42825</v>
      </c>
      <c r="Z493" s="109">
        <v>-3.2567083414036802E-3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42825</v>
      </c>
      <c r="Y494" s="108">
        <f>_xll.qlCalendarAdvance(Calendar,X494,NDays&amp;"D")</f>
        <v>42828</v>
      </c>
      <c r="Z494" s="109">
        <v>-3.2479554734532456E-3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42828</v>
      </c>
      <c r="Y495" s="108">
        <f>_xll.qlCalendarAdvance(Calendar,X495,NDays&amp;"D")</f>
        <v>42829</v>
      </c>
      <c r="Z495" s="109">
        <v>-3.2437703739462975E-3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42829</v>
      </c>
      <c r="Y496" s="108">
        <f>_xll.qlCalendarAdvance(Calendar,X496,NDays&amp;"D")</f>
        <v>42830</v>
      </c>
      <c r="Z496" s="109">
        <v>-3.2397089136981805E-3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42830</v>
      </c>
      <c r="Y497" s="108">
        <f>_xll.qlCalendarAdvance(Calendar,X497,NDays&amp;"D")</f>
        <v>42831</v>
      </c>
      <c r="Z497" s="109">
        <v>-3.2357710927488625E-3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42831</v>
      </c>
      <c r="Y498" s="108">
        <f>_xll.qlCalendarAdvance(Calendar,X498,NDays&amp;"D")</f>
        <v>42832</v>
      </c>
      <c r="Z498" s="109">
        <v>-3.2282786319370871E-3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42832</v>
      </c>
      <c r="Y499" s="108">
        <f>_xll.qlCalendarAdvance(Calendar,X499,NDays&amp;"D")</f>
        <v>42835</v>
      </c>
      <c r="Z499" s="109">
        <v>-3.2212562017397417E-3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42835</v>
      </c>
      <c r="Y500" s="108">
        <f>_xll.qlCalendarAdvance(Calendar,X500,NDays&amp;"D")</f>
        <v>42836</v>
      </c>
      <c r="Z500" s="109">
        <v>-3.2179365771645152E-3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42836</v>
      </c>
      <c r="Y501" s="108">
        <f>_xll.qlCalendarAdvance(Calendar,X501,NDays&amp;"D")</f>
        <v>42837</v>
      </c>
      <c r="Z501" s="109">
        <v>-3.2147405919680239E-3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42837</v>
      </c>
      <c r="Y502" s="108">
        <f>_xll.qlCalendarAdvance(Calendar,X502,NDays&amp;"D")</f>
        <v>42838</v>
      </c>
      <c r="Z502" s="109">
        <v>-3.2059610088435164E-3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42838</v>
      </c>
      <c r="Y503" s="108">
        <f>_xll.qlCalendarAdvance(Calendar,X503,NDays&amp;"D")</f>
        <v>42843</v>
      </c>
      <c r="Z503" s="109">
        <v>-3.198161105943953E-3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42843</v>
      </c>
      <c r="Y504" s="108">
        <f>_xll.qlCalendarAdvance(Calendar,X504,NDays&amp;"D")</f>
        <v>42844</v>
      </c>
      <c r="Z504" s="109">
        <v>-3.1958305959189914E-3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42844</v>
      </c>
      <c r="Y505" s="108">
        <f>_xll.qlCalendarAdvance(Calendar,X505,NDays&amp;"D")</f>
        <v>42845</v>
      </c>
      <c r="Z505" s="109">
        <v>-3.193623725192829E-3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42845</v>
      </c>
      <c r="Y506" s="108">
        <f>_xll.qlCalendarAdvance(Calendar,X506,NDays&amp;"D")</f>
        <v>42846</v>
      </c>
      <c r="Z506" s="109">
        <v>-3.1895938545822844E-3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42846</v>
      </c>
      <c r="Y507" s="108">
        <f>_xll.qlCalendarAdvance(Calendar,X507,NDays&amp;"D")</f>
        <v>42849</v>
      </c>
      <c r="Z507" s="109">
        <v>-3.1860326353161383E-3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42849</v>
      </c>
      <c r="Y508" s="108">
        <f>_xll.qlCalendarAdvance(Calendar,X508,NDays&amp;"D")</f>
        <v>42850</v>
      </c>
      <c r="Z508" s="109">
        <v>-3.1844439613637476E-3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42850</v>
      </c>
      <c r="Y509" s="108">
        <f>_xll.qlCalendarAdvance(Calendar,X509,NDays&amp;"D")</f>
        <v>42851</v>
      </c>
      <c r="Z509" s="109">
        <v>-3.1829789264703479E-3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42851</v>
      </c>
      <c r="Y510" s="108">
        <f>_xll.qlCalendarAdvance(Calendar,X510,NDays&amp;"D")</f>
        <v>42852</v>
      </c>
      <c r="Z510" s="109">
        <v>-3.1816375311155554E-3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42852</v>
      </c>
      <c r="Y511" s="108">
        <f>_xll.qlCalendarAdvance(Calendar,X511,NDays&amp;"D")</f>
        <v>42853</v>
      </c>
      <c r="Z511" s="109">
        <v>-3.1788601334536981E-3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42853</v>
      </c>
      <c r="Y512" s="108">
        <f>_xll.qlCalendarAdvance(Calendar,X512,NDays&amp;"D")</f>
        <v>42857</v>
      </c>
      <c r="Z512" s="109">
        <v>-3.1767851438235795E-3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42857</v>
      </c>
      <c r="Y513" s="108">
        <f>_xll.qlCalendarAdvance(Calendar,X513,NDays&amp;"D")</f>
        <v>42858</v>
      </c>
      <c r="Z513" s="109">
        <v>-3.1761855843814857E-3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42858</v>
      </c>
      <c r="Y514" s="108">
        <f>_xll.qlCalendarAdvance(Calendar,X514,NDays&amp;"D")</f>
        <v>42859</v>
      </c>
      <c r="Z514" s="109">
        <v>-3.1757096643580951E-3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42859</v>
      </c>
      <c r="Y515" s="108">
        <f>_xll.qlCalendarAdvance(Calendar,X515,NDays&amp;"D")</f>
        <v>42860</v>
      </c>
      <c r="Z515" s="109">
        <v>-3.1751419506553802E-3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42860</v>
      </c>
      <c r="Y516" s="108">
        <f>_xll.qlCalendarAdvance(Calendar,X516,NDays&amp;"D")</f>
        <v>42863</v>
      </c>
      <c r="Z516" s="109">
        <v>-3.175042377492332E-3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42863</v>
      </c>
      <c r="Y517" s="108">
        <f>_xll.qlCalendarAdvance(Calendar,X517,NDays&amp;"D")</f>
        <v>42864</v>
      </c>
      <c r="Z517" s="109">
        <v>-3.1751846540029049E-3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42864</v>
      </c>
      <c r="Y518" s="108">
        <f>_xll.qlCalendarAdvance(Calendar,X518,NDays&amp;"D")</f>
        <v>42865</v>
      </c>
      <c r="Z518" s="109">
        <v>-3.1754505700121172E-3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42865</v>
      </c>
      <c r="Y519" s="108">
        <f>_xll.qlCalendarAdvance(Calendar,X519,NDays&amp;"D")</f>
        <v>42866</v>
      </c>
      <c r="Z519" s="109">
        <v>-3.1758401253201285E-3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42866</v>
      </c>
      <c r="Y520" s="108">
        <f>_xll.qlCalendarAdvance(Calendar,X520,NDays&amp;"D")</f>
        <v>42867</v>
      </c>
      <c r="Z520" s="109">
        <v>-3.1770033295464017E-3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42867</v>
      </c>
      <c r="Y521" s="108">
        <f>_xll.qlCalendarAdvance(Calendar,X521,NDays&amp;"D")</f>
        <v>42870</v>
      </c>
      <c r="Z521" s="109">
        <v>-3.1786096978914102E-3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42870</v>
      </c>
      <c r="Y522" s="108">
        <f>_xll.qlCalendarAdvance(Calendar,X522,NDays&amp;"D")</f>
        <v>42871</v>
      </c>
      <c r="Z522" s="109">
        <v>-3.179467197802488E-3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42871</v>
      </c>
      <c r="Y523" s="108">
        <f>_xll.qlCalendarAdvance(Calendar,X523,NDays&amp;"D")</f>
        <v>42872</v>
      </c>
      <c r="Z523" s="109">
        <v>-3.1802980848416595E-3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42872</v>
      </c>
      <c r="Y524" s="108">
        <f>_xll.qlCalendarAdvance(Calendar,X524,NDays&amp;"D")</f>
        <v>42873</v>
      </c>
      <c r="Z524" s="109">
        <v>-3.1811023590488929E-3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42873</v>
      </c>
      <c r="Y525" s="108">
        <f>_xll.qlCalendarAdvance(Calendar,X525,NDays&amp;"D")</f>
        <v>42874</v>
      </c>
      <c r="Z525" s="109">
        <v>-3.1825940620233695E-3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42874</v>
      </c>
      <c r="Y526" s="108">
        <f>_xll.qlCalendarAdvance(Calendar,X526,NDays&amp;"D")</f>
        <v>42877</v>
      </c>
      <c r="Z526" s="109">
        <v>-3.1840533280780292E-3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42877</v>
      </c>
      <c r="Y527" s="108">
        <f>_xll.qlCalendarAdvance(Calendar,X527,NDays&amp;"D")</f>
        <v>42878</v>
      </c>
      <c r="Z527" s="109">
        <v>-3.184724538405348E-3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42878</v>
      </c>
      <c r="Y528" s="108">
        <f>_xll.qlCalendarAdvance(Calendar,X528,NDays&amp;"D")</f>
        <v>42879</v>
      </c>
      <c r="Z528" s="109">
        <v>-3.1856640330074626E-3</v>
      </c>
      <c r="AA528" s="112"/>
    </row>
    <row r="529" spans="22:27" x14ac:dyDescent="0.2">
      <c r="V529" s="97"/>
      <c r="W529" s="92" t="s">
        <v>152</v>
      </c>
      <c r="X529" s="102">
        <f>_xll.qlCalendarAdvance(Calendar,X528,W529,"f",FALSE)</f>
        <v>42885</v>
      </c>
      <c r="Y529" s="108">
        <f>_xll.qlCalendarAdvance(Calendar,X529,NDays&amp;"D")</f>
        <v>42886</v>
      </c>
      <c r="Z529" s="109">
        <v>-3.1891361597535806E-3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42892</v>
      </c>
      <c r="Y530" s="108">
        <f>_xll.qlCalendarAdvance(Calendar,X530,NDays&amp;"D")</f>
        <v>42893</v>
      </c>
      <c r="Z530" s="109">
        <v>-3.1915991564801516E-3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42899</v>
      </c>
      <c r="Y531" s="108">
        <f>_xll.qlCalendarAdvance(Calendar,X531,NDays&amp;"D")</f>
        <v>42900</v>
      </c>
      <c r="Z531" s="109">
        <v>-3.1927581262003457E-3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42906</v>
      </c>
      <c r="Y532" s="108">
        <f>_xll.qlCalendarAdvance(Calendar,X532,NDays&amp;"D")</f>
        <v>42907</v>
      </c>
      <c r="Z532" s="109">
        <v>-3.1926130687942589E-3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42913</v>
      </c>
      <c r="Y533" s="108">
        <f>_xll.qlCalendarAdvance(Calendar,X533,NDays&amp;"D")</f>
        <v>42914</v>
      </c>
      <c r="Z533" s="109">
        <v>-3.1911639842618911E-3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42920</v>
      </c>
      <c r="Y534" s="108">
        <f>_xll.qlCalendarAdvance(Calendar,X534,NDays&amp;"D")</f>
        <v>42921</v>
      </c>
      <c r="Z534" s="109">
        <v>-3.1884108727231464E-3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42927</v>
      </c>
      <c r="Y535" s="108">
        <f>_xll.qlCalendarAdvance(Calendar,X535,NDays&amp;"D")</f>
        <v>42928</v>
      </c>
      <c r="Z535" s="109">
        <v>-3.1843537339382166E-3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42934</v>
      </c>
      <c r="Y536" s="108">
        <f>_xll.qlCalendarAdvance(Calendar,X536,NDays&amp;"D")</f>
        <v>42935</v>
      </c>
      <c r="Z536" s="109">
        <v>-3.1789925680270059E-3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42941</v>
      </c>
      <c r="Y537" s="108">
        <f>_xll.qlCalendarAdvance(Calendar,X537,NDays&amp;"D")</f>
        <v>42942</v>
      </c>
      <c r="Z537" s="109">
        <v>-3.1723273749095782E-3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42949</v>
      </c>
      <c r="Y538" s="108">
        <f>_xll.qlCalendarAdvance(Calendar,X538,NDays&amp;"D")</f>
        <v>42950</v>
      </c>
      <c r="Z538" s="109">
        <v>-3.1631132432119458E-3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42956</v>
      </c>
      <c r="Y539" s="108">
        <f>_xll.qlCalendarAdvance(Calendar,X539,NDays&amp;"D")</f>
        <v>42957</v>
      </c>
      <c r="Z539" s="109">
        <v>-3.1536537058585168E-3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42963</v>
      </c>
      <c r="Y540" s="108">
        <f>_xll.qlCalendarAdvance(Calendar,X540,NDays&amp;"D")</f>
        <v>42964</v>
      </c>
      <c r="Z540" s="109">
        <v>-3.1428901408192544E-3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42970</v>
      </c>
      <c r="Y541" s="108">
        <f>_xll.qlCalendarAdvance(Calendar,X541,NDays&amp;"D")</f>
        <v>42971</v>
      </c>
      <c r="Z541" s="109">
        <v>-3.1308225482540308E-3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42977</v>
      </c>
      <c r="Y542" s="108">
        <f>_xll.qlCalendarAdvance(Calendar,X542,NDays&amp;"D")</f>
        <v>42978</v>
      </c>
      <c r="Z542" s="109">
        <v>-3.1174509280029739E-3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42984</v>
      </c>
      <c r="Y543" s="108">
        <f>_xll.qlCalendarAdvance(Calendar,X543,NDays&amp;"D")</f>
        <v>42985</v>
      </c>
      <c r="Z543" s="109">
        <v>-3.1027752797063712E-3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42991</v>
      </c>
      <c r="Y544" s="108">
        <f>_xll.qlCalendarAdvance(Calendar,X544,NDays&amp;"D")</f>
        <v>42992</v>
      </c>
      <c r="Z544" s="109">
        <v>-3.0867956034841271E-3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42998</v>
      </c>
      <c r="Y545" s="108">
        <f>_xll.qlCalendarAdvance(Calendar,X545,NDays&amp;"D")</f>
        <v>42999</v>
      </c>
      <c r="Z545" s="109">
        <v>-3.069511898896593E-3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43005</v>
      </c>
      <c r="Y546" s="108">
        <f>_xll.qlCalendarAdvance(Calendar,X546,NDays&amp;"D")</f>
        <v>43006</v>
      </c>
      <c r="Z546" s="109">
        <v>-3.0509241660237052E-3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43012</v>
      </c>
      <c r="Y547" s="108">
        <f>_xll.qlCalendarAdvance(Calendar,X547,NDays&amp;"D")</f>
        <v>43013</v>
      </c>
      <c r="Z547" s="109">
        <v>-3.0310324044657833E-3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43019</v>
      </c>
      <c r="Y548" s="108">
        <f>_xll.qlCalendarAdvance(Calendar,X548,NDays&amp;"D")</f>
        <v>43020</v>
      </c>
      <c r="Z548" s="109">
        <v>-3.0098366140629551E-3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43026</v>
      </c>
      <c r="Y549" s="108">
        <f>_xll.qlCalendarAdvance(Calendar,X549,NDays&amp;"D")</f>
        <v>43027</v>
      </c>
      <c r="Z549" s="109">
        <v>-2.9873367946153806E-3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43033</v>
      </c>
      <c r="Y550" s="108">
        <f>_xll.qlCalendarAdvance(Calendar,X550,NDays&amp;"D")</f>
        <v>43034</v>
      </c>
      <c r="Z550" s="109">
        <v>-2.9635329458832516E-3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43040</v>
      </c>
      <c r="Y551" s="108">
        <f>_xll.qlCalendarAdvance(Calendar,X551,NDays&amp;"D")</f>
        <v>43041</v>
      </c>
      <c r="Z551" s="109">
        <v>-2.9384250675068557E-3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43047</v>
      </c>
      <c r="Y552" s="108">
        <f>_xll.qlCalendarAdvance(Calendar,X552,NDays&amp;"D")</f>
        <v>43048</v>
      </c>
      <c r="Z552" s="109">
        <v>-2.912013159326321E-3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43054</v>
      </c>
      <c r="Y553" s="108">
        <f>_xll.qlCalendarAdvance(Calendar,X553,NDays&amp;"D")</f>
        <v>43055</v>
      </c>
      <c r="Z553" s="109">
        <v>-2.8842972210219031E-3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43061</v>
      </c>
      <c r="Y554" s="108">
        <f>_xll.qlCalendarAdvance(Calendar,X554,NDays&amp;"D")</f>
        <v>43062</v>
      </c>
      <c r="Z554" s="109">
        <v>-2.8552772523537939E-3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43068</v>
      </c>
      <c r="Y555" s="108">
        <f>_xll.qlCalendarAdvance(Calendar,X555,NDays&amp;"D")</f>
        <v>43069</v>
      </c>
      <c r="Z555" s="109">
        <v>-2.8249532528823451E-3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43075</v>
      </c>
      <c r="Y556" s="108">
        <f>_xll.qlCalendarAdvance(Calendar,X556,NDays&amp;"D")</f>
        <v>43076</v>
      </c>
      <c r="Z556" s="109">
        <v>-2.7933252222078764E-3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43082</v>
      </c>
      <c r="Y557" s="108">
        <f>_xll.qlCalendarAdvance(Calendar,X557,NDays&amp;"D")</f>
        <v>43083</v>
      </c>
      <c r="Z557" s="109">
        <v>-2.7603931602504517E-3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43089</v>
      </c>
      <c r="Y558" s="108">
        <f>_xll.qlCalendarAdvance(Calendar,X558,NDays&amp;"D")</f>
        <v>43090</v>
      </c>
      <c r="Z558" s="109">
        <v>-2.7261570664904866E-3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43096</v>
      </c>
      <c r="Y559" s="108">
        <f>_xll.qlCalendarAdvance(Calendar,X559,NDays&amp;"D")</f>
        <v>43097</v>
      </c>
      <c r="Z559" s="109">
        <v>-2.6906169405682689E-3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43103</v>
      </c>
      <c r="Y560" s="108">
        <f>_xll.qlCalendarAdvance(Calendar,X560,NDays&amp;"D")</f>
        <v>43104</v>
      </c>
      <c r="Z560" s="109">
        <v>-2.6537727820841184E-3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43110</v>
      </c>
      <c r="Y561" s="108">
        <f>_xll.qlCalendarAdvance(Calendar,X561,NDays&amp;"D")</f>
        <v>43111</v>
      </c>
      <c r="Z561" s="109">
        <v>-2.6156245907582587E-3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43117</v>
      </c>
      <c r="Y562" s="108">
        <f>_xll.qlCalendarAdvance(Calendar,X562,NDays&amp;"D")</f>
        <v>43118</v>
      </c>
      <c r="Z562" s="109">
        <v>-2.5761723659112334E-3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43124</v>
      </c>
      <c r="Y563" s="108">
        <f>_xll.qlCalendarAdvance(Calendar,X563,NDays&amp;"D")</f>
        <v>43125</v>
      </c>
      <c r="Z563" s="109">
        <v>-2.5354161075430426E-3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43131</v>
      </c>
      <c r="Y564" s="108">
        <f>_xll.qlCalendarAdvance(Calendar,X564,NDays&amp;"D")</f>
        <v>43132</v>
      </c>
      <c r="Z564" s="109">
        <v>-2.4933558147344215E-3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43138</v>
      </c>
      <c r="Y565" s="108">
        <f>_xll.qlCalendarAdvance(Calendar,X565,NDays&amp;"D")</f>
        <v>43139</v>
      </c>
      <c r="Z565" s="109">
        <v>-2.449991487325498E-3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43145</v>
      </c>
      <c r="Y566" s="108">
        <f>_xll.qlCalendarAdvance(Calendar,X566,NDays&amp;"D")</f>
        <v>43146</v>
      </c>
      <c r="Z566" s="109">
        <v>-2.4053231247567197E-3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43152</v>
      </c>
      <c r="Y567" s="108">
        <f>_xll.qlCalendarAdvance(Calendar,X567,NDays&amp;"D")</f>
        <v>43153</v>
      </c>
      <c r="Z567" s="109">
        <v>-2.3593507265484703E-3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43159</v>
      </c>
      <c r="Y568" s="108">
        <f>_xll.qlCalendarAdvance(Calendar,X568,NDays&amp;"D")</f>
        <v>43160</v>
      </c>
      <c r="Z568" s="109">
        <v>-2.3120742922211335E-3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43166</v>
      </c>
      <c r="Y569" s="108">
        <f>_xll.qlCalendarAdvance(Calendar,X569,NDays&amp;"D")</f>
        <v>43167</v>
      </c>
      <c r="Z569" s="109">
        <v>-2.2634938210952527E-3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43173</v>
      </c>
      <c r="Y570" s="108">
        <f>_xll.qlCalendarAdvance(Calendar,X570,NDays&amp;"D")</f>
        <v>43174</v>
      </c>
      <c r="Z570" s="109">
        <v>-2.2136093130509238E-3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43180</v>
      </c>
      <c r="Y571" s="108">
        <f>_xll.qlCalendarAdvance(Calendar,X571,NDays&amp;"D")</f>
        <v>43181</v>
      </c>
      <c r="Z571" s="109">
        <v>-2.1624207670889461E-3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43187</v>
      </c>
      <c r="Y572" s="108">
        <f>_xll.qlCalendarAdvance(Calendar,X572,NDays&amp;"D")</f>
        <v>43188</v>
      </c>
      <c r="Z572" s="109">
        <v>-2.0946397960370788E-3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43194</v>
      </c>
      <c r="Y573" s="108">
        <f>_xll.qlCalendarAdvance(Calendar,X573,NDays&amp;"D")</f>
        <v>43195</v>
      </c>
      <c r="Z573" s="109">
        <v>-2.0561315599332275E-3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43201</v>
      </c>
      <c r="Y574" s="108">
        <f>_xll.qlCalendarAdvance(Calendar,X574,NDays&amp;"D")</f>
        <v>43202</v>
      </c>
      <c r="Z574" s="109">
        <v>-2.0010308975004776E-3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43208</v>
      </c>
      <c r="Y575" s="108">
        <f>_xll.qlCalendarAdvance(Calendar,X575,NDays&amp;"D")</f>
        <v>43209</v>
      </c>
      <c r="Z575" s="109">
        <v>-1.9446261949918053E-3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43215</v>
      </c>
      <c r="Y576" s="108">
        <f>_xll.qlCalendarAdvance(Calendar,X576,NDays&amp;"D")</f>
        <v>43216</v>
      </c>
      <c r="Z576" s="109">
        <v>-1.8869174518476584E-3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43223</v>
      </c>
      <c r="Z577" s="109">
        <v>-1.8279046674685162E-3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43231</v>
      </c>
      <c r="Z578" s="109">
        <v>-1.7500975652939843E-3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43237</v>
      </c>
      <c r="Z579" s="109">
        <v>-1.7062185105576333E-3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43244</v>
      </c>
      <c r="Z580" s="109">
        <v>-1.645292308394275E-3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43251</v>
      </c>
      <c r="Z581" s="109">
        <v>-1.5850607735146127E-3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43258</v>
      </c>
      <c r="Z582" s="109">
        <v>-1.5255239059186465E-3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43265</v>
      </c>
      <c r="Z583" s="109">
        <v>-1.4666817060859927E-3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43272</v>
      </c>
      <c r="Z584" s="109">
        <v>-1.4085341743763635E-3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43279</v>
      </c>
      <c r="Z585" s="109">
        <v>-1.3510813111095032E-3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43286</v>
      </c>
      <c r="Z586" s="109">
        <v>-1.2943231166850921E-3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43293</v>
      </c>
      <c r="Z587" s="109">
        <v>-1.2382595913429384E-3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43300</v>
      </c>
      <c r="Z588" s="109">
        <v>-1.1828907354027862E-3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43307</v>
      </c>
      <c r="Z589" s="109">
        <v>-1.1282165493042839E-3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43315</v>
      </c>
      <c r="Z590" s="109">
        <v>-1.0589435176333595E-3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43322</v>
      </c>
      <c r="Z591" s="109">
        <v>-1.0058574537419318E-3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43329</v>
      </c>
      <c r="Z592" s="109">
        <v>-9.5346604130686075E-4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43336</v>
      </c>
      <c r="Z593" s="109">
        <v>-9.0176928120744293E-4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43343</v>
      </c>
      <c r="Z594" s="109">
        <v>-8.5076717438958838E-4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43350</v>
      </c>
      <c r="Z595" s="109">
        <v>-8.0045972171927104E-4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43357</v>
      </c>
      <c r="Z596" s="109">
        <v>-7.5084692407578757E-4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43364</v>
      </c>
      <c r="Z597" s="109">
        <v>-7.0192878224517585E-4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43371</v>
      </c>
      <c r="Z598" s="109">
        <v>-6.5370529719999126E-4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43378</v>
      </c>
      <c r="Z599" s="109">
        <v>-6.0617646971294903E-4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43385</v>
      </c>
      <c r="Z600" s="109">
        <v>-5.5934230061005508E-4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43392</v>
      </c>
      <c r="Z601" s="109">
        <v>-5.1320279069066999E-4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43399</v>
      </c>
      <c r="Z602" s="109">
        <v>-4.6775794080744504E-4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43406</v>
      </c>
      <c r="Z603" s="109">
        <v>-4.2300775169312743E-4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43413</v>
      </c>
      <c r="Z604" s="109">
        <v>-3.789522241737231E-4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43420</v>
      </c>
      <c r="Z605" s="109">
        <v>-3.355913589953019E-4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43427</v>
      </c>
      <c r="Z606" s="109">
        <v>-2.9292515689061105E-4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43434</v>
      </c>
      <c r="Z607" s="109">
        <v>-2.5095361860572041E-4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43441</v>
      </c>
      <c r="Z608" s="109">
        <v>-2.0967674487337717E-4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43448</v>
      </c>
      <c r="Z609" s="109">
        <v>-1.690945364529739E-4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43455</v>
      </c>
      <c r="Z610" s="109">
        <v>-1.2920699399732172E-4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43462</v>
      </c>
      <c r="Z611" s="109">
        <v>-9.0014118212522476E-5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43469</v>
      </c>
      <c r="Z612" s="109">
        <v>-5.1515909764709988E-5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43476</v>
      </c>
      <c r="Z613" s="109">
        <v>-1.3712369399954127E-5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43483</v>
      </c>
      <c r="Z614" s="109">
        <v>2.3396502335515379E-5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43490</v>
      </c>
      <c r="Z615" s="109">
        <v>5.9810704735596687E-5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43497</v>
      </c>
      <c r="Z616" s="109">
        <v>9.5530237187446687E-5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43504</v>
      </c>
      <c r="Z617" s="109">
        <v>1.3055509907822227E-4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43511</v>
      </c>
      <c r="Z618" s="109">
        <v>1.6488528976843497E-4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43518</v>
      </c>
      <c r="Z619" s="109">
        <v>1.9852080864524169E-4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43525</v>
      </c>
      <c r="Z620" s="109">
        <v>2.3146165517573536E-4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43532</v>
      </c>
      <c r="Z621" s="109">
        <v>2.6370782877371823E-4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43539</v>
      </c>
      <c r="Z622" s="109">
        <v>2.9525932887963791E-4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43546</v>
      </c>
      <c r="Z623" s="109">
        <v>3.2611615493394197E-4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43553</v>
      </c>
      <c r="Z624" s="109">
        <v>3.5627830640372338E-4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43560</v>
      </c>
      <c r="Z625" s="109">
        <v>3.8574578278272043E-4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43567</v>
      </c>
      <c r="Z626" s="109">
        <v>4.1451858353802606E-4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43578</v>
      </c>
      <c r="Z627" s="109">
        <v>4.544216862001349E-4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43581</v>
      </c>
      <c r="Z628" s="109">
        <v>4.6998015620580702E-4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43588</v>
      </c>
      <c r="Z629" s="109">
        <v>4.9666892715904964E-4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43595</v>
      </c>
      <c r="Z630" s="109">
        <v>5.2266302054349012E-4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43602</v>
      </c>
      <c r="Z631" s="109">
        <v>5.4845410764947644E-4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43609</v>
      </c>
      <c r="Z632" s="109">
        <v>5.7505725256312701E-4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43619</v>
      </c>
      <c r="Z633" s="109">
        <v>6.105175566695209E-4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43627</v>
      </c>
      <c r="Z634" s="109">
        <v>6.4323680174283027E-4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43633</v>
      </c>
      <c r="Z635" s="109">
        <v>6.6851306386617182E-4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43640</v>
      </c>
      <c r="Z636" s="109">
        <v>6.9880026749125079E-4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43647</v>
      </c>
      <c r="Z637" s="109">
        <v>7.2994710476059765E-4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43654</v>
      </c>
      <c r="Z638" s="109">
        <v>7.6195357575414846E-4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43661</v>
      </c>
      <c r="Z639" s="109">
        <v>7.948196808715835E-4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43668</v>
      </c>
      <c r="Z640" s="109">
        <v>8.2854542027277489E-4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43675</v>
      </c>
      <c r="Z641" s="109">
        <v>8.631307941975308E-4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43682</v>
      </c>
      <c r="Z642" s="109">
        <v>8.9857580296559547E-4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43689</v>
      </c>
      <c r="Z643" s="109">
        <v>9.3488044681677707E-4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43696</v>
      </c>
      <c r="Z644" s="109">
        <v>9.720447259109477E-4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43703</v>
      </c>
      <c r="Z645" s="109">
        <v>1.0100686405678516E-3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43710</v>
      </c>
      <c r="Z646" s="109">
        <v>1.0489521911871691E-3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43717</v>
      </c>
      <c r="Z647" s="109">
        <v>1.0886953778488362E-3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43724</v>
      </c>
      <c r="Z648" s="109">
        <v>1.1292982009525332E-3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43731</v>
      </c>
      <c r="Z649" s="109">
        <v>1.1707606606581322E-3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43738</v>
      </c>
      <c r="Z650" s="109">
        <v>1.2130827574452496E-3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43745</v>
      </c>
      <c r="Z651" s="109">
        <v>1.2562644914737575E-3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43752</v>
      </c>
      <c r="Z652" s="109">
        <v>1.3003058631433362E-3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43759</v>
      </c>
      <c r="Z653" s="109">
        <v>1.3452068727737299E-3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43766</v>
      </c>
      <c r="Z654" s="109">
        <v>1.3909675205248107E-3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43773</v>
      </c>
      <c r="Z655" s="109">
        <v>1.437587807036067E-3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43780</v>
      </c>
      <c r="Z656" s="109">
        <v>1.4850677323874351E-3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43787</v>
      </c>
      <c r="Z657" s="109">
        <v>1.533407296978595E-3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43794</v>
      </c>
      <c r="Z658" s="109">
        <v>1.5826065011292911E-3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43801</v>
      </c>
      <c r="Z659" s="109">
        <v>1.6326653453191398E-3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43808</v>
      </c>
      <c r="Z660" s="109">
        <v>1.683583829708013E-3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43815</v>
      </c>
      <c r="Z661" s="109">
        <v>1.7353619548554633E-3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43822</v>
      </c>
      <c r="Z662" s="109">
        <v>1.7879997210012988E-3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43829</v>
      </c>
      <c r="Z663" s="109">
        <v>1.8414971285451998E-3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43836</v>
      </c>
      <c r="Z664" s="109">
        <v>1.8958541778868465E-3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43843</v>
      </c>
      <c r="Z665" s="109">
        <v>1.9510708695058554E-3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43850</v>
      </c>
      <c r="Z666" s="109">
        <v>2.0071472035620985E-3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43857</v>
      </c>
      <c r="Z667" s="109">
        <v>2.0640831807750004E-3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43864</v>
      </c>
      <c r="Z668" s="109">
        <v>2.1218788012244971E-3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43871</v>
      </c>
      <c r="Z669" s="109">
        <v>2.1805340657099492E-3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43878</v>
      </c>
      <c r="Z670" s="109">
        <v>2.2400489742313567E-3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43885</v>
      </c>
      <c r="Z671" s="109">
        <v>2.3004235274282081E-3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43892</v>
      </c>
      <c r="Z672" s="109">
        <v>2.3616577257001836E-3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43899</v>
      </c>
      <c r="Z673" s="109">
        <v>2.4237515696068357E-3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43906</v>
      </c>
      <c r="Z674" s="109">
        <v>2.4867050594679085E-3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43913</v>
      </c>
      <c r="Z675" s="109">
        <v>2.5505181957630185E-3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43920</v>
      </c>
      <c r="Z676" s="109">
        <v>2.6151909788119099E-3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43927</v>
      </c>
      <c r="Z677" s="109">
        <v>2.680723409254071E-3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43936</v>
      </c>
      <c r="Z678" s="109">
        <v>2.7662425474250796E-3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43943</v>
      </c>
      <c r="Z679" s="109">
        <v>2.8337398878619524E-3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43950</v>
      </c>
      <c r="Z680" s="109">
        <v>2.9020968771309441E-3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43957</v>
      </c>
      <c r="Z681" s="109">
        <v>2.9713135159514792E-3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43964</v>
      </c>
      <c r="Z682" s="109">
        <v>3.0413833163134285E-3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43971</v>
      </c>
      <c r="Z683" s="109">
        <v>3.1161889193453973E-3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43978</v>
      </c>
      <c r="Z684" s="109">
        <v>3.1800271834203642E-3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43985</v>
      </c>
      <c r="Z685" s="109">
        <v>3.247777228754245E-3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43992</v>
      </c>
      <c r="Z686" s="109">
        <v>3.3144793478623313E-3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43999</v>
      </c>
      <c r="Z687" s="109">
        <v>3.3801335400251986E-3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44006</v>
      </c>
      <c r="Z688" s="109">
        <v>3.4447398048431666E-3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44013</v>
      </c>
      <c r="Z689" s="109">
        <v>3.5082981415968106E-3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44020</v>
      </c>
      <c r="Z690" s="109">
        <v>3.5708085498864506E-3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44027</v>
      </c>
      <c r="Z691" s="109">
        <v>3.6322710289926619E-3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44034</v>
      </c>
      <c r="Z692" s="109">
        <v>3.6926855785157642E-3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44041</v>
      </c>
      <c r="Z693" s="109">
        <v>3.7520521978162691E-3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44048</v>
      </c>
      <c r="Z694" s="109">
        <v>3.8103708864944963E-3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44055</v>
      </c>
      <c r="Z695" s="109">
        <v>3.8676416440708294E-3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44062</v>
      </c>
      <c r="Z696" s="109">
        <v>3.923864469825844E-3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44069</v>
      </c>
      <c r="Z697" s="109">
        <v>3.9790393634397958E-3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44076</v>
      </c>
      <c r="Z698" s="109">
        <v>4.0331663245130045E-3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44083</v>
      </c>
      <c r="Z699" s="109">
        <v>4.0862453524059816E-3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44090</v>
      </c>
      <c r="Z700" s="109">
        <v>4.1382764466391109E-3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44097</v>
      </c>
      <c r="Z701" s="109">
        <v>4.1892596068127119E-3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44104</v>
      </c>
      <c r="Z702" s="109">
        <v>4.2391948325271045E-3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44111</v>
      </c>
      <c r="Z703" s="109">
        <v>4.2880821233026722E-3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44118</v>
      </c>
      <c r="Z704" s="109">
        <v>4.3359214786597988E-3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44125</v>
      </c>
      <c r="Z705" s="109">
        <v>4.3827128983586761E-3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44132</v>
      </c>
      <c r="Z706" s="109">
        <v>4.4284563818397515E-3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44139</v>
      </c>
      <c r="Z707" s="109">
        <v>4.473151928703345E-3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44146</v>
      </c>
      <c r="Z708" s="109">
        <v>4.5167995386297122E-3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44153</v>
      </c>
      <c r="Z709" s="109">
        <v>4.5593992112191728E-3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44160</v>
      </c>
      <c r="Z710" s="109">
        <v>4.6009509459921105E-3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44167</v>
      </c>
      <c r="Z711" s="109">
        <v>4.6414547427087172E-3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44174</v>
      </c>
      <c r="Z712" s="109">
        <v>4.6809106010492485E-3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44181</v>
      </c>
      <c r="Z713" s="109">
        <v>4.7193185205340882E-3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44188</v>
      </c>
      <c r="Z714" s="109">
        <v>4.756678500923428E-3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44195</v>
      </c>
      <c r="Z715" s="109">
        <v>4.7929905418975238E-3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44202</v>
      </c>
      <c r="Z716" s="109">
        <v>4.8282546430566953E-3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44209</v>
      </c>
      <c r="Z717" s="109">
        <v>4.8624708041611342E-3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44216</v>
      </c>
      <c r="Z718" s="109">
        <v>4.8956390248111603E-3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44223</v>
      </c>
      <c r="Z719" s="109">
        <v>4.9277593047669654E-3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44230</v>
      </c>
      <c r="Z720" s="109">
        <v>4.9588316439486135E-3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44237</v>
      </c>
      <c r="Z721" s="109">
        <v>4.9888560418764882E-3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44244</v>
      </c>
      <c r="Z722" s="109">
        <v>5.0178324983107814E-3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44251</v>
      </c>
      <c r="Z723" s="109">
        <v>5.0457610130116848E-3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44258</v>
      </c>
      <c r="Z724" s="109">
        <v>5.0726415856594542E-3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44265</v>
      </c>
      <c r="Z725" s="109">
        <v>5.0984742161741536E-3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44272</v>
      </c>
      <c r="Z726" s="109">
        <v>5.1232589043159749E-3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44279</v>
      </c>
      <c r="Z727" s="109">
        <v>5.1469956496852376E-3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44286</v>
      </c>
      <c r="Z728" s="109">
        <v>5.1696844522819418E-3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44293</v>
      </c>
      <c r="Z729" s="109">
        <v>5.1913253117863434E-3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44300</v>
      </c>
      <c r="Z730" s="109">
        <v>5.211918227958634E-3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44307</v>
      </c>
      <c r="Z731" s="109">
        <v>5.2314632008787498E-3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44314</v>
      </c>
      <c r="Z732" s="109">
        <v>5.2499602300670745E-3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44321</v>
      </c>
      <c r="Z733" s="109">
        <v>5.26740931568348E-3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44328</v>
      </c>
      <c r="Z734" s="109">
        <v>5.2849779865615787E-3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44335</v>
      </c>
      <c r="Z735" s="109">
        <v>5.2996712869379792E-3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44342</v>
      </c>
      <c r="Z736" s="109">
        <v>5.3160851669531439E-3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44349</v>
      </c>
      <c r="Z737" s="109">
        <v>5.3330911456583863E-3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44356</v>
      </c>
      <c r="Z738" s="109">
        <v>5.3506892232935144E-3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44363</v>
      </c>
      <c r="Z739" s="109">
        <v>5.3688793999384643E-3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44370</v>
      </c>
      <c r="Z740" s="109">
        <v>5.3876616756731721E-3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44377</v>
      </c>
      <c r="Z741" s="109">
        <v>5.4070360504976378E-3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44384</v>
      </c>
      <c r="Z742" s="109">
        <v>5.4270025246516695E-3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44391</v>
      </c>
      <c r="Z743" s="109">
        <v>5.4475610981352673E-3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44398</v>
      </c>
      <c r="Z744" s="109">
        <v>5.4687117711083033E-3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44405</v>
      </c>
      <c r="Z745" s="109">
        <v>5.4904545437306496E-3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44412</v>
      </c>
      <c r="Z746" s="109">
        <v>5.51278941592237E-3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44419</v>
      </c>
      <c r="Z747" s="109">
        <v>5.5357163879232729E-3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44426</v>
      </c>
      <c r="Z748" s="109">
        <v>5.5592354598132943E-3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44433</v>
      </c>
      <c r="Z749" s="109">
        <v>5.5833466317523062E-3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44440</v>
      </c>
      <c r="Z750" s="109">
        <v>5.6080499038202447E-3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44447</v>
      </c>
      <c r="Z751" s="109">
        <v>5.633345276176982E-3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44454</v>
      </c>
      <c r="Z752" s="109">
        <v>5.659232748822518E-3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44461</v>
      </c>
      <c r="Z753" s="109">
        <v>5.685712321996661E-3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44468</v>
      </c>
      <c r="Z754" s="109">
        <v>5.712783995939219E-3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44475</v>
      </c>
      <c r="Z755" s="109">
        <v>5.7404477705702561E-3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44482</v>
      </c>
      <c r="Z756" s="109">
        <v>5.7687036461295804E-3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44489</v>
      </c>
      <c r="Z757" s="109">
        <v>5.797551622697128E-3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44496</v>
      </c>
      <c r="Z758" s="109">
        <v>5.8269917004327709E-3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44503</v>
      </c>
      <c r="Z759" s="109">
        <v>5.8570238795763174E-3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44510</v>
      </c>
      <c r="Z760" s="109">
        <v>5.8876481602077035E-3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44517</v>
      </c>
      <c r="Z761" s="109">
        <v>5.9188645424068653E-3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44524</v>
      </c>
      <c r="Z762" s="109">
        <v>5.950673026493547E-3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44531</v>
      </c>
      <c r="Z763" s="109">
        <v>5.9830736124677486E-3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44538</v>
      </c>
      <c r="Z764" s="109">
        <v>6.0160663004893422E-3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44545</v>
      </c>
      <c r="Z765" s="109">
        <v>6.0496510908780721E-3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44552</v>
      </c>
      <c r="Z766" s="109">
        <v>6.0838279837938103E-3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44559</v>
      </c>
      <c r="Z767" s="109">
        <v>6.1185969791566208E-3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44566</v>
      </c>
      <c r="Z768" s="109">
        <v>6.1539580772862479E-3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44573</v>
      </c>
      <c r="Z769" s="109">
        <v>6.1899112784224997E-3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44580</v>
      </c>
      <c r="Z770" s="109">
        <v>6.2264565828051843E-3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44587</v>
      </c>
      <c r="Z771" s="109">
        <v>6.2635939902744298E-3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44594</v>
      </c>
      <c r="Z772" s="109">
        <v>6.3013235013897884E-3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44601</v>
      </c>
      <c r="Z773" s="109">
        <v>6.3396451160713241E-3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44608</v>
      </c>
      <c r="Z774" s="109">
        <v>6.3785588347187172E-3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44615</v>
      </c>
      <c r="Z775" s="109">
        <v>6.4180646574119038E-3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44622</v>
      </c>
      <c r="Z776" s="109">
        <v>6.458162584310756E-3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44629</v>
      </c>
      <c r="Z777" s="109">
        <v>6.4988526156550819E-3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44636</v>
      </c>
      <c r="Z778" s="109">
        <v>6.5401347517646258E-3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44643</v>
      </c>
      <c r="Z779" s="109">
        <v>6.5820089927193237E-3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44650</v>
      </c>
      <c r="Z780" s="109">
        <v>6.6244753385991118E-3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44657</v>
      </c>
      <c r="Z781" s="109">
        <v>6.6675337898036702E-3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44664</v>
      </c>
      <c r="Z782" s="109">
        <v>6.7111843465728072E-3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44671</v>
      </c>
      <c r="Z783" s="109">
        <v>6.7554270089864588E-3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44678</v>
      </c>
      <c r="Z784" s="109">
        <v>6.8002617772844332E-3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44685</v>
      </c>
      <c r="Z785" s="109">
        <v>6.8456886517864746E-3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44692</v>
      </c>
      <c r="Z786" s="109">
        <v>6.8917076325725191E-3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44699</v>
      </c>
      <c r="Z787" s="109">
        <v>6.9377459032882172E-3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44706</v>
      </c>
      <c r="Z788" s="109">
        <v>6.9857878141776908E-3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44713</v>
      </c>
      <c r="Z789" s="109">
        <v>7.0261349731914891E-3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44720</v>
      </c>
      <c r="Z790" s="109">
        <v>7.0684417085065121E-3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44727</v>
      </c>
      <c r="Z791" s="109">
        <v>7.1094899103041342E-3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44734</v>
      </c>
      <c r="Z792" s="109">
        <v>7.1492795780248031E-3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44741</v>
      </c>
      <c r="Z793" s="109">
        <v>7.1878107113487744E-3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44748</v>
      </c>
      <c r="Z794" s="109">
        <v>7.2250833097964318E-3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44755</v>
      </c>
      <c r="Z795" s="109">
        <v>7.2610973728881589E-3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44762</v>
      </c>
      <c r="Z796" s="109">
        <v>7.2958529003841477E-3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44769</v>
      </c>
      <c r="Z797" s="109">
        <v>7.3293498919646538E-3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44776</v>
      </c>
      <c r="Z798" s="109">
        <v>7.3615883470701249E-3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44783</v>
      </c>
      <c r="Z799" s="109">
        <v>7.3925682656206249E-3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44790</v>
      </c>
      <c r="Z800" s="109">
        <v>7.4222896470566013E-3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44797</v>
      </c>
      <c r="Z801" s="109">
        <v>7.4507524911382461E-3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44804</v>
      </c>
      <c r="Z802" s="109">
        <v>7.4779567977056871E-3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44811</v>
      </c>
      <c r="Z803" s="109">
        <v>7.503902566279308E-3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44818</v>
      </c>
      <c r="Z804" s="109">
        <v>7.5285897966992366E-3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44825</v>
      </c>
      <c r="Z805" s="109">
        <v>7.5520184887256647E-3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44832</v>
      </c>
      <c r="Z806" s="109">
        <v>7.5741886420388482E-3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44839</v>
      </c>
      <c r="Z807" s="109">
        <v>7.5951002563989789E-3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44846</v>
      </c>
      <c r="Z808" s="109">
        <v>7.6147533316461846E-3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44853</v>
      </c>
      <c r="Z809" s="109">
        <v>7.6331478675406572E-3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44860</v>
      </c>
      <c r="Z810" s="109">
        <v>7.6502838639225246E-3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44867</v>
      </c>
      <c r="Z811" s="109">
        <v>7.6661613205519785E-3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44874</v>
      </c>
      <c r="Z812" s="109">
        <v>7.680780237349083E-3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44881</v>
      </c>
      <c r="Z813" s="109">
        <v>7.6941406140740298E-3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44888</v>
      </c>
      <c r="Z814" s="109">
        <v>7.706242450646883E-3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44895</v>
      </c>
      <c r="Z815" s="109">
        <v>7.7170857469077703E-3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44902</v>
      </c>
      <c r="Z816" s="109">
        <v>7.7266705027767557E-3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44909</v>
      </c>
      <c r="Z817" s="109">
        <v>7.7349967180939672E-3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44916</v>
      </c>
      <c r="Z818" s="109">
        <v>7.7420643927794686E-3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44923</v>
      </c>
      <c r="Z819" s="109">
        <v>7.747873526913196E-3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44930</v>
      </c>
      <c r="Z820" s="109">
        <v>7.7524241201754052E-3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44937</v>
      </c>
      <c r="Z821" s="109">
        <v>7.7557161727259682E-3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44944</v>
      </c>
      <c r="Z822" s="109">
        <v>7.7577496843250771E-3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44951</v>
      </c>
      <c r="Z823" s="109">
        <v>7.7585246552125398E-3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44958</v>
      </c>
      <c r="Z824" s="109">
        <v>7.7580410852284842E-3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44965</v>
      </c>
      <c r="Z825" s="109">
        <v>7.7562989743729105E-3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44972</v>
      </c>
      <c r="Z826" s="109">
        <v>7.7532983227257546E-3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44979</v>
      </c>
      <c r="Z827" s="109">
        <v>7.7490391302070805E-3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44986</v>
      </c>
      <c r="Z828" s="109">
        <v>7.7435213969767602E-3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44993</v>
      </c>
      <c r="Z829" s="109">
        <v>7.7367451230347939E-3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45000</v>
      </c>
      <c r="Z830" s="109">
        <v>7.7287103085410536E-3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45007</v>
      </c>
      <c r="Z831" s="109">
        <v>7.7194169534955392E-3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45014</v>
      </c>
      <c r="Z832" s="109">
        <v>7.708865057978187E-3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45021</v>
      </c>
      <c r="Z833" s="109">
        <v>7.6970546221488689E-3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45028</v>
      </c>
      <c r="Z834" s="109">
        <v>7.6839856460875211E-3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45035</v>
      </c>
      <c r="Z835" s="109">
        <v>7.6696581299540156E-3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45042</v>
      </c>
      <c r="Z836" s="109">
        <v>7.6540720739082246E-3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45049</v>
      </c>
      <c r="Z837" s="109">
        <v>7.6372274781100202E-3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45056</v>
      </c>
      <c r="Z838" s="109">
        <v>7.6191243427992106E-3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45063</v>
      </c>
      <c r="Z839" s="109">
        <v>7.5986605281563868E-3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45070</v>
      </c>
      <c r="Z840" s="109">
        <v>7.5815815858959468E-3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45077</v>
      </c>
      <c r="Z841" s="109">
        <v>7.5646170982412997E-3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45084</v>
      </c>
      <c r="Z842" s="109">
        <v>7.5490402140587776E-3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45091</v>
      </c>
      <c r="Z843" s="109">
        <v>7.5348509331885083E-3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45098</v>
      </c>
      <c r="Z844" s="109">
        <v>7.5220492554706198E-3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45105</v>
      </c>
      <c r="Z845" s="109">
        <v>7.5106351806653038E-3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45112</v>
      </c>
      <c r="Z846" s="109">
        <v>7.5006087087725604E-3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45119</v>
      </c>
      <c r="Z847" s="109">
        <v>7.4919698396325174E-3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45126</v>
      </c>
      <c r="Z848" s="109">
        <v>7.4847185731652388E-3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45133</v>
      </c>
      <c r="Z849" s="109">
        <v>7.4788549092108525E-3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45141</v>
      </c>
      <c r="Z850" s="109">
        <v>7.4738526840967268E-3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45148</v>
      </c>
      <c r="Z851" s="109">
        <v>7.470962454041441E-3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45155</v>
      </c>
      <c r="Z852" s="109">
        <v>7.4694598263391754E-3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45162</v>
      </c>
      <c r="Z853" s="109">
        <v>7.469344801069866E-3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45169</v>
      </c>
      <c r="Z854" s="109">
        <v>7.4706173781535767E-3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45176</v>
      </c>
      <c r="Z855" s="109">
        <v>7.4732775576702437E-3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45183</v>
      </c>
      <c r="Z856" s="109">
        <v>7.4773253396198669E-3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45190</v>
      </c>
      <c r="Z857" s="109">
        <v>7.4827607240024463E-3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45197</v>
      </c>
      <c r="Z858" s="109">
        <v>7.489583710897918E-3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45204</v>
      </c>
      <c r="Z859" s="109">
        <v>7.497794300466154E-3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45211</v>
      </c>
      <c r="Z860" s="109">
        <v>7.5073924927071545E-3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45218</v>
      </c>
      <c r="Z861" s="109">
        <v>7.5183782877807914E-3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45225</v>
      </c>
      <c r="Z862" s="109">
        <v>7.530751685846937E-3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45232</v>
      </c>
      <c r="Z863" s="109">
        <v>7.5445126869855272E-3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45239</v>
      </c>
      <c r="Z864" s="109">
        <v>7.5596612913564343E-3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45246</v>
      </c>
      <c r="Z865" s="109">
        <v>7.5761974991994663E-3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45253</v>
      </c>
      <c r="Z866" s="109">
        <v>7.5941213105945593E-3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45260</v>
      </c>
      <c r="Z867" s="109">
        <v>7.6134327258614576E-3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45267</v>
      </c>
      <c r="Z868" s="109">
        <v>7.6341317452399693E-3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45274</v>
      </c>
      <c r="Z869" s="109">
        <v>7.6562183688100305E-3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45281</v>
      </c>
      <c r="Z870" s="109">
        <v>7.6796925969713214E-3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45288</v>
      </c>
      <c r="Z871" s="109">
        <v>7.7045544298837143E-3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45295</v>
      </c>
      <c r="Z872" s="109">
        <v>7.7308038679468893E-3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45302</v>
      </c>
      <c r="Z873" s="109">
        <v>7.7584409114006547E-3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45309</v>
      </c>
      <c r="Z874" s="109">
        <v>7.7874655606446908E-3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45316</v>
      </c>
      <c r="Z875" s="109">
        <v>7.8178778159188056E-3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45323</v>
      </c>
      <c r="Z876" s="109">
        <v>7.8496776775427435E-3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45330</v>
      </c>
      <c r="Z877" s="109">
        <v>7.8828651459961208E-3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45337</v>
      </c>
      <c r="Z878" s="109">
        <v>7.9174402216786177E-3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45344</v>
      </c>
      <c r="Z879" s="109">
        <v>7.9534029048300425E-3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45351</v>
      </c>
      <c r="Z880" s="109">
        <v>7.9907531960099476E-3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45358</v>
      </c>
      <c r="Z881" s="109">
        <v>8.0294910956180132E-3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45365</v>
      </c>
      <c r="Z882" s="109">
        <v>8.0696166040539197E-3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45372</v>
      </c>
      <c r="Z883" s="109">
        <v>8.1111297217972833E-3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45379</v>
      </c>
      <c r="Z884" s="109">
        <v>8.1669415101561782E-3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45386</v>
      </c>
      <c r="Z885" s="109">
        <v>8.1983187872047836E-3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45393</v>
      </c>
      <c r="Z886" s="109">
        <v>8.243994735988025E-3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45400</v>
      </c>
      <c r="Z887" s="109">
        <v>8.291058295917253E-3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45407</v>
      </c>
      <c r="Z888" s="109">
        <v>8.3395094678717641E-3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45415</v>
      </c>
      <c r="Z889" s="109">
        <v>8.4040483933822685E-3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45425</v>
      </c>
      <c r="Z890" s="109">
        <v>8.4704608013286276E-3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45433</v>
      </c>
      <c r="Z891" s="109">
        <v>8.5296481017493875E-3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45439</v>
      </c>
      <c r="Z892" s="109">
        <v>8.5729384125254882E-3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45446</v>
      </c>
      <c r="Z893" s="109">
        <v>8.6222519297152189E-3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45453</v>
      </c>
      <c r="Z894" s="109">
        <v>8.6702819206596615E-3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45460</v>
      </c>
      <c r="Z895" s="109">
        <v>8.7170283847193275E-3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45467</v>
      </c>
      <c r="Z896" s="109">
        <v>8.7624913215744726E-3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45474</v>
      </c>
      <c r="Z897" s="109">
        <v>8.8066707305056724E-3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45481</v>
      </c>
      <c r="Z898" s="109">
        <v>8.8495666111931826E-3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45488</v>
      </c>
      <c r="Z899" s="109">
        <v>8.8911789632373228E-3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45495</v>
      </c>
      <c r="Z900" s="109">
        <v>8.9315077860785408E-3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45502</v>
      </c>
      <c r="Z901" s="109">
        <v>8.9705530793171562E-3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45509</v>
      </c>
      <c r="Z902" s="109">
        <v>9.0083148425534887E-3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45516</v>
      </c>
      <c r="Z903" s="109">
        <v>9.044793075307922E-3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45523</v>
      </c>
      <c r="Z904" s="109">
        <v>9.0799877773406479E-3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45530</v>
      </c>
      <c r="Z905" s="109">
        <v>9.113898948092114E-3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45537</v>
      </c>
      <c r="Z906" s="109">
        <v>9.1465265873225121E-3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45544</v>
      </c>
      <c r="Z907" s="109">
        <v>9.177870694632162E-3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45551</v>
      </c>
      <c r="Z908" s="109">
        <v>9.2079312697013194E-3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45558</v>
      </c>
      <c r="Z909" s="109">
        <v>9.23670831221024E-3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45565</v>
      </c>
      <c r="Z910" s="109">
        <v>9.2642018218391797E-3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45572</v>
      </c>
      <c r="Z911" s="109">
        <v>9.2904117983483303E-3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45579</v>
      </c>
      <c r="Z912" s="109">
        <v>9.3153382414179475E-3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45586</v>
      </c>
      <c r="Z913" s="109">
        <v>9.3389811507282872E-3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45593</v>
      </c>
      <c r="Z914" s="109">
        <v>9.3613405261994131E-3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45600</v>
      </c>
      <c r="Z915" s="109">
        <v>9.3824163673517091E-3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45607</v>
      </c>
      <c r="Z916" s="109">
        <v>9.4022086741052391E-3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45614</v>
      </c>
      <c r="Z917" s="109">
        <v>9.4207174462201948E-3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45621</v>
      </c>
      <c r="Z918" s="109">
        <v>9.4379426834567681E-3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45628</v>
      </c>
      <c r="Z919" s="109">
        <v>9.453884385735023E-3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45635</v>
      </c>
      <c r="Z920" s="109">
        <v>9.4685425528151512E-3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45642</v>
      </c>
      <c r="Z921" s="109">
        <v>9.4819171845372807E-3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45649</v>
      </c>
      <c r="Z922" s="109">
        <v>9.4940082807415394E-3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45656</v>
      </c>
      <c r="Z923" s="109">
        <v>9.5048158413479911E-3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45663</v>
      </c>
      <c r="Z924" s="109">
        <v>9.5143398662766998E-3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45670</v>
      </c>
      <c r="Z925" s="109">
        <v>9.5225803552878574E-3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45677</v>
      </c>
      <c r="Z926" s="109">
        <v>9.5295373083814638E-3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45684</v>
      </c>
      <c r="Z927" s="109">
        <v>9.5352107255575191E-3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45691</v>
      </c>
      <c r="Z928" s="109">
        <v>9.5396006065762151E-3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45698</v>
      </c>
      <c r="Z929" s="109">
        <v>9.5427069515174878E-3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45705</v>
      </c>
      <c r="Z930" s="109">
        <v>9.5445297603014012E-3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45712</v>
      </c>
      <c r="Z931" s="109">
        <v>9.5450690330078913E-3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45719</v>
      </c>
      <c r="Z932" s="109">
        <v>9.5443247694770861E-3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45726</v>
      </c>
      <c r="Z933" s="109">
        <v>9.5422969697889215E-3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45733</v>
      </c>
      <c r="Z934" s="109">
        <v>9.5389856339433976E-3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45740</v>
      </c>
      <c r="Z935" s="109">
        <v>9.5343907620204504E-3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45747</v>
      </c>
      <c r="Z936" s="109">
        <v>9.5285123541000161E-3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45754</v>
      </c>
      <c r="Z937" s="109">
        <v>9.5213504101021584E-3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45761</v>
      </c>
      <c r="Z938" s="109">
        <v>9.5129049302666857E-3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45770</v>
      </c>
      <c r="Z939" s="109">
        <v>9.500160444320116E-3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45777</v>
      </c>
      <c r="Z940" s="109">
        <v>9.4880410023900907E-3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45784</v>
      </c>
      <c r="Z941" s="109">
        <v>9.4761183570390983E-3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45791</v>
      </c>
      <c r="Z942" s="109">
        <v>9.4622080141615328E-3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45798</v>
      </c>
      <c r="Z943" s="109">
        <v>9.4480582539180347E-3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45805</v>
      </c>
      <c r="Z944" s="109">
        <v>9.4332756842696597E-3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45812</v>
      </c>
      <c r="Z945" s="109">
        <v>9.4204446392431862E-3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45819</v>
      </c>
      <c r="Z946" s="109">
        <v>9.4069807848118359E-3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45826</v>
      </c>
      <c r="Z947" s="109">
        <v>9.3937455656512014E-3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45833</v>
      </c>
      <c r="Z948" s="109">
        <v>9.3807389816813469E-3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45840</v>
      </c>
      <c r="Z949" s="109">
        <v>9.3679610329022722E-3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45847</v>
      </c>
      <c r="Z950" s="109">
        <v>9.3554117193139774E-3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45854</v>
      </c>
      <c r="Z951" s="109">
        <v>9.3430910408365264E-3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45861</v>
      </c>
      <c r="Z952" s="109">
        <v>9.3309989975498553E-3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45868</v>
      </c>
      <c r="Z953" s="109">
        <v>9.3191355892940919E-3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45875</v>
      </c>
      <c r="Z954" s="109">
        <v>9.3075008161491724E-3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45882</v>
      </c>
      <c r="Z955" s="109">
        <v>9.2960946779552245E-3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45889</v>
      </c>
      <c r="Z956" s="109">
        <v>9.2849171749520565E-3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45896</v>
      </c>
      <c r="Z957" s="109">
        <v>9.2739683068199241E-3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45903</v>
      </c>
      <c r="Z958" s="109">
        <v>9.2632480737186995E-3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45910</v>
      </c>
      <c r="Z959" s="109">
        <v>9.2527564756483827E-3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45917</v>
      </c>
      <c r="Z960" s="109">
        <v>9.2424935124491014E-3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45924</v>
      </c>
      <c r="Z961" s="109">
        <v>9.232459184280728E-3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45931</v>
      </c>
      <c r="Z962" s="109">
        <v>9.2226534909034541E-3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45938</v>
      </c>
      <c r="Z963" s="109">
        <v>9.2130764324771519E-3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45945</v>
      </c>
      <c r="Z964" s="109">
        <v>9.2037280088419493E-3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45952</v>
      </c>
      <c r="Z965" s="109">
        <v>9.1946082201577184E-3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45959</v>
      </c>
      <c r="Z966" s="109">
        <v>9.1857170663445231E-3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45966</v>
      </c>
      <c r="Z967" s="109">
        <v>9.1770545472424914E-3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45973</v>
      </c>
      <c r="Z968" s="109">
        <v>9.1686206630114953E-3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45980</v>
      </c>
      <c r="Z969" s="109">
        <v>9.1604154135715987E-3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45987</v>
      </c>
      <c r="Z970" s="109">
        <v>9.1524387988428657E-3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45994</v>
      </c>
      <c r="Z971" s="109">
        <v>9.1446908189052323E-3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46001</v>
      </c>
      <c r="Z972" s="109">
        <v>9.1371714736787624E-3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46008</v>
      </c>
      <c r="Z973" s="109">
        <v>9.129880763243392E-3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46015</v>
      </c>
      <c r="Z974" s="109">
        <v>9.1213097892968165E-3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46022</v>
      </c>
      <c r="Z975" s="109">
        <v>9.1145409867543492E-3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46029</v>
      </c>
      <c r="Z976" s="109">
        <v>9.1093804400443901E-3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46036</v>
      </c>
      <c r="Z977" s="109">
        <v>9.1030042682938017E-3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46043</v>
      </c>
      <c r="Z978" s="109">
        <v>9.0968567313343129E-3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46050</v>
      </c>
      <c r="Z979" s="109">
        <v>9.0909378289261156E-3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46057</v>
      </c>
      <c r="Z980" s="109">
        <v>9.0852475612290817E-3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46064</v>
      </c>
      <c r="Z981" s="109">
        <v>9.0797859280833393E-3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46071</v>
      </c>
      <c r="Z982" s="109">
        <v>9.0745529296487604E-3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46078</v>
      </c>
      <c r="Z983" s="109">
        <v>9.0695485657654729E-3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46085</v>
      </c>
      <c r="Z984" s="109">
        <v>9.0647728364334768E-3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46092</v>
      </c>
      <c r="Z985" s="109">
        <v>9.0602257417327081E-3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46099</v>
      </c>
      <c r="Z986" s="109">
        <v>9.0559072816631669E-3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46106</v>
      </c>
      <c r="Z987" s="109">
        <v>9.0518174560649811E-3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46113</v>
      </c>
      <c r="Z988" s="109">
        <v>9.0479562651779588E-3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46120</v>
      </c>
      <c r="Z989" s="109">
        <v>9.0443237086823558E-3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46127</v>
      </c>
      <c r="Z990" s="109">
        <v>9.0409197868979163E-3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46134</v>
      </c>
      <c r="Z991" s="109">
        <v>9.0377444995848322E-3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46141</v>
      </c>
      <c r="Z992" s="109">
        <v>9.0347978467431034E-3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46148</v>
      </c>
      <c r="Z993" s="109">
        <v>9.032079828452666E-3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46155</v>
      </c>
      <c r="Z994" s="109">
        <v>9.0295352004243767E-3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46162</v>
      </c>
      <c r="Z995" s="109">
        <v>9.0273296956056015E-3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46169</v>
      </c>
      <c r="Z996" s="109">
        <v>9.0252975808891023E-3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46176</v>
      </c>
      <c r="Z997" s="109">
        <v>9.0234941007238945E-3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46183</v>
      </c>
      <c r="Z998" s="109">
        <v>9.021919255030042E-3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46190</v>
      </c>
      <c r="Z999" s="109">
        <v>9.0205730438874809E-3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46197</v>
      </c>
      <c r="Z1000" s="109">
        <v>9.0194554672962113E-3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46204</v>
      </c>
      <c r="Z1001" s="109">
        <v>9.0185665250963609E-3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46211</v>
      </c>
      <c r="Z1002" s="109">
        <v>9.017906217447802E-3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46218</v>
      </c>
      <c r="Z1003" s="109">
        <v>9.0174745443505344E-3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46225</v>
      </c>
      <c r="Z1004" s="109">
        <v>9.0172715057246222E-3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46232</v>
      </c>
      <c r="Z1005" s="109">
        <v>9.0172971015700654E-3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46239</v>
      </c>
      <c r="Z1006" s="109">
        <v>9.0175513318868639E-3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46246</v>
      </c>
      <c r="Z1007" s="109">
        <v>9.0180341968348898E-3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46253</v>
      </c>
      <c r="Z1008" s="109">
        <v>9.0187456961743351E-3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46260</v>
      </c>
      <c r="Z1009" s="109">
        <v>9.0196858299851357E-3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46267</v>
      </c>
      <c r="Z1010" s="109">
        <v>9.0208545984271638E-3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46274</v>
      </c>
      <c r="Z1011" s="109">
        <v>9.0222520012606111E-3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46281</v>
      </c>
      <c r="Z1012" s="109">
        <v>9.0238780386453499E-3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46288</v>
      </c>
      <c r="Z1013" s="109">
        <v>9.025732710501444E-3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46295</v>
      </c>
      <c r="Z1014" s="109">
        <v>9.0278160169887656E-3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46302</v>
      </c>
      <c r="Z1015" s="109">
        <v>9.0301279578675064E-3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46309</v>
      </c>
      <c r="Z1016" s="109">
        <v>9.0326685332975387E-3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46316</v>
      </c>
      <c r="Z1017" s="109">
        <v>9.0354377433587985E-3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46323</v>
      </c>
      <c r="Z1018" s="109">
        <v>9.0384355878114775E-3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46330</v>
      </c>
      <c r="Z1019" s="109">
        <v>9.041662066895384E-3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46337</v>
      </c>
      <c r="Z1020" s="109">
        <v>9.0451171804506458E-3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46344</v>
      </c>
      <c r="Z1021" s="109">
        <v>9.0488009286371351E-3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46351</v>
      </c>
      <c r="Z1022" s="109">
        <v>9.0527133113749159E-3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46358</v>
      </c>
      <c r="Z1023" s="109">
        <v>9.056854328663988E-3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46365</v>
      </c>
      <c r="Z1024" s="109">
        <v>9.0612239805043515E-3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46372</v>
      </c>
      <c r="Z1025" s="109">
        <v>9.0658222668960065E-3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46379</v>
      </c>
      <c r="Z1026" s="109">
        <v>9.0706491879188889E-3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46386</v>
      </c>
      <c r="Z1027" s="109">
        <v>9.0757047435729987E-3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46393</v>
      </c>
      <c r="Z1028" s="109">
        <v>9.0809889338583361E-3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46400</v>
      </c>
      <c r="Z1029" s="109">
        <v>9.0865017586949648E-3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46407</v>
      </c>
      <c r="Z1030" s="109">
        <v>9.0922432180828849E-3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46414</v>
      </c>
      <c r="Z1031" s="109">
        <v>9.0982133122619047E-3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46421</v>
      </c>
      <c r="Z1032" s="109">
        <v>9.1044120410721519E-3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46428</v>
      </c>
      <c r="Z1033" s="109">
        <v>9.1108394045136265E-3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46435</v>
      </c>
      <c r="Z1034" s="109">
        <v>9.1174954026662647E-3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46442</v>
      </c>
      <c r="Z1035" s="109">
        <v>9.1243800355300664E-3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46449</v>
      </c>
      <c r="Z1036" s="109">
        <v>9.1314933030250955E-3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46456</v>
      </c>
      <c r="Z1037" s="109">
        <v>9.1388352052312882E-3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46463</v>
      </c>
      <c r="Z1038" s="109">
        <v>9.1464057422285805E-3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46470</v>
      </c>
      <c r="Z1039" s="109">
        <v>9.1542049139370363E-3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46477</v>
      </c>
      <c r="Z1040" s="109">
        <v>9.1622327203566556E-3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46484</v>
      </c>
      <c r="Z1041" s="109">
        <v>9.1704891616473105E-3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46491</v>
      </c>
      <c r="Z1042" s="109">
        <v>9.178974237649129E-3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46498</v>
      </c>
      <c r="Z1043" s="109">
        <v>9.1876879486019192E-3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46505</v>
      </c>
      <c r="Z1044" s="109">
        <v>9.1966302941859368E-3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46512</v>
      </c>
      <c r="Z1045" s="109">
        <v>9.2065833976473499E-3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46519</v>
      </c>
      <c r="Z1046" s="109">
        <v>9.2152008901269511E-3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46526</v>
      </c>
      <c r="Z1047" s="109">
        <v>9.2247010456691925E-3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46533</v>
      </c>
      <c r="Z1048" s="109">
        <v>9.2341343105584173E-3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46540</v>
      </c>
      <c r="Z1049" s="109">
        <v>9.2434996761614485E-3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46547</v>
      </c>
      <c r="Z1050" s="109">
        <v>9.2527971423983502E-3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46554</v>
      </c>
      <c r="Z1051" s="109">
        <v>9.2620267093490583E-3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46561</v>
      </c>
      <c r="Z1052" s="109">
        <v>9.2711883770135728E-3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46568</v>
      </c>
      <c r="Z1053" s="109">
        <v>9.2802821453119577E-3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46575</v>
      </c>
      <c r="Z1054" s="109">
        <v>9.289308014244213E-3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46582</v>
      </c>
      <c r="Z1055" s="109">
        <v>9.2982659839702109E-3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46589</v>
      </c>
      <c r="Z1056" s="109">
        <v>9.307156054250143E-3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46596</v>
      </c>
      <c r="Z1057" s="109">
        <v>9.3159782252438816E-3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46603</v>
      </c>
      <c r="Z1058" s="109">
        <v>9.3247324968714906E-3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46610</v>
      </c>
      <c r="Z1059" s="109">
        <v>9.33341886913297E-3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46617</v>
      </c>
      <c r="Z1060" s="109">
        <v>9.3420373419483838E-3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46624</v>
      </c>
      <c r="Z1061" s="109">
        <v>9.35058791555754E-3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46631</v>
      </c>
      <c r="Z1062" s="109">
        <v>9.3590705897206306E-3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46638</v>
      </c>
      <c r="Z1063" s="109">
        <v>9.3674853645975276E-3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46645</v>
      </c>
      <c r="Z1064" s="109">
        <v>9.3758322400283589E-3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46652</v>
      </c>
      <c r="Z1065" s="109">
        <v>9.3841112160131246E-3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46659</v>
      </c>
      <c r="Z1066" s="109">
        <v>9.3923222926317607E-3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46666</v>
      </c>
      <c r="Z1067" s="109">
        <v>9.4004654699642032E-3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46673</v>
      </c>
      <c r="Z1068" s="109">
        <v>9.40854074785058E-3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46680</v>
      </c>
      <c r="Z1069" s="109">
        <v>9.4165481262908912E-3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46687</v>
      </c>
      <c r="Z1070" s="109">
        <v>9.4244876053650728E-3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46694</v>
      </c>
      <c r="Z1071" s="109">
        <v>9.4323591849931887E-3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46701</v>
      </c>
      <c r="Z1072" s="109">
        <v>9.440162865255175E-3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46708</v>
      </c>
      <c r="Z1073" s="109">
        <v>9.4478986460710956E-3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46715</v>
      </c>
      <c r="Z1074" s="109">
        <v>9.4555665274409506E-3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46722</v>
      </c>
      <c r="Z1075" s="109">
        <v>9.463166509444676E-3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46729</v>
      </c>
      <c r="Z1076" s="109">
        <v>9.4706985920023357E-3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46736</v>
      </c>
      <c r="Z1077" s="109">
        <v>9.4781627751139297E-3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46743</v>
      </c>
      <c r="Z1078" s="109">
        <v>9.485559058779458E-3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46750</v>
      </c>
      <c r="Z1079" s="109">
        <v>9.4928874429989207E-3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46757</v>
      </c>
      <c r="Z1080" s="109">
        <v>9.5001479277723178E-3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46764</v>
      </c>
      <c r="Z1081" s="109">
        <v>9.5073405130197131E-3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46771</v>
      </c>
      <c r="Z1082" s="109">
        <v>9.5144651989809148E-3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46778</v>
      </c>
      <c r="Z1083" s="109">
        <v>9.5215219853361788E-3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46785</v>
      </c>
      <c r="Z1084" s="109">
        <v>9.5285108722453771E-3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46792</v>
      </c>
      <c r="Z1085" s="109">
        <v>9.5354318597884458E-3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46799</v>
      </c>
      <c r="Z1086" s="109">
        <v>9.5422849477255767E-3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46806</v>
      </c>
      <c r="Z1087" s="109">
        <v>9.5490701362166419E-3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46813</v>
      </c>
      <c r="Z1088" s="109">
        <v>9.5557874252616415E-3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46820</v>
      </c>
      <c r="Z1089" s="109">
        <v>9.5624368148605754E-3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46827</v>
      </c>
      <c r="Z1090" s="109">
        <v>9.5690183049335076E-3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46834</v>
      </c>
      <c r="Z1091" s="109">
        <v>9.575531895480438E-3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46841</v>
      </c>
      <c r="Z1092" s="109">
        <v>9.5819775865813028E-3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46848</v>
      </c>
      <c r="Z1093" s="109">
        <v>9.5883553781561659E-3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46855</v>
      </c>
      <c r="Z1094" s="109">
        <v>9.5946652702050272E-3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46862</v>
      </c>
      <c r="Z1095" s="109">
        <v>9.6009072627278869E-3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46869</v>
      </c>
      <c r="Z1096" s="109">
        <v>9.6070813558046808E-3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46876</v>
      </c>
      <c r="Z1097" s="109">
        <v>9.613187549355473E-3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46883</v>
      </c>
      <c r="Z1098" s="109">
        <v>9.6192258434601996E-3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46890</v>
      </c>
      <c r="Z1099" s="109">
        <v>9.6251962378790523E-3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46897</v>
      </c>
      <c r="Z1100" s="109">
        <v>9.6316464101553478E-3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46904</v>
      </c>
      <c r="Z1101" s="109">
        <v>9.6369333283785608E-3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46911</v>
      </c>
      <c r="Z1102" s="109">
        <v>9.6427000242993444E-3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46918</v>
      </c>
      <c r="Z1103" s="109">
        <v>9.6483988206941262E-3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46925</v>
      </c>
      <c r="Z1104" s="109">
        <v>9.6540297175629064E-3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46932</v>
      </c>
      <c r="Z1105" s="109">
        <v>9.6595927149056848E-3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46939</v>
      </c>
      <c r="Z1106" s="109">
        <v>9.6650878126425255E-3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46946</v>
      </c>
      <c r="Z1107" s="109">
        <v>9.6705150109333005E-3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46953</v>
      </c>
      <c r="Z1108" s="109">
        <v>9.6758743096181377E-3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46960</v>
      </c>
      <c r="Z1109" s="109">
        <v>9.6811657086970371E-3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46968</v>
      </c>
      <c r="Z1110" s="109">
        <v>9.6871298796941119E-3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46975</v>
      </c>
      <c r="Z1111" s="109">
        <v>9.6922757798001413E-3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46982</v>
      </c>
      <c r="Z1112" s="109">
        <v>9.697353780300233E-3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46989</v>
      </c>
      <c r="Z1113" s="109">
        <v>9.7023638812743229E-3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46996</v>
      </c>
      <c r="Z1114" s="109">
        <v>9.7073060826424751E-3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47003</v>
      </c>
      <c r="Z1115" s="109">
        <v>9.7121803844846255E-3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47010</v>
      </c>
      <c r="Z1116" s="109">
        <v>9.7169867867208382E-3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47017</v>
      </c>
      <c r="Z1117" s="109">
        <v>9.7217252894310491E-3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47024</v>
      </c>
      <c r="Z1118" s="109">
        <v>9.7263958924553862E-3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47031</v>
      </c>
      <c r="Z1119" s="109">
        <v>9.7309985959537215E-3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47038</v>
      </c>
      <c r="Z1120" s="109">
        <v>9.7355333999260552E-3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47045</v>
      </c>
      <c r="Z1121" s="109">
        <v>9.740000304292451E-3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47052</v>
      </c>
      <c r="Z1122" s="109">
        <v>9.744399308972973E-3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47059</v>
      </c>
      <c r="Z1123" s="109">
        <v>9.7487304141274933E-3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47066</v>
      </c>
      <c r="Z1124" s="109">
        <v>9.7529936196760758E-3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47073</v>
      </c>
      <c r="Z1125" s="109">
        <v>9.7571889256986566E-3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47080</v>
      </c>
      <c r="Z1126" s="109">
        <v>9.7613163320353635E-3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47087</v>
      </c>
      <c r="Z1127" s="109">
        <v>9.7653758388460687E-3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47094</v>
      </c>
      <c r="Z1128" s="109">
        <v>9.7693674459709001E-3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47101</v>
      </c>
      <c r="Z1129" s="109">
        <v>9.7732911535697298E-3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47108</v>
      </c>
      <c r="Z1130" s="109">
        <v>9.7771469615626216E-3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47115</v>
      </c>
      <c r="Z1131" s="109">
        <v>9.7809348698696397E-3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47122</v>
      </c>
      <c r="Z1132" s="109">
        <v>9.784654878650656E-3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47129</v>
      </c>
      <c r="Z1133" s="109">
        <v>9.7883069877457984E-3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47136</v>
      </c>
      <c r="Z1134" s="109">
        <v>9.7918911973149392E-3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47143</v>
      </c>
      <c r="Z1135" s="109">
        <v>9.7954075071982061E-3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47150</v>
      </c>
      <c r="Z1136" s="109">
        <v>9.7988559174755352E-3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47157</v>
      </c>
      <c r="Z1137" s="109">
        <v>9.8022364280669905E-3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47164</v>
      </c>
      <c r="Z1138" s="109">
        <v>9.805549039052508E-3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47171</v>
      </c>
      <c r="Z1139" s="109">
        <v>9.8087937505120237E-3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47178</v>
      </c>
      <c r="Z1140" s="109">
        <v>9.8119705622856657E-3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47185</v>
      </c>
      <c r="Z1141" s="109">
        <v>9.8150794744533698E-3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47192</v>
      </c>
      <c r="Z1142" s="109">
        <v>9.8181204869352001E-3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47199</v>
      </c>
      <c r="Z1143" s="109">
        <v>9.8210935998110926E-3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47206</v>
      </c>
      <c r="Z1144" s="109">
        <v>9.8253512926333997E-3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47213</v>
      </c>
      <c r="Z1145" s="109">
        <v>9.8268361266651283E-3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47220</v>
      </c>
      <c r="Z1146" s="109">
        <v>9.8296055406432714E-3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47227</v>
      </c>
      <c r="Z1147" s="109">
        <v>9.8323070550154767E-3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47234</v>
      </c>
      <c r="Z1148" s="109">
        <v>9.8349406697018082E-3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47241</v>
      </c>
      <c r="Z1149" s="109">
        <v>9.8375063847022659E-3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47249</v>
      </c>
      <c r="Z1150" s="109">
        <v>9.8409739294336163E-3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47255</v>
      </c>
      <c r="Z1151" s="109">
        <v>9.8424341159653039E-3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47262</v>
      </c>
      <c r="Z1152" s="109">
        <v>9.8447961320680122E-3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47269</v>
      </c>
      <c r="Z1153" s="109">
        <v>9.8470902484848466E-3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47276</v>
      </c>
      <c r="Z1154" s="109">
        <v>9.8493164652957432E-3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47283</v>
      </c>
      <c r="Z1155" s="109">
        <v>9.8514747825007021E-3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47290</v>
      </c>
      <c r="Z1156" s="109">
        <v>9.8535652000197871E-3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47297</v>
      </c>
      <c r="Z1157" s="109">
        <v>9.8555877178529983E-3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47304</v>
      </c>
      <c r="Z1158" s="109">
        <v>9.8575423361602077E-3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47311</v>
      </c>
      <c r="Z1159" s="109">
        <v>9.8594290547016072E-3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47318</v>
      </c>
      <c r="Z1160" s="109">
        <v>9.8612478735571329E-3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47325</v>
      </c>
      <c r="Z1161" s="109">
        <v>9.8629987928067209E-3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47333</v>
      </c>
      <c r="Z1162" s="109">
        <v>9.8654200809367154E-3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47340</v>
      </c>
      <c r="Z1163" s="109">
        <v>9.8670158884228698E-3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47347</v>
      </c>
      <c r="Z1164" s="109">
        <v>9.8685437925460917E-3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47354</v>
      </c>
      <c r="Z1165" s="109">
        <v>9.8700037933063811E-3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47361</v>
      </c>
      <c r="Z1166" s="109">
        <v>9.8713958906770927E-3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47368</v>
      </c>
      <c r="Z1167" s="109">
        <v>9.8727200846582264E-3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47375</v>
      </c>
      <c r="Z1168" s="109">
        <v>9.8739763753030729E-3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47382</v>
      </c>
      <c r="Z1169" s="109">
        <v>9.8751647625316963E-3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47389</v>
      </c>
      <c r="Z1170" s="109">
        <v>9.8762852463973871E-3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47396</v>
      </c>
      <c r="Z1171" s="109">
        <v>9.8773378268735001E-3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47403</v>
      </c>
      <c r="Z1172" s="109">
        <v>9.8783225039600353E-3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47410</v>
      </c>
      <c r="Z1173" s="109">
        <v>9.8792392776569926E-3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47417</v>
      </c>
      <c r="Z1174" s="109">
        <v>9.8800881479643721E-3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47424</v>
      </c>
      <c r="Z1175" s="109">
        <v>9.8808691148821737E-3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47431</v>
      </c>
      <c r="Z1176" s="109">
        <v>9.8815821784370428E-3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47438</v>
      </c>
      <c r="Z1177" s="109">
        <v>9.8822273385756887E-3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47445</v>
      </c>
      <c r="Z1178" s="109">
        <v>9.8828045952981114E-3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47452</v>
      </c>
      <c r="Z1179" s="109">
        <v>9.8833139486576016E-3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47459</v>
      </c>
      <c r="Z1180" s="109">
        <v>9.8837553986008686E-3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47466</v>
      </c>
      <c r="Z1181" s="109">
        <v>9.8841289451545578E-3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47473</v>
      </c>
      <c r="Z1182" s="109">
        <v>9.8844345883186691E-3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47480</v>
      </c>
      <c r="Z1183" s="109">
        <v>9.8846723280665572E-3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47487</v>
      </c>
      <c r="Z1184" s="109">
        <v>9.8848421644248674E-3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47494</v>
      </c>
      <c r="Z1185" s="109">
        <v>9.8849440973669545E-3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47501</v>
      </c>
      <c r="Z1186" s="109">
        <v>9.884978126946109E-3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47508</v>
      </c>
      <c r="Z1187" s="109">
        <v>9.8849442531090403E-3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47515</v>
      </c>
      <c r="Z1188" s="109">
        <v>9.8848424758557485E-3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47522</v>
      </c>
      <c r="Z1189" s="109">
        <v>9.8846727952395241E-3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47529</v>
      </c>
      <c r="Z1190" s="109">
        <v>9.8844352112070766E-3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47536</v>
      </c>
      <c r="Z1191" s="109">
        <v>9.8841297237584058E-3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47543</v>
      </c>
      <c r="Z1192" s="109">
        <v>9.8837563329201572E-3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47550</v>
      </c>
      <c r="Z1193" s="109">
        <v>9.8833150386923307E-3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47557</v>
      </c>
      <c r="Z1194" s="109">
        <v>9.8828058410749264E-3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47564</v>
      </c>
      <c r="Z1195" s="109">
        <v>9.8822287400679443E-3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47571</v>
      </c>
      <c r="Z1196" s="109">
        <v>9.8815837356447389E-3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47578</v>
      </c>
      <c r="Z1197" s="109">
        <v>9.8808708278319557E-3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47585</v>
      </c>
      <c r="Z1198" s="109">
        <v>9.88009001665624E-3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47596</v>
      </c>
      <c r="Z1199" s="109">
        <v>9.8785861664385521E-3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47599</v>
      </c>
      <c r="Z1200" s="109">
        <v>9.8783246840561389E-3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47606</v>
      </c>
      <c r="Z1201" s="109">
        <v>9.8773401627116897E-3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47613</v>
      </c>
      <c r="Z1202" s="109">
        <v>9.8762877379510172E-3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47620</v>
      </c>
      <c r="Z1203" s="109">
        <v>9.8751945102293348E-3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47627</v>
      </c>
      <c r="Z1204" s="109">
        <v>9.8741164287385885E-3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47637</v>
      </c>
      <c r="Z1205" s="109">
        <v>9.872485571209566E-3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47645</v>
      </c>
      <c r="Z1206" s="109">
        <v>9.8713014101203811E-3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47651</v>
      </c>
      <c r="Z1207" s="109">
        <v>9.8704285190009955E-3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47658</v>
      </c>
      <c r="Z1208" s="109">
        <v>9.8694266446575085E-3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47665</v>
      </c>
      <c r="Z1209" s="109">
        <v>9.8684425383410712E-3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47672</v>
      </c>
      <c r="Z1210" s="109">
        <v>9.8674761998118754E-3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47679</v>
      </c>
      <c r="Z1211" s="109">
        <v>9.8665276291498571E-3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47686</v>
      </c>
      <c r="Z1212" s="109">
        <v>9.8655968264349525E-3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47693</v>
      </c>
      <c r="Z1213" s="109">
        <v>9.8646837915872254E-3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47700</v>
      </c>
      <c r="Z1214" s="109">
        <v>9.8637885245267398E-3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47707</v>
      </c>
      <c r="Z1215" s="109">
        <v>9.8629110254133678E-3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47714</v>
      </c>
      <c r="Z1216" s="109">
        <v>9.8620512942471095E-3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47721</v>
      </c>
      <c r="Z1217" s="109">
        <v>9.8612093308680926E-3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47728</v>
      </c>
      <c r="Z1218" s="109">
        <v>9.8603851354361893E-3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47735</v>
      </c>
      <c r="Z1219" s="109">
        <v>9.8595787078714636E-3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47742</v>
      </c>
      <c r="Z1220" s="109">
        <v>9.8587900482538515E-3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47749</v>
      </c>
      <c r="Z1221" s="109">
        <v>9.8580191563435449E-3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47756</v>
      </c>
      <c r="Z1222" s="109">
        <v>9.8572660324602879E-3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47763</v>
      </c>
      <c r="Z1223" s="109">
        <v>9.8565306764442084E-3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47770</v>
      </c>
      <c r="Z1224" s="109">
        <v>9.8558130882953066E-3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47777</v>
      </c>
      <c r="Z1225" s="109">
        <v>9.8551132679336462E-3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47784</v>
      </c>
      <c r="Z1226" s="109">
        <v>9.8544312155990355E-3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47791</v>
      </c>
      <c r="Z1227" s="109">
        <v>9.8537669310516662E-3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47798</v>
      </c>
      <c r="Z1228" s="109">
        <v>9.8531204143714746E-3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47805</v>
      </c>
      <c r="Z1229" s="109">
        <v>9.8524916656383965E-3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47812</v>
      </c>
      <c r="Z1230" s="109">
        <v>9.851880684772496E-3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47819</v>
      </c>
      <c r="Z1231" s="109">
        <v>9.851287471693837E-3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47826</v>
      </c>
      <c r="Z1232" s="109">
        <v>9.8507120266422277E-3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47833</v>
      </c>
      <c r="Z1233" s="109">
        <v>9.8501543493778598E-3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47840</v>
      </c>
      <c r="Z1234" s="109">
        <v>9.8496144399806695E-3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47847</v>
      </c>
      <c r="Z1235" s="109">
        <v>9.8490922985305929E-3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47854</v>
      </c>
      <c r="Z1236" s="109">
        <v>9.8485879249476938E-3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47861</v>
      </c>
      <c r="Z1237" s="109">
        <v>9.8481013192319722E-3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47868</v>
      </c>
      <c r="Z1238" s="109">
        <v>9.8476324813834282E-3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47875</v>
      </c>
      <c r="Z1239" s="109">
        <v>9.8471814114020617E-3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47882</v>
      </c>
      <c r="Z1240" s="109">
        <v>9.8467481093678089E-3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47889</v>
      </c>
      <c r="Z1241" s="109">
        <v>9.8463325752007336E-3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47896</v>
      </c>
      <c r="Z1242" s="109">
        <v>9.8459348088208998E-3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47903</v>
      </c>
      <c r="Z1243" s="109">
        <v>9.8455548103881796E-3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47910</v>
      </c>
      <c r="Z1244" s="109">
        <v>9.845192579822637E-3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47917</v>
      </c>
      <c r="Z1245" s="109">
        <v>9.8448481171242719E-3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47924</v>
      </c>
      <c r="Z1246" s="109">
        <v>9.8445214223730204E-3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47931</v>
      </c>
      <c r="Z1247" s="109">
        <v>9.8442124954090104E-3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47938</v>
      </c>
      <c r="Z1248" s="109">
        <v>9.8439213363921141E-3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47945</v>
      </c>
      <c r="Z1249" s="109">
        <v>9.8436479451624592E-3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47954</v>
      </c>
      <c r="Z1250" s="109">
        <v>9.8433225501715071E-3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47961</v>
      </c>
      <c r="Z1251" s="109">
        <v>9.8430897713353005E-3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47968</v>
      </c>
      <c r="Z1252" s="109">
        <v>9.8429946857958583E-3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47975</v>
      </c>
      <c r="Z1253" s="109">
        <v>9.8426775171844838E-3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47982</v>
      </c>
      <c r="Z1254" s="109">
        <v>9.8424980419498098E-3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47989</v>
      </c>
      <c r="Z1255" s="109">
        <v>9.8424600528579376E-3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47996</v>
      </c>
      <c r="Z1256" s="109">
        <v>9.8421923951619306E-3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48003</v>
      </c>
      <c r="Z1257" s="109">
        <v>9.8420662235287892E-3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48010</v>
      </c>
      <c r="Z1258" s="109">
        <v>9.8419578197628255E-3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48017</v>
      </c>
      <c r="Z1259" s="109">
        <v>9.8418671839439753E-3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48024</v>
      </c>
      <c r="Z1260" s="109">
        <v>9.8417943159923027E-3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48031</v>
      </c>
      <c r="Z1261" s="109">
        <v>9.8417392159078076E-3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48038</v>
      </c>
      <c r="Z1262" s="109">
        <v>9.8417018837704262E-3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48045</v>
      </c>
      <c r="Z1263" s="109">
        <v>9.8416823194202863E-3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48052</v>
      </c>
      <c r="Z1264" s="109">
        <v>9.8416805229373239E-3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48059</v>
      </c>
      <c r="Z1265" s="109">
        <v>9.8416964944014751E-3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48066</v>
      </c>
      <c r="Z1266" s="109">
        <v>9.8417302337328039E-3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48073</v>
      </c>
      <c r="Z1267" s="109">
        <v>9.8417817409313102E-3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48080</v>
      </c>
      <c r="Z1268" s="109">
        <v>9.8418510159969941E-3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48087</v>
      </c>
      <c r="Z1269" s="109">
        <v>9.8419380589298555E-3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48094</v>
      </c>
      <c r="Z1270" s="109">
        <v>9.8420428698098306E-3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48101</v>
      </c>
      <c r="Z1271" s="109">
        <v>9.842165448397111E-3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48108</v>
      </c>
      <c r="Z1272" s="109">
        <v>9.8423057950913773E-3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48115</v>
      </c>
      <c r="Z1273" s="109">
        <v>9.8424639094929489E-3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48122</v>
      </c>
      <c r="Z1274" s="109">
        <v>9.8426397918416342E-3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48129</v>
      </c>
      <c r="Z1275" s="109">
        <v>9.842833442057497E-3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48136</v>
      </c>
      <c r="Z1276" s="109">
        <v>9.8430448601405374E-3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48143</v>
      </c>
      <c r="Z1277" s="109">
        <v>9.8432740461706913E-3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48150</v>
      </c>
      <c r="Z1278" s="109">
        <v>9.8435209999880868E-3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48157</v>
      </c>
      <c r="Z1279" s="109">
        <v>9.8437857217525959E-3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48164</v>
      </c>
      <c r="Z1280" s="109">
        <v>9.8440682113842826E-3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48171</v>
      </c>
      <c r="Z1281" s="109">
        <v>9.8443684688831468E-3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48178</v>
      </c>
      <c r="Z1282" s="109">
        <v>9.8446864941692525E-3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48185</v>
      </c>
      <c r="Z1283" s="109">
        <v>9.8450222874824078E-3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48192</v>
      </c>
      <c r="Z1284" s="109">
        <v>9.8453758486627407E-3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48199</v>
      </c>
      <c r="Z1285" s="109">
        <v>9.8457471776303152E-3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48206</v>
      </c>
      <c r="Z1286" s="109">
        <v>9.8467896895630957E-3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48213</v>
      </c>
      <c r="Z1287" s="109">
        <v>9.8472016759441061E-3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48220</v>
      </c>
      <c r="Z1288" s="109">
        <v>9.8469677719759119E-3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48227</v>
      </c>
      <c r="Z1289" s="109">
        <v>9.8474101724921326E-3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48234</v>
      </c>
      <c r="Z1290" s="109">
        <v>9.8478703408755308E-3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48241</v>
      </c>
      <c r="Z1291" s="109">
        <v>9.8483482772060427E-3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48248</v>
      </c>
      <c r="Z1292" s="109">
        <v>9.848843981323796E-3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48255</v>
      </c>
      <c r="Z1293" s="109">
        <v>9.849357453388663E-3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48262</v>
      </c>
      <c r="Z1294" s="109">
        <v>9.8498886933207075E-3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48269</v>
      </c>
      <c r="Z1295" s="109">
        <v>9.8504377011998656E-3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48276</v>
      </c>
      <c r="Z1296" s="109">
        <v>9.8510044767863292E-3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48283</v>
      </c>
      <c r="Z1297" s="109">
        <v>9.8515890203998424E-3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48290</v>
      </c>
      <c r="Z1298" s="109">
        <v>9.8521913318805332E-3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48297</v>
      </c>
      <c r="Z1299" s="109">
        <v>9.8528114111484655E-3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48304</v>
      </c>
      <c r="Z1300" s="109">
        <v>9.8534492584434474E-3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48311</v>
      </c>
      <c r="Z1301" s="109">
        <v>9.8541048735256709E-3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48318</v>
      </c>
      <c r="Z1302" s="109">
        <v>9.8547782564750719E-3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48325</v>
      </c>
      <c r="Z1303" s="109">
        <v>9.8554694073715865E-3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48332</v>
      </c>
      <c r="Z1304" s="109">
        <v>9.8561783260553426E-3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48339</v>
      </c>
      <c r="Z1305" s="109">
        <v>9.8570925880014926E-3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48346</v>
      </c>
      <c r="Z1306" s="109">
        <v>9.8576494671842596E-3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48353</v>
      </c>
      <c r="Z1307" s="109">
        <v>9.8584116895494844E-3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48360</v>
      </c>
      <c r="Z1308" s="109">
        <v>9.8591916798618229E-3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48367</v>
      </c>
      <c r="Z1309" s="109">
        <v>9.8599894379614028E-3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48374</v>
      </c>
      <c r="Z1310" s="109">
        <v>9.8608049640080964E-3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48381</v>
      </c>
      <c r="Z1311" s="109">
        <v>9.8616382579219675E-3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48388</v>
      </c>
      <c r="Z1312" s="109">
        <v>9.8624893197030161E-3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48395</v>
      </c>
      <c r="Z1313" s="109">
        <v>9.8633581493512423E-3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48402</v>
      </c>
      <c r="Z1314" s="109">
        <v>9.8642447468666461E-3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48409</v>
      </c>
      <c r="Z1315" s="109">
        <v>9.8651491123291635E-3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48416</v>
      </c>
      <c r="Z1316" s="109">
        <v>9.8660712456588584E-3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48423</v>
      </c>
      <c r="Z1317" s="109">
        <v>9.8670111468557309E-3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48430</v>
      </c>
      <c r="Z1318" s="109">
        <v>9.8679688159197809E-3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48437</v>
      </c>
      <c r="Z1319" s="109">
        <v>9.8689442529309446E-3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48444</v>
      </c>
      <c r="Z1320" s="109">
        <v>9.8699374577293497E-3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48451</v>
      </c>
      <c r="Z1321" s="109">
        <v>9.8709484304748685E-3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48458</v>
      </c>
      <c r="Z1322" s="109">
        <v>9.8719771710875648E-3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48465</v>
      </c>
      <c r="Z1323" s="109">
        <v>9.8730236795674386E-3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48472</v>
      </c>
      <c r="Z1324" s="109">
        <v>9.8740879559144901E-3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48479</v>
      </c>
      <c r="Z1325" s="109">
        <v>9.8751700002086551E-3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48486</v>
      </c>
      <c r="Z1326" s="109">
        <v>9.8762698123699977E-3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48493</v>
      </c>
      <c r="Z1327" s="109">
        <v>9.8773873923985178E-3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48500</v>
      </c>
      <c r="Z1328" s="109">
        <v>9.8785227402942155E-3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48507</v>
      </c>
      <c r="Z1329" s="109">
        <v>9.8796758561370268E-3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48514</v>
      </c>
      <c r="Z1330" s="109">
        <v>9.8808467397670796E-3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48521</v>
      </c>
      <c r="Z1331" s="109">
        <v>9.882035391344246E-3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48528</v>
      </c>
      <c r="Z1332" s="109">
        <v>9.88324181078859E-3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48535</v>
      </c>
      <c r="Z1333" s="109">
        <v>9.8844659981001115E-3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48542</v>
      </c>
      <c r="Z1334" s="109">
        <v>9.8857079533587466E-3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48549</v>
      </c>
      <c r="Z1335" s="109">
        <v>9.8869676764845593E-3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48556</v>
      </c>
      <c r="Z1336" s="109">
        <v>9.8882451674775496E-3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48563</v>
      </c>
      <c r="Z1337" s="109">
        <v>9.8895404263377173E-3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48570</v>
      </c>
      <c r="Z1338" s="109">
        <v>9.8908534531449988E-3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48577</v>
      </c>
      <c r="Z1339" s="109">
        <v>9.8921842477395217E-3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48584</v>
      </c>
      <c r="Z1340" s="109">
        <v>9.8935328102811582E-3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48591</v>
      </c>
      <c r="Z1341" s="109">
        <v>9.8948991407699083E-3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48598</v>
      </c>
      <c r="Z1342" s="109">
        <v>9.8962832390458999E-3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48605</v>
      </c>
      <c r="Z1343" s="109">
        <v>9.8976851052690051E-3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48612</v>
      </c>
      <c r="Z1344" s="109">
        <v>9.8991047393592879E-3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48619</v>
      </c>
      <c r="Z1345" s="109">
        <v>9.9005421413167483E-3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48626</v>
      </c>
      <c r="Z1346" s="109">
        <v>9.9019973111413861E-3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48633</v>
      </c>
      <c r="Z1347" s="109">
        <v>9.9034702489131377E-3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48640</v>
      </c>
      <c r="Z1348" s="109">
        <v>9.9049609545520667E-3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48647</v>
      </c>
      <c r="Z1349" s="109">
        <v>9.9064694280581733E-3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48654</v>
      </c>
      <c r="Z1350" s="109">
        <v>9.9079956694314575E-3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48661</v>
      </c>
      <c r="Z1351" s="109">
        <v>9.9095396787518553E-3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48668</v>
      </c>
      <c r="Z1352" s="109">
        <v>9.9111014559394306E-3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48675</v>
      </c>
      <c r="Z1353" s="109">
        <v>9.9126810009941835E-3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48682</v>
      </c>
      <c r="Z1354" s="109">
        <v>9.91427831399605E-3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48689</v>
      </c>
      <c r="Z1355" s="109">
        <v>9.915893394865094E-3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48696</v>
      </c>
      <c r="Z1356" s="109">
        <v>9.9175262436013156E-3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48703</v>
      </c>
      <c r="Z1357" s="109">
        <v>9.9191768602047148E-3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48710</v>
      </c>
      <c r="Z1358" s="109">
        <v>9.9208452447552276E-3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48717</v>
      </c>
      <c r="Z1359" s="109">
        <v>9.9225313971729179E-3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48724</v>
      </c>
      <c r="Z1360" s="109">
        <v>9.9244945469756374E-3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48731</v>
      </c>
      <c r="Z1361" s="109">
        <v>9.9259570056897672E-3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48738</v>
      </c>
      <c r="Z1362" s="109">
        <v>9.9276964617889263E-3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48745</v>
      </c>
      <c r="Z1363" s="109">
        <v>9.9294536857552629E-3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48752</v>
      </c>
      <c r="Z1364" s="109">
        <v>9.9312286776687131E-3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48759</v>
      </c>
      <c r="Z1365" s="109">
        <v>9.9330214374493409E-3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48766</v>
      </c>
      <c r="Z1366" s="109">
        <v>9.9348319650971462E-3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48773</v>
      </c>
      <c r="Z1367" s="109">
        <v>9.936660260612129E-3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48780</v>
      </c>
      <c r="Z1368" s="109">
        <v>9.9385063240742255E-3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48787</v>
      </c>
      <c r="Z1369" s="109">
        <v>9.9403701554034996E-3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48794</v>
      </c>
      <c r="Z1370" s="109">
        <v>9.9422517546798872E-3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48801</v>
      </c>
      <c r="Z1371" s="109">
        <v>9.9441511217435163E-3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48808</v>
      </c>
      <c r="Z1372" s="109">
        <v>9.9460682567542591E-3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48815</v>
      </c>
      <c r="Z1373" s="109">
        <v>9.9480031597121155E-3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48822</v>
      </c>
      <c r="Z1374" s="109">
        <v>9.9499558305371494E-3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48829</v>
      </c>
      <c r="Z1375" s="109">
        <v>9.9519262692293609E-3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48836</v>
      </c>
      <c r="Z1376" s="109">
        <v>9.9539144757887499E-3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48843</v>
      </c>
      <c r="Z1377" s="109">
        <v>9.9559204503751886E-3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48850</v>
      </c>
      <c r="Z1378" s="109">
        <v>9.9579441926689327E-3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48857</v>
      </c>
      <c r="Z1379" s="109">
        <v>9.9599857029897265E-3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48864</v>
      </c>
      <c r="Z1380" s="109">
        <v>9.9620449810977618E-3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48871</v>
      </c>
      <c r="Z1381" s="109">
        <v>9.9641220272328468E-3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48878</v>
      </c>
      <c r="Z1382" s="109">
        <v>9.9662168412351093E-3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48885</v>
      </c>
      <c r="Z1383" s="109">
        <v>9.9683294231045494E-3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48892</v>
      </c>
      <c r="Z1384" s="109">
        <v>9.970459772841167E-3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48899</v>
      </c>
      <c r="Z1385" s="109">
        <v>9.9726078905248983E-3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48906</v>
      </c>
      <c r="Z1386" s="109">
        <v>9.9747737761557431E-3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48913</v>
      </c>
      <c r="Z1387" s="109">
        <v>9.9769574295738295E-3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48920</v>
      </c>
      <c r="Z1388" s="109">
        <v>9.9791588509390294E-3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48927</v>
      </c>
      <c r="Z1389" s="109">
        <v>9.981378040171407E-3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48934</v>
      </c>
      <c r="Z1390" s="109">
        <v>9.9836149973508981E-3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48941</v>
      </c>
      <c r="Z1391" s="109">
        <v>9.9858697223975668E-3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48948</v>
      </c>
      <c r="Z1392" s="109">
        <v>9.988142215311413E-3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48955</v>
      </c>
      <c r="Z1393" s="109">
        <v>9.9904324762523089E-3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48962</v>
      </c>
      <c r="Z1394" s="109">
        <v>9.9927405049804463E-3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48969</v>
      </c>
      <c r="Z1395" s="109">
        <v>9.9950663016556973E-3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48976</v>
      </c>
      <c r="Z1396" s="109">
        <v>9.9974098661981259E-3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48983</v>
      </c>
      <c r="Z1397" s="109">
        <v>9.9997711986876681E-3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48990</v>
      </c>
      <c r="Z1398" s="109">
        <v>1.0002150299044388E-2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48997</v>
      </c>
      <c r="Z1399" s="109">
        <v>1.0004547167348221E-2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49004</v>
      </c>
      <c r="Z1400" s="109">
        <v>1.0006961803519232E-2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49011</v>
      </c>
      <c r="Z1401" s="109">
        <v>1.0009394207637357E-2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49018</v>
      </c>
      <c r="Z1402" s="109">
        <v>1.0011844379622659E-2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49025</v>
      </c>
      <c r="Z1403" s="109">
        <v>1.0014312319475138E-2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49032</v>
      </c>
      <c r="Z1404" s="109">
        <v>1.0016798027274731E-2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49039</v>
      </c>
      <c r="Z1405" s="109">
        <v>1.0019301502941502E-2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49046</v>
      </c>
      <c r="Z1406" s="109">
        <v>1.0021822746555387E-2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49053</v>
      </c>
      <c r="Z1407" s="109">
        <v>1.0024361758116385E-2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49060</v>
      </c>
      <c r="Z1408" s="109">
        <v>1.0026918537464624E-2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49067</v>
      </c>
      <c r="Z1409" s="109">
        <v>1.0029493084839913E-2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49074</v>
      </c>
      <c r="Z1410" s="109">
        <v>1.003208540008238E-2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49081</v>
      </c>
      <c r="Z1411" s="109">
        <v>1.0035022502443702E-2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49088</v>
      </c>
      <c r="Z1412" s="109">
        <v>1.0037323334168846E-2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49095</v>
      </c>
      <c r="Z1413" s="109">
        <v>1.0039968953172718E-2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49102</v>
      </c>
      <c r="Z1414" s="109">
        <v>1.0042632339963831E-2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49109</v>
      </c>
      <c r="Z1415" s="109">
        <v>1.0045313494781993E-2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49116</v>
      </c>
      <c r="Z1416" s="109">
        <v>1.0048012417467334E-2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49123</v>
      </c>
      <c r="Z1417" s="109">
        <v>1.0050729108099787E-2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49130</v>
      </c>
      <c r="Z1418" s="109">
        <v>1.0053463566519483E-2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49137</v>
      </c>
      <c r="Z1419" s="109">
        <v>1.0056215792966228E-2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49144</v>
      </c>
      <c r="Z1420" s="109">
        <v>1.0058985787200214E-2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49151</v>
      </c>
      <c r="Z1421" s="109">
        <v>1.006177354946125E-2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49159</v>
      </c>
      <c r="Z1422" s="109">
        <v>1.0064981320070387E-2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49166</v>
      </c>
      <c r="Z1423" s="109">
        <v>1.0067807156435293E-2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49173</v>
      </c>
      <c r="Z1424" s="109">
        <v>1.0070650760587441E-2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49180</v>
      </c>
      <c r="Z1425" s="109">
        <v>1.0073512132766638E-2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49187</v>
      </c>
      <c r="Z1426" s="109">
        <v>1.0076391272813012E-2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49194</v>
      </c>
      <c r="Z1427" s="109">
        <v>1.00792881808065E-2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49201</v>
      </c>
      <c r="Z1428" s="109">
        <v>1.0082202856667166E-2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49208</v>
      </c>
      <c r="Z1429" s="109">
        <v>1.0085135300554882E-2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49215</v>
      </c>
      <c r="Z1430" s="109">
        <v>1.0088085512229839E-2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49222</v>
      </c>
      <c r="Z1431" s="109">
        <v>1.0091053491851909E-2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49229</v>
      </c>
      <c r="Z1432" s="109">
        <v>1.0094039239421093E-2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49236</v>
      </c>
      <c r="Z1433" s="109">
        <v>1.0097042754857455E-2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49243</v>
      </c>
      <c r="Z1434" s="109">
        <v>1.010006403824093E-2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49250</v>
      </c>
      <c r="Z1435" s="109">
        <v>1.0103103089571519E-2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49257</v>
      </c>
      <c r="Z1436" s="109">
        <v>1.0106159908769285E-2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49264</v>
      </c>
      <c r="Z1437" s="109">
        <v>1.0109234495914166E-2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49271</v>
      </c>
      <c r="Z1438" s="109">
        <v>1.0112326851006159E-2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49278</v>
      </c>
      <c r="Z1439" s="109">
        <v>1.011543697396533E-2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49285</v>
      </c>
      <c r="Z1440" s="109">
        <v>1.0118564864871615E-2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49292</v>
      </c>
      <c r="Z1441" s="109">
        <v>1.0121710523565142E-2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49299</v>
      </c>
      <c r="Z1442" s="109">
        <v>1.0124873950365654E-2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49306</v>
      </c>
      <c r="Z1443" s="109">
        <v>1.0128055145033343E-2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49313</v>
      </c>
      <c r="Z1444" s="109">
        <v>1.0131254107568211E-2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49320</v>
      </c>
      <c r="Z1445" s="109">
        <v>1.0134470838050191E-2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49327</v>
      </c>
      <c r="Z1446" s="109">
        <v>1.0137705336479286E-2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49334</v>
      </c>
      <c r="Z1447" s="109">
        <v>1.0140957602855494E-2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49341</v>
      </c>
      <c r="Z1448" s="109">
        <v>1.0144227637098879E-2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49348</v>
      </c>
      <c r="Z1449" s="109">
        <v>1.0147515439289378E-2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49355</v>
      </c>
      <c r="Z1450" s="109">
        <v>1.0150821009347055E-2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49362</v>
      </c>
      <c r="Z1451" s="109">
        <v>1.0154144347351846E-2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49369</v>
      </c>
      <c r="Z1452" s="109">
        <v>1.0157485453383686E-2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49376</v>
      </c>
      <c r="Z1453" s="109">
        <v>1.0160844327282703E-2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49383</v>
      </c>
      <c r="Z1454" s="109">
        <v>1.0164220969048898E-2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49390</v>
      </c>
      <c r="Z1455" s="109">
        <v>1.016916329804296E-2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49397</v>
      </c>
      <c r="Z1456" s="109">
        <v>1.0171027556502565E-2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49404</v>
      </c>
      <c r="Z1457" s="109">
        <v>1.0174457502030165E-2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49411</v>
      </c>
      <c r="Z1458" s="109">
        <v>1.0177905215584815E-2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49418</v>
      </c>
      <c r="Z1459" s="109">
        <v>1.0181370697006642E-2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49425</v>
      </c>
      <c r="Z1460" s="109">
        <v>1.0184853946455519E-2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49433</v>
      </c>
      <c r="Z1461" s="109">
        <v>1.018964703877856E-2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49439</v>
      </c>
      <c r="Z1462" s="109">
        <v>1.0191873748954805E-2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49446</v>
      </c>
      <c r="Z1463" s="109">
        <v>1.0195406802564477E-2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49453</v>
      </c>
      <c r="Z1464" s="109">
        <v>1.0198914708450246E-2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49460</v>
      </c>
      <c r="Z1465" s="109">
        <v>1.0202386231279448E-2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49467</v>
      </c>
      <c r="Z1466" s="109">
        <v>1.0205821370972146E-2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49474</v>
      </c>
      <c r="Z1467" s="109">
        <v>1.0209220127448404E-2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49481</v>
      </c>
      <c r="Z1468" s="109">
        <v>1.0212582500868095E-2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49488</v>
      </c>
      <c r="Z1469" s="109">
        <v>1.0215908491151282E-2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49495</v>
      </c>
      <c r="Z1470" s="109">
        <v>1.0219198098297966E-2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49502</v>
      </c>
      <c r="Z1471" s="109">
        <v>1.0222451322388082E-2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49509</v>
      </c>
      <c r="Z1472" s="109">
        <v>1.0225668163261759E-2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49516</v>
      </c>
      <c r="Z1473" s="109">
        <v>1.0228848620998932E-2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49524</v>
      </c>
      <c r="Z1474" s="109">
        <v>1.0233174941740586E-2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49531</v>
      </c>
      <c r="Z1475" s="109">
        <v>1.0236272414152481E-2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49538</v>
      </c>
      <c r="Z1476" s="109">
        <v>1.0239333501402825E-2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49545</v>
      </c>
      <c r="Z1477" s="109">
        <v>1.0242358203518265E-2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49552</v>
      </c>
      <c r="Z1478" s="109">
        <v>1.0245346520498799E-2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49559</v>
      </c>
      <c r="Z1479" s="109">
        <v>1.0248298452317783E-2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49566</v>
      </c>
      <c r="Z1480" s="109">
        <v>1.0251213998921926E-2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49573</v>
      </c>
      <c r="Z1481" s="109">
        <v>1.025409316041781E-2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49580</v>
      </c>
      <c r="Z1482" s="109">
        <v>1.0256935936725498E-2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49587</v>
      </c>
      <c r="Z1483" s="109">
        <v>1.0259742327871635E-2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49594</v>
      </c>
      <c r="Z1484" s="109">
        <v>1.0262512333829577E-2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49601</v>
      </c>
      <c r="Z1485" s="109">
        <v>1.0265245954625968E-2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49608</v>
      </c>
      <c r="Z1486" s="109">
        <v>1.0267943190234163E-2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49615</v>
      </c>
      <c r="Z1487" s="109">
        <v>1.0270604040654163E-2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49622</v>
      </c>
      <c r="Z1488" s="109">
        <v>1.0273228505912613E-2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49629</v>
      </c>
      <c r="Z1489" s="109">
        <v>1.0275816585982867E-2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49636</v>
      </c>
      <c r="Z1490" s="109">
        <v>1.0278368280864925E-2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49643</v>
      </c>
      <c r="Z1491" s="109">
        <v>1.0280883590532142E-2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49650</v>
      </c>
      <c r="Z1492" s="109">
        <v>1.0283362515037808E-2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49657</v>
      </c>
      <c r="Z1493" s="109">
        <v>1.0285805054328634E-2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49664</v>
      </c>
      <c r="Z1494" s="109">
        <v>1.0288211208457909E-2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49671</v>
      </c>
      <c r="Z1495" s="109">
        <v>1.0290580977345698E-2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49678</v>
      </c>
      <c r="Z1496" s="109">
        <v>1.0292914361045291E-2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49685</v>
      </c>
      <c r="Z1497" s="109">
        <v>1.0295211359556689E-2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49692</v>
      </c>
      <c r="Z1498" s="109">
        <v>1.0297471972853245E-2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49699</v>
      </c>
      <c r="Z1499" s="109">
        <v>1.029969620093496E-2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49706</v>
      </c>
      <c r="Z1500" s="109">
        <v>1.030188404382848E-2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49713</v>
      </c>
      <c r="Z1501" s="109">
        <v>1.0304035501507158E-2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49720</v>
      </c>
      <c r="Z1502" s="109">
        <v>1.0306150573970996E-2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49727</v>
      </c>
      <c r="Z1503" s="109">
        <v>1.0308229261219992E-2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49734</v>
      </c>
      <c r="Z1504" s="109">
        <v>1.0310271563254148E-2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49741</v>
      </c>
      <c r="Z1505" s="109">
        <v>1.0312277480046816E-2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49748</v>
      </c>
      <c r="Z1506" s="109">
        <v>1.031424701165129E-2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49755</v>
      </c>
      <c r="Z1507" s="109">
        <v>1.0316180158014276E-2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49762</v>
      </c>
      <c r="Z1508" s="109">
        <v>1.0318076919162422E-2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49769</v>
      </c>
      <c r="Z1509" s="109">
        <v>1.0319937295095727E-2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49780</v>
      </c>
      <c r="Z1510" s="109">
        <v>1.0322236134241436E-2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49783</v>
      </c>
      <c r="Z1511" s="109">
        <v>1.0323548891211232E-2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49790</v>
      </c>
      <c r="Z1512" s="109">
        <v>1.0325300111446722E-2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49800</v>
      </c>
      <c r="Z1513" s="109">
        <v>1.032720220795369E-2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49807</v>
      </c>
      <c r="Z1514" s="109">
        <v>1.0328870166205206E-2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49814</v>
      </c>
      <c r="Z1515" s="109">
        <v>1.0330501741320219E-2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49821</v>
      </c>
      <c r="Z1516" s="109">
        <v>1.0332096933298729E-2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49829</v>
      </c>
      <c r="Z1517" s="109">
        <v>1.0333875459025421E-2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49835</v>
      </c>
      <c r="Z1518" s="109">
        <v>1.0335178167686365E-2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49842</v>
      </c>
      <c r="Z1519" s="109">
        <v>1.0336664210175428E-2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49849</v>
      </c>
      <c r="Z1520" s="109">
        <v>1.0338113869448051E-2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49856</v>
      </c>
      <c r="Z1521" s="109">
        <v>1.0339527145584171E-2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49863</v>
      </c>
      <c r="Z1522" s="109">
        <v>1.0340904038503851E-2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49870</v>
      </c>
      <c r="Z1523" s="109">
        <v>1.0342244548366963E-2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49877</v>
      </c>
      <c r="Z1524" s="109">
        <v>1.0343548675013636E-2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49884</v>
      </c>
      <c r="Z1525" s="109">
        <v>1.034481641844387E-2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49892</v>
      </c>
      <c r="Z1526" s="109">
        <v>1.0346220717201149E-2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49899</v>
      </c>
      <c r="Z1527" s="109">
        <v>1.0347410496756027E-2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49906</v>
      </c>
      <c r="Z1528" s="109">
        <v>1.0348563893174401E-2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49913</v>
      </c>
      <c r="Z1529" s="109">
        <v>1.0349680906376335E-2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49920</v>
      </c>
      <c r="Z1530" s="109">
        <v>1.035076153636183E-2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49927</v>
      </c>
      <c r="Z1531" s="109">
        <v>1.0351805783210821E-2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49934</v>
      </c>
      <c r="Z1532" s="109">
        <v>1.0352813646923309E-2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49941</v>
      </c>
      <c r="Z1533" s="109">
        <v>1.0353785127419357E-2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49948</v>
      </c>
      <c r="Z1534" s="109">
        <v>1.0354720224778902E-2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49955</v>
      </c>
      <c r="Z1535" s="109">
        <v>1.0355618938922007E-2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49962</v>
      </c>
      <c r="Z1536" s="109">
        <v>1.0356481269928608E-2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49969</v>
      </c>
      <c r="Z1537" s="109">
        <v>1.0357307217798706E-2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49976</v>
      </c>
      <c r="Z1538" s="109">
        <v>1.0358096782452364E-2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49983</v>
      </c>
      <c r="Z1539" s="109">
        <v>1.0358849963889583E-2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49990</v>
      </c>
      <c r="Z1540" s="109">
        <v>1.0359566762190298E-2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49997</v>
      </c>
      <c r="Z1541" s="109">
        <v>1.0360247177354509E-2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50004</v>
      </c>
      <c r="Z1542" s="109">
        <v>1.0360891209302281E-2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50011</v>
      </c>
      <c r="Z1543" s="109">
        <v>1.0361498858113549E-2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50018</v>
      </c>
      <c r="Z1544" s="109">
        <v>1.0362070123788314E-2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50025</v>
      </c>
      <c r="Z1545" s="109">
        <v>1.0362605006166703E-2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50032</v>
      </c>
      <c r="Z1546" s="109">
        <v>1.0363103505488525E-2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50039</v>
      </c>
      <c r="Z1547" s="109">
        <v>1.0363565621593906E-2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50046</v>
      </c>
      <c r="Z1548" s="109">
        <v>1.0363991354482849E-2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50053</v>
      </c>
      <c r="Z1549" s="109">
        <v>1.0364380704315224E-2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50060</v>
      </c>
      <c r="Z1550" s="109">
        <v>1.0364733670851223E-2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50067</v>
      </c>
      <c r="Z1551" s="109">
        <v>1.0365050254250718E-2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50074</v>
      </c>
      <c r="Z1552" s="109">
        <v>1.036533045451371E-2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50081</v>
      </c>
      <c r="Z1553" s="109">
        <v>1.0365574271560263E-2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50088</v>
      </c>
      <c r="Z1554" s="109">
        <v>1.0365781705390376E-2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50095</v>
      </c>
      <c r="Z1555" s="109">
        <v>1.0365952756163921E-2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50102</v>
      </c>
      <c r="Z1556" s="109">
        <v>1.0366087423721027E-2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50109</v>
      </c>
      <c r="Z1557" s="109">
        <v>1.0366185708061693E-2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50116</v>
      </c>
      <c r="Z1558" s="109">
        <v>1.0366247609265855E-2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50123</v>
      </c>
      <c r="Z1559" s="109">
        <v>1.0366273127253578E-2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50130</v>
      </c>
      <c r="Z1560" s="109">
        <v>1.0366262262104797E-2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50138</v>
      </c>
      <c r="Z1561" s="109">
        <v>1.0366205293914632E-2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50145</v>
      </c>
      <c r="Z1562" s="109">
        <v>1.0366116464890496E-2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50152</v>
      </c>
      <c r="Z1563" s="109">
        <v>1.0365991252569984E-2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50159</v>
      </c>
      <c r="Z1564" s="109">
        <v>1.0365829657112968E-2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50166</v>
      </c>
      <c r="Z1565" s="109">
        <v>1.0365631678439513E-2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50173</v>
      </c>
      <c r="Z1566" s="109">
        <v>1.0365528315241512E-2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50180</v>
      </c>
      <c r="Z1567" s="109">
        <v>1.0365126571683092E-2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50187</v>
      </c>
      <c r="Z1568" s="109">
        <v>1.036481944352019E-2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50194</v>
      </c>
      <c r="Z1569" s="109">
        <v>1.0364475932220785E-2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50201</v>
      </c>
      <c r="Z1570" s="109">
        <v>1.036409603770494E-2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50208</v>
      </c>
      <c r="Z1571" s="109">
        <v>1.0363679760052591E-2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50215</v>
      </c>
      <c r="Z1572" s="109">
        <v>1.0363227099183803E-2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50222</v>
      </c>
      <c r="Z1573" s="109">
        <v>1.0362738055258447E-2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50229</v>
      </c>
      <c r="Z1574" s="109">
        <v>1.0362212627956779E-2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50236</v>
      </c>
      <c r="Z1575" s="109">
        <v>1.0361650817598544E-2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50243</v>
      </c>
      <c r="Z1576" s="109">
        <v>1.0361052624103806E-2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50250</v>
      </c>
      <c r="Z1577" s="109">
        <v>1.0360418047392628E-2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50257</v>
      </c>
      <c r="Z1578" s="109">
        <v>1.035974708746501E-2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50264</v>
      </c>
      <c r="Z1579" s="109">
        <v>1.0359039744400889E-2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50271</v>
      </c>
      <c r="Z1580" s="109">
        <v>1.03582960182802E-2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50278</v>
      </c>
      <c r="Z1581" s="109">
        <v>1.0357515908783199E-2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50285</v>
      </c>
      <c r="Z1582" s="109">
        <v>1.0356699416309567E-2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50292</v>
      </c>
      <c r="Z1583" s="109">
        <v>1.0355846540539559E-2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50299</v>
      </c>
      <c r="Z1584" s="109">
        <v>1.0354957281553112E-2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50306</v>
      </c>
      <c r="Z1585" s="109">
        <v>1.0354031639510097E-2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50313</v>
      </c>
      <c r="Z1586" s="109">
        <v>1.0353069614250643E-2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50320</v>
      </c>
      <c r="Z1587" s="109">
        <v>1.0352071205854685E-2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50327</v>
      </c>
      <c r="Z1588" s="109">
        <v>1.0351036414242287E-2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50334</v>
      </c>
      <c r="Z1589" s="109">
        <v>1.0349965239493386E-2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50341</v>
      </c>
      <c r="Z1590" s="109">
        <v>1.0348857681528045E-2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50348</v>
      </c>
      <c r="Z1591" s="109">
        <v>1.0347713740506137E-2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50355</v>
      </c>
      <c r="Z1592" s="109">
        <v>1.0346533416187853E-2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50362</v>
      </c>
      <c r="Z1593" s="109">
        <v>1.0345316708733066E-2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50369</v>
      </c>
      <c r="Z1594" s="109">
        <v>1.0344063618141774E-2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50376</v>
      </c>
      <c r="Z1595" s="109">
        <v>1.0342774144334044E-2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50383</v>
      </c>
      <c r="Z1596" s="109">
        <v>1.0341448287389809E-2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50390</v>
      </c>
      <c r="Z1597" s="109">
        <v>1.0340086047309072E-2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50397</v>
      </c>
      <c r="Z1598" s="109">
        <v>1.0338687424011894E-2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50404</v>
      </c>
      <c r="Z1599" s="109">
        <v>1.0337252417578213E-2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50411</v>
      </c>
      <c r="Z1600" s="109">
        <v>1.0335781027928093E-2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50418</v>
      </c>
      <c r="Z1601" s="109">
        <v>1.0334273255221404E-2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50425</v>
      </c>
      <c r="Z1602" s="109">
        <v>1.0332729099298277E-2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50432</v>
      </c>
      <c r="Z1603" s="109">
        <v>1.0331148560158709E-2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50439</v>
      </c>
      <c r="Z1604" s="109">
        <v>1.0329531637882639E-2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50446</v>
      </c>
      <c r="Z1605" s="109">
        <v>1.0327878332470064E-2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50453</v>
      </c>
      <c r="Z1606" s="109">
        <v>1.032618864384105E-2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50460</v>
      </c>
      <c r="Z1607" s="109">
        <v>1.0324462572075532E-2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50467</v>
      </c>
      <c r="Z1608" s="109">
        <v>1.0322700117173511E-2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50474</v>
      </c>
      <c r="Z1609" s="109">
        <v>1.0320901279134986E-2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50481</v>
      </c>
      <c r="Z1610" s="109">
        <v>1.0319066057880022E-2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50488</v>
      </c>
      <c r="Z1611" s="109">
        <v>1.0317194453488554E-2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50495</v>
      </c>
      <c r="Z1612" s="109">
        <v>1.0315286465880646E-2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50502</v>
      </c>
      <c r="Z1613" s="109">
        <v>1.0313342095216171E-2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50509</v>
      </c>
      <c r="Z1614" s="109">
        <v>1.0311361341335257E-2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50516</v>
      </c>
      <c r="Z1615" s="109">
        <v>1.0309344204317838E-2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50523</v>
      </c>
      <c r="Z1616" s="109">
        <v>1.0307290684083981E-2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50530</v>
      </c>
      <c r="Z1617" s="109">
        <v>1.0305200780713619E-2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50537</v>
      </c>
      <c r="Z1618" s="109">
        <v>1.030307449428669E-2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50544</v>
      </c>
      <c r="Z1619" s="109">
        <v>1.0300911824643322E-2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50551</v>
      </c>
      <c r="Z1620" s="109">
        <v>1.029871277186345E-2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50558</v>
      </c>
      <c r="Z1621" s="109">
        <v>1.0296463418639767E-2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50565</v>
      </c>
      <c r="Z1622" s="109">
        <v>1.0294205516734323E-2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50572</v>
      </c>
      <c r="Z1623" s="109">
        <v>1.0291897314465004E-2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50579</v>
      </c>
      <c r="Z1624" s="109">
        <v>1.0289552729059182E-2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50586</v>
      </c>
      <c r="Z1625" s="109">
        <v>1.0287171760436919E-2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50593</v>
      </c>
      <c r="Z1626" s="109">
        <v>1.0284754408678154E-2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50600</v>
      </c>
      <c r="Z1627" s="109">
        <v>1.0282300673862821E-2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50607</v>
      </c>
      <c r="Z1628" s="109">
        <v>1.0279810555831048E-2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50614</v>
      </c>
      <c r="Z1629" s="109">
        <v>1.0277284054662772E-2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50621</v>
      </c>
      <c r="Z1630" s="109">
        <v>1.0274721170278056E-2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50628</v>
      </c>
      <c r="Z1631" s="109">
        <v>1.0272121902916709E-2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50635</v>
      </c>
      <c r="Z1632" s="109">
        <v>1.0269486252258986E-2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50642</v>
      </c>
      <c r="Z1633" s="109">
        <v>1.0266814218544695E-2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50649</v>
      </c>
      <c r="Z1634" s="109">
        <v>1.0264105801613965E-2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50656</v>
      </c>
      <c r="Z1635" s="109">
        <v>1.0261361001546732E-2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50663</v>
      </c>
      <c r="Z1636" s="109">
        <v>1.025857981842293E-2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50670</v>
      </c>
      <c r="Z1637" s="109">
        <v>1.025576225208269E-2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50677</v>
      </c>
      <c r="Z1638" s="109">
        <v>1.0252908302605945E-2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50684</v>
      </c>
      <c r="Z1639" s="109">
        <v>1.0250017969992697E-2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50691</v>
      </c>
      <c r="Z1640" s="109">
        <v>1.0247091254242946E-2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50698</v>
      </c>
      <c r="Z1641" s="109">
        <v>1.0244128155356691E-2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50705</v>
      </c>
      <c r="Z1642" s="109">
        <v>1.0241128673333932E-2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50712</v>
      </c>
      <c r="Z1643" s="109">
        <v>1.023809280817467E-2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50719</v>
      </c>
      <c r="Z1644" s="109">
        <v>1.0235020559878905E-2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50726</v>
      </c>
      <c r="Z1645" s="109">
        <v>1.0231911928446635E-2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50733</v>
      </c>
      <c r="Z1646" s="109">
        <v>1.0228766913877863E-2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50740</v>
      </c>
      <c r="Z1647" s="109">
        <v>1.0225585516252522E-2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50747</v>
      </c>
      <c r="Z1648" s="109">
        <v>1.0222367735330806E-2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50754</v>
      </c>
      <c r="Z1649" s="109">
        <v>1.0219113571432459E-2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50761</v>
      </c>
      <c r="Z1650" s="109">
        <v>1.0215823024317672E-2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50768</v>
      </c>
      <c r="Z1651" s="109">
        <v>1.0212496094066381E-2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50775</v>
      </c>
      <c r="Z1652" s="109">
        <v>1.0209132780758523E-2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50782</v>
      </c>
      <c r="Z1653" s="109">
        <v>1.0205733084314161E-2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50789</v>
      </c>
      <c r="Z1654" s="109">
        <v>1.0202297004733296E-2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50796</v>
      </c>
      <c r="Z1655" s="109">
        <v>1.0198824541935991E-2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50803</v>
      </c>
      <c r="Z1656" s="109">
        <v>1.0195315696162055E-2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50810</v>
      </c>
      <c r="Z1657" s="109">
        <v>1.0191770467171679E-2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50817</v>
      </c>
      <c r="Z1658" s="109">
        <v>1.01881888550448E-2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50824</v>
      </c>
      <c r="Z1659" s="109">
        <v>1.0184570859861353E-2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50831</v>
      </c>
      <c r="Z1660" s="109">
        <v>1.0180916481541402E-2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50838</v>
      </c>
      <c r="Z1661" s="109">
        <v>1.0177225720084948E-2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50845</v>
      </c>
      <c r="Z1662" s="109">
        <v>1.017349857549199E-2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50852</v>
      </c>
      <c r="Z1663" s="109">
        <v>1.0169735047842465E-2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50859</v>
      </c>
      <c r="Z1664" s="109">
        <v>1.0165935137056437E-2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50866</v>
      </c>
      <c r="Z1665" s="109">
        <v>1.0162098843133904E-2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50873</v>
      </c>
      <c r="Z1666" s="109">
        <v>1.0158226166154805E-2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50880</v>
      </c>
      <c r="Z1667" s="109">
        <v>1.0154317106039201E-2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50887</v>
      </c>
      <c r="Z1668" s="109">
        <v>1.0150371662787094E-2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50894</v>
      </c>
      <c r="Z1669" s="109">
        <v>1.0146389836398484E-2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50901</v>
      </c>
      <c r="Z1670" s="109">
        <v>1.0142371626953306E-2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50908</v>
      </c>
      <c r="Z1671" s="109">
        <v>1.0138168685038806E-2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50915</v>
      </c>
      <c r="Z1672" s="109">
        <v>1.0134226058733375E-2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50922</v>
      </c>
      <c r="Z1673" s="109">
        <v>1.0130098699958623E-2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50929</v>
      </c>
      <c r="Z1674" s="109">
        <v>1.0125934958127303E-2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50936</v>
      </c>
      <c r="Z1675" s="109">
        <v>1.0121734833159479E-2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50943</v>
      </c>
      <c r="Z1676" s="109">
        <v>1.0117498325055152E-2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50950</v>
      </c>
      <c r="Z1677" s="109">
        <v>1.0113225433894257E-2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50957</v>
      </c>
      <c r="Z1678" s="109">
        <v>1.0108916159596859E-2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50964</v>
      </c>
      <c r="Z1679" s="109">
        <v>1.0104570502162957E-2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50971</v>
      </c>
      <c r="Z1680" s="109">
        <v>1.0100188461752424E-2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50978</v>
      </c>
      <c r="Z1681" s="109">
        <v>1.0095770038125451E-2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50985</v>
      </c>
      <c r="Z1682" s="109">
        <v>1.0091315231521847E-2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50992</v>
      </c>
      <c r="Z1683" s="109">
        <v>1.0086824041861675E-2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50999</v>
      </c>
      <c r="Z1684" s="109">
        <v>1.0082296468985064E-2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51006</v>
      </c>
      <c r="Z1685" s="109">
        <v>1.0077732513051885E-2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51013</v>
      </c>
      <c r="Z1686" s="109">
        <v>1.0073132174062138E-2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51020</v>
      </c>
      <c r="Z1687" s="109">
        <v>1.0068495451935888E-2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51027</v>
      </c>
      <c r="Z1688" s="109">
        <v>1.0063822346753071E-2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51034</v>
      </c>
      <c r="Z1689" s="109">
        <v>1.0059112858513686E-2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51041</v>
      </c>
      <c r="Z1690" s="109">
        <v>1.0054366987137797E-2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51048</v>
      </c>
      <c r="Z1691" s="109">
        <v>1.0049584732705341E-2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51055</v>
      </c>
      <c r="Z1692" s="109">
        <v>1.0044766095216318E-2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51062</v>
      </c>
      <c r="Z1693" s="109">
        <v>1.0039911074670727E-2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51069</v>
      </c>
      <c r="Z1694" s="109">
        <v>1.0035019671068568E-2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51076</v>
      </c>
      <c r="Z1695" s="109">
        <v>1.0030091884329906E-2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51083</v>
      </c>
      <c r="Z1696" s="109">
        <v>1.0025127714534676E-2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51090</v>
      </c>
      <c r="Z1697" s="109">
        <v>1.0020127161682879E-2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51097</v>
      </c>
      <c r="Z1698" s="109">
        <v>1.0015090225694578E-2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51104</v>
      </c>
      <c r="Z1699" s="109">
        <v>1.001001690664971E-2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51111</v>
      </c>
      <c r="Z1700" s="109">
        <v>1.0004907204628211E-2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51118</v>
      </c>
      <c r="Z1701" s="109">
        <v>9.9997611194702074E-3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51125</v>
      </c>
      <c r="Z1702" s="109">
        <v>9.9945786513355728E-3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51132</v>
      </c>
      <c r="Z1703" s="109">
        <v>9.9893597999844985E-3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51139</v>
      </c>
      <c r="Z1704" s="109">
        <v>9.9841045657367289E-3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51146</v>
      </c>
      <c r="Z1705" s="109">
        <v>9.9788129483524557E-3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51153</v>
      </c>
      <c r="Z1706" s="109">
        <v>9.973484947911615E-3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51160</v>
      </c>
      <c r="Z1707" s="109">
        <v>9.9681205644142068E-3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51167</v>
      </c>
      <c r="Z1708" s="109">
        <v>9.9627197978602311E-3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51174</v>
      </c>
      <c r="Z1709" s="109">
        <v>9.9572826482496879E-3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51181</v>
      </c>
      <c r="Z1710" s="109">
        <v>9.9518091155825772E-3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51188</v>
      </c>
      <c r="Z1711" s="109">
        <v>9.946299199938835E-3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51195</v>
      </c>
      <c r="Z1712" s="109">
        <v>9.9407529011585893E-3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51202</v>
      </c>
      <c r="Z1713" s="109">
        <v>9.9351702193217761E-3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51209</v>
      </c>
      <c r="Z1714" s="109">
        <v>9.9295511545882675E-3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51216</v>
      </c>
      <c r="Z1715" s="109">
        <v>9.9238957066383193E-3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51223</v>
      </c>
      <c r="Z1716" s="109">
        <v>9.9182038757117397E-3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51230</v>
      </c>
      <c r="Z1717" s="109">
        <v>9.9124756618085286E-3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51237</v>
      </c>
      <c r="Z1718" s="109">
        <v>9.9067110647688139E-3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51244</v>
      </c>
      <c r="Z1719" s="109">
        <v>9.9009100848324039E-3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51251</v>
      </c>
      <c r="Z1720" s="109">
        <v>9.8950727216795542E-3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51259</v>
      </c>
      <c r="Z1721" s="109">
        <v>9.8883568989815984E-3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51267</v>
      </c>
      <c r="Z1722" s="109">
        <v>9.88101574335154E-3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51273</v>
      </c>
      <c r="Z1723" s="109">
        <v>9.8764973112697163E-3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51280</v>
      </c>
      <c r="Z1724" s="109">
        <v>9.8705684051036968E-3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51287</v>
      </c>
      <c r="Z1725" s="109">
        <v>9.8646623025366864E-3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51294</v>
      </c>
      <c r="Z1726" s="109">
        <v>9.8587790035686851E-3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51301</v>
      </c>
      <c r="Z1727" s="109">
        <v>9.8529185081996928E-3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51308</v>
      </c>
      <c r="Z1728" s="109">
        <v>9.8470808164297097E-3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51315</v>
      </c>
      <c r="Z1729" s="109">
        <v>9.8412659281787995E-3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51322</v>
      </c>
      <c r="Z1730" s="109">
        <v>9.8354738434469624E-3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51329</v>
      </c>
      <c r="Z1731" s="109">
        <v>9.8297045623940704E-3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51336</v>
      </c>
      <c r="Z1732" s="109">
        <v>9.8239580848602515E-3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51343</v>
      </c>
      <c r="Z1733" s="109">
        <v>9.8182344109254416E-3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51351</v>
      </c>
      <c r="Z1734" s="109">
        <v>9.8111764384789524E-3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51358</v>
      </c>
      <c r="Z1735" s="109">
        <v>9.8055045779510408E-3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51365</v>
      </c>
      <c r="Z1736" s="109">
        <v>9.7998555224076966E-3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51372</v>
      </c>
      <c r="Z1737" s="109">
        <v>9.7942292718489199E-3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51379</v>
      </c>
      <c r="Z1738" s="109">
        <v>9.7886258262747106E-3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51386</v>
      </c>
      <c r="Z1739" s="109">
        <v>9.7830451856584233E-3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51393</v>
      </c>
      <c r="Z1740" s="109">
        <v>9.7774873500533488E-3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51400</v>
      </c>
      <c r="Z1741" s="109">
        <v>9.7719523194061964E-3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51407</v>
      </c>
      <c r="Z1742" s="109">
        <v>9.7664400937436113E-3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51414</v>
      </c>
      <c r="Z1743" s="109">
        <v>9.7609506730655937E-3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51421</v>
      </c>
      <c r="Z1744" s="109">
        <v>9.7554840572922075E-3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51428</v>
      </c>
      <c r="Z1745" s="109">
        <v>9.750040246530034E-3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51435</v>
      </c>
      <c r="Z1746" s="109">
        <v>9.7446192407257826E-3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51442</v>
      </c>
      <c r="Z1747" s="109">
        <v>9.7392210398528078E-3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51449</v>
      </c>
      <c r="Z1748" s="109">
        <v>9.7338456439377552E-3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51456</v>
      </c>
      <c r="Z1749" s="109">
        <v>9.7284930529806246E-3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51463</v>
      </c>
      <c r="Z1750" s="109">
        <v>9.7231632669547707E-3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51470</v>
      </c>
      <c r="Z1751" s="109">
        <v>9.7178562859134843E-3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51477</v>
      </c>
      <c r="Z1752" s="109">
        <v>9.7125721097768292E-3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51484</v>
      </c>
      <c r="Z1753" s="109">
        <v>9.7073107385714508E-3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51491</v>
      </c>
      <c r="Z1754" s="109">
        <v>9.7020721722973491E-3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51498</v>
      </c>
      <c r="Z1755" s="109">
        <v>9.6968564109811695E-3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51505</v>
      </c>
      <c r="Z1756" s="109">
        <v>9.6916634545696212E-3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51512</v>
      </c>
      <c r="Z1757" s="109">
        <v>9.686493303115995E-3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51519</v>
      </c>
      <c r="Z1758" s="109">
        <v>9.6813459565670001E-3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51526</v>
      </c>
      <c r="Z1759" s="109">
        <v>9.6762214148959913E-3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51533</v>
      </c>
      <c r="Z1760" s="109">
        <v>9.6711196781829045E-3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51540</v>
      </c>
      <c r="Z1761" s="109">
        <v>9.6660407464010945E-3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51547</v>
      </c>
      <c r="Z1762" s="109">
        <v>9.6609846194972704E-3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51554</v>
      </c>
      <c r="Z1763" s="109">
        <v>9.6559512974980777E-3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51561</v>
      </c>
      <c r="Z1764" s="109">
        <v>9.6509407804301617E-3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51568</v>
      </c>
      <c r="Z1765" s="109">
        <v>9.6459530682402317E-3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51575</v>
      </c>
      <c r="Z1766" s="109">
        <v>9.6409881609549331E-3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51582</v>
      </c>
      <c r="Z1767" s="109">
        <v>9.6360460585742658E-3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51589</v>
      </c>
      <c r="Z1768" s="109">
        <v>9.6311267610982298E-3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51596</v>
      </c>
      <c r="Z1769" s="109">
        <v>9.6262302685001799E-3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51603</v>
      </c>
      <c r="Z1770" s="109">
        <v>9.621356580780116E-3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51614</v>
      </c>
      <c r="Z1771" s="109">
        <v>9.6141768151447593E-3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51617</v>
      </c>
      <c r="Z1772" s="109">
        <v>9.6116776200005916E-3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51624</v>
      </c>
      <c r="Z1773" s="109">
        <v>9.6068723469144857E-3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51631</v>
      </c>
      <c r="Z1774" s="109">
        <v>9.6020898787596565E-3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51638</v>
      </c>
      <c r="Z1775" s="109">
        <v>9.5973302154028772E-3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51645</v>
      </c>
      <c r="Z1776" s="109">
        <v>9.5925933569773747E-3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51655</v>
      </c>
      <c r="Z1777" s="109">
        <v>9.586281193412205E-3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51663</v>
      </c>
      <c r="Z1778" s="109">
        <v>9.5809293593163147E-3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51669</v>
      </c>
      <c r="Z1779" s="109">
        <v>9.5769350296492917E-3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51676</v>
      </c>
      <c r="Z1780" s="109">
        <v>9.5722961530864126E-3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51683</v>
      </c>
      <c r="Z1781" s="109">
        <v>9.5676800800426065E-3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51690</v>
      </c>
      <c r="Z1782" s="109">
        <v>9.5630868105978095E-3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51697</v>
      </c>
      <c r="Z1783" s="109">
        <v>9.5585163445921495E-3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51704</v>
      </c>
      <c r="Z1784" s="109">
        <v>9.5539686821854986E-3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51711</v>
      </c>
      <c r="Z1785" s="109">
        <v>9.5494438231380485E-3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51718</v>
      </c>
      <c r="Z1786" s="109">
        <v>9.5449417677695436E-3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51725</v>
      </c>
      <c r="Z1787" s="109">
        <v>9.5404625159201117E-3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51732</v>
      </c>
      <c r="Z1788" s="109">
        <v>9.5360060675098168E-3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51739</v>
      </c>
      <c r="Z1789" s="109">
        <v>9.5315724226185949E-3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51746</v>
      </c>
      <c r="Z1790" s="109">
        <v>9.5271615813263821E-3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51753</v>
      </c>
      <c r="Z1791" s="109">
        <v>9.5227735435532423E-3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51760</v>
      </c>
      <c r="Z1792" s="109">
        <v>9.5184083091393035E-3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51767</v>
      </c>
      <c r="Z1793" s="109">
        <v>9.5140658783243737E-3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51774</v>
      </c>
      <c r="Z1794" s="109">
        <v>9.509746251108453E-3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51781</v>
      </c>
      <c r="Z1795" s="109">
        <v>9.5054494273316692E-3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51788</v>
      </c>
      <c r="Z1796" s="109">
        <v>9.5011754070739585E-3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51795</v>
      </c>
      <c r="Z1797" s="109">
        <v>9.4969241903353208E-3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51802</v>
      </c>
      <c r="Z1798" s="109">
        <v>9.4926957771157561E-3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51809</v>
      </c>
      <c r="Z1799" s="109">
        <v>9.4884901674152644E-3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51816</v>
      </c>
      <c r="Z1800" s="109">
        <v>9.4843073612338458E-3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51823</v>
      </c>
      <c r="Z1801" s="109">
        <v>9.4801473584915641E-3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51830</v>
      </c>
      <c r="Z1802" s="109">
        <v>9.4760101593482915E-3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51837</v>
      </c>
      <c r="Z1803" s="109">
        <v>9.4718957636441559E-3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51844</v>
      </c>
      <c r="Z1804" s="109">
        <v>9.4678041714590933E-3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51851</v>
      </c>
      <c r="Z1805" s="109">
        <v>9.4637353827931037E-3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51858</v>
      </c>
      <c r="Z1806" s="109">
        <v>9.4596893976461871E-3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51865</v>
      </c>
      <c r="Z1807" s="109">
        <v>9.4556662159384075E-3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51872</v>
      </c>
      <c r="Z1808" s="109">
        <v>9.451665837829637E-3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51879</v>
      </c>
      <c r="Z1809" s="109">
        <v>9.4476882631600034E-3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51886</v>
      </c>
      <c r="Z1810" s="109">
        <v>9.4437334919295068E-3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51893</v>
      </c>
      <c r="Z1811" s="109">
        <v>9.4398015243779554E-3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51900</v>
      </c>
      <c r="Z1812" s="109">
        <v>9.4358923601856048E-3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51907</v>
      </c>
      <c r="Z1813" s="109">
        <v>9.4320059995123273E-3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51914</v>
      </c>
      <c r="Z1814" s="109">
        <v>9.4281424423581228E-3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51921</v>
      </c>
      <c r="Z1815" s="109">
        <v>9.4243016887229913E-3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51928</v>
      </c>
      <c r="Z1816" s="109">
        <v>9.4204837386069329E-3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51935</v>
      </c>
      <c r="Z1817" s="109">
        <v>9.4166885918500753E-3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51942</v>
      </c>
      <c r="Z1818" s="109">
        <v>9.4129162487721629E-3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51949</v>
      </c>
      <c r="Z1819" s="109">
        <v>9.4091667090534514E-3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51956</v>
      </c>
      <c r="Z1820" s="109">
        <v>9.405439972933749E-3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51965</v>
      </c>
      <c r="Z1821" s="109">
        <v>9.4006819621483828E-3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51972</v>
      </c>
      <c r="Z1822" s="109">
        <v>9.3970073482552152E-3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51979</v>
      </c>
      <c r="Z1823" s="109">
        <v>9.3933555378011846E-3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51986</v>
      </c>
      <c r="Z1824" s="109">
        <v>9.3895906942442764E-3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51993</v>
      </c>
      <c r="Z1825" s="109">
        <v>9.3861203274503424E-3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52000</v>
      </c>
      <c r="Z1826" s="109">
        <v>9.3824041611956233E-3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52007</v>
      </c>
      <c r="Z1827" s="109">
        <v>9.3789763310958563E-3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52014</v>
      </c>
      <c r="Z1828" s="109">
        <v>9.3754385380773186E-3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52021</v>
      </c>
      <c r="Z1829" s="109">
        <v>9.3719235486577901E-3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52028</v>
      </c>
      <c r="Z1830" s="109">
        <v>9.3684313626773985E-3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52035</v>
      </c>
      <c r="Z1831" s="109">
        <v>9.3649619801361439E-3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52042</v>
      </c>
      <c r="Z1832" s="109">
        <v>9.3615154011139623E-3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52049</v>
      </c>
      <c r="Z1833" s="109">
        <v>9.3580916256108537E-3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52056</v>
      </c>
      <c r="Z1834" s="109">
        <v>9.3546906536268182E-3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52063</v>
      </c>
      <c r="Z1835" s="109">
        <v>9.3513124850019835E-3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52070</v>
      </c>
      <c r="Z1836" s="109">
        <v>9.347957119976158E-3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52077</v>
      </c>
      <c r="Z1837" s="109">
        <v>9.3446245583095333E-3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52084</v>
      </c>
      <c r="Z1838" s="109">
        <v>9.3413148002419177E-3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52091</v>
      </c>
      <c r="Z1839" s="109">
        <v>9.3380278456134391E-3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52098</v>
      </c>
      <c r="Z1840" s="109">
        <v>9.3347636944240975E-3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52105</v>
      </c>
      <c r="Z1841" s="109">
        <v>9.3315223468337649E-3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52112</v>
      </c>
      <c r="Z1842" s="109">
        <v>9.3283038026026333E-3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52119</v>
      </c>
      <c r="Z1843" s="109">
        <v>9.3251080619705107E-3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52126</v>
      </c>
      <c r="Z1844" s="109">
        <v>9.321935124697589E-3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52133</v>
      </c>
      <c r="Z1845" s="109">
        <v>9.3187849909437404E-3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52140</v>
      </c>
      <c r="Z1846" s="109">
        <v>9.3156576606290287E-3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52147</v>
      </c>
      <c r="Z1847" s="109">
        <v>9.31255313383339E-3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52154</v>
      </c>
      <c r="Z1848" s="109">
        <v>9.3094714104768883E-3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52161</v>
      </c>
      <c r="Z1849" s="109">
        <v>9.3064124907193957E-3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52168</v>
      </c>
      <c r="Z1850" s="109">
        <v>9.303376374321104E-3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52175</v>
      </c>
      <c r="Z1851" s="109">
        <v>9.3003630614418853E-3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52182</v>
      </c>
      <c r="Z1852" s="109">
        <v>9.2973725520018036E-3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52189</v>
      </c>
      <c r="Z1853" s="109">
        <v>9.2944048460807949E-3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52196</v>
      </c>
      <c r="Z1854" s="109">
        <v>9.2914599435989231E-3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52203</v>
      </c>
      <c r="Z1855" s="109">
        <v>9.2885378445561884E-3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52210</v>
      </c>
      <c r="Z1856" s="109">
        <v>9.2856385490325266E-3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52217</v>
      </c>
      <c r="Z1857" s="109">
        <v>9.2827620570279379E-3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52224</v>
      </c>
      <c r="Z1858" s="109">
        <v>9.2795760374198011E-3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52231</v>
      </c>
      <c r="Z1859" s="109">
        <v>9.2767513764027143E-3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52238</v>
      </c>
      <c r="Z1860" s="109">
        <v>9.2742694015690574E-3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52245</v>
      </c>
      <c r="Z1861" s="109">
        <v>9.2714841234808887E-3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52252</v>
      </c>
      <c r="Z1862" s="109">
        <v>9.2687216486719848E-3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52259</v>
      </c>
      <c r="Z1863" s="109">
        <v>9.26598197746209E-3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52266</v>
      </c>
      <c r="Z1864" s="109">
        <v>9.2632651096913321E-3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52273</v>
      </c>
      <c r="Z1865" s="109">
        <v>9.2605710453597112E-3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52280</v>
      </c>
      <c r="Z1866" s="109">
        <v>9.2578997845471633E-3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52287</v>
      </c>
      <c r="Z1867" s="109">
        <v>9.2552513271737524E-3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52294</v>
      </c>
      <c r="Z1868" s="109">
        <v>9.2526256733194145E-3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52301</v>
      </c>
      <c r="Z1869" s="109">
        <v>9.2500228228242776E-3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52308</v>
      </c>
      <c r="Z1870" s="109">
        <v>9.2474427758482136E-3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52315</v>
      </c>
      <c r="Z1871" s="109">
        <v>9.2448855323112866E-3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52322</v>
      </c>
      <c r="Z1872" s="109">
        <v>9.2423510922134966E-3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52329</v>
      </c>
      <c r="Z1873" s="109">
        <v>9.2398394556347796E-3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52336</v>
      </c>
      <c r="Z1874" s="109">
        <v>9.2373506224951996E-3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52343</v>
      </c>
      <c r="Z1875" s="109">
        <v>9.2348845928746925E-3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52350</v>
      </c>
      <c r="Z1876" s="109">
        <v>9.2324413666133864E-3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52357</v>
      </c>
      <c r="Z1877" s="109">
        <v>9.2299673068962917E-3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52364</v>
      </c>
      <c r="Z1878" s="109">
        <v>9.2276233246479933E-3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52371</v>
      </c>
      <c r="Z1879" s="109">
        <v>9.2252485087840341E-3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52378</v>
      </c>
      <c r="Z1880" s="109">
        <v>9.2228964963592119E-3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52385</v>
      </c>
      <c r="Z1881" s="109">
        <v>9.2205672874534628E-3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52392</v>
      </c>
      <c r="Z1882" s="109">
        <v>9.2182608819868506E-3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52399</v>
      </c>
      <c r="Z1883" s="109">
        <v>9.2159772800393114E-3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52406</v>
      </c>
      <c r="Z1884" s="109">
        <v>9.2137164814509731E-3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52413</v>
      </c>
      <c r="Z1885" s="109">
        <v>9.2114784863817079E-3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52420</v>
      </c>
      <c r="Z1886" s="109">
        <v>9.2092632948315156E-3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52427</v>
      </c>
      <c r="Z1887" s="109">
        <v>9.2070709066405243E-3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52434</v>
      </c>
      <c r="Z1888" s="109">
        <v>9.204901321968606E-3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52441</v>
      </c>
      <c r="Z1889" s="109">
        <v>9.2027545406558886E-3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52448</v>
      </c>
      <c r="Z1890" s="109">
        <v>9.2006305628622442E-3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52455</v>
      </c>
      <c r="Z1891" s="109">
        <v>9.1985293885077368E-3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52462</v>
      </c>
      <c r="Z1892" s="109">
        <v>9.1964510176723024E-3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52469</v>
      </c>
      <c r="Z1893" s="109">
        <v>9.194395450276005E-3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52476</v>
      </c>
      <c r="Z1894" s="109">
        <v>9.1923626862389085E-3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52483</v>
      </c>
      <c r="Z1895" s="109">
        <v>9.190352725720885E-3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52490</v>
      </c>
      <c r="Z1896" s="109">
        <v>9.1883655686419985E-3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52497</v>
      </c>
      <c r="Z1897" s="109">
        <v>9.1864012150022489E-3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52504</v>
      </c>
      <c r="Z1898" s="109">
        <v>9.1844596648815724E-3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52511</v>
      </c>
      <c r="Z1899" s="109">
        <v>9.1825409182000328E-3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52518</v>
      </c>
      <c r="Z1900" s="109">
        <v>9.1806449748776942E-3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52525</v>
      </c>
      <c r="Z1901" s="109">
        <v>9.1787718350744285E-3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52532</v>
      </c>
      <c r="Z1902" s="109">
        <v>9.1769214987102998E-3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52539</v>
      </c>
      <c r="Z1903" s="109">
        <v>9.1750939657853081E-3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52546</v>
      </c>
      <c r="Z1904" s="109">
        <v>9.1732892362994534E-3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52553</v>
      </c>
      <c r="Z1905" s="109">
        <v>9.1715073103326716E-3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52560</v>
      </c>
      <c r="Z1906" s="109">
        <v>9.1697481878050269E-3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52567</v>
      </c>
      <c r="Z1907" s="109">
        <v>9.168011868636583E-3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52574</v>
      </c>
      <c r="Z1908" s="109">
        <v>9.1662983529872122E-3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52581</v>
      </c>
      <c r="Z1909" s="109">
        <v>9.1646076407769783E-3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52588</v>
      </c>
      <c r="Z1910" s="109">
        <v>9.1629397320058814E-3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52595</v>
      </c>
      <c r="Z1911" s="109">
        <v>9.1612946266739215E-3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52602</v>
      </c>
      <c r="Z1912" s="109">
        <v>9.1596723248610346E-3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52609</v>
      </c>
      <c r="Z1913" s="109">
        <v>9.1580728264073485E-3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52616</v>
      </c>
      <c r="Z1914" s="109">
        <v>9.1564961313927995E-3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52623</v>
      </c>
      <c r="Z1915" s="109">
        <v>9.1549422398173874E-3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52630</v>
      </c>
      <c r="Z1916" s="109">
        <v>9.1534111517610484E-3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52637</v>
      </c>
      <c r="Z1917" s="109">
        <v>9.1519028671438463E-3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52644</v>
      </c>
      <c r="Z1918" s="109">
        <v>9.1504173859657811E-3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52651</v>
      </c>
      <c r="Z1919" s="109">
        <v>9.148954708226853E-3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52658</v>
      </c>
      <c r="Z1920" s="109">
        <v>9.1475148338471257E-3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52665</v>
      </c>
      <c r="Z1921" s="109">
        <v>9.1460977630664075E-3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52672</v>
      </c>
      <c r="Z1922" s="109">
        <v>9.1447034956448903E-3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52679</v>
      </c>
      <c r="Z1923" s="109">
        <v>9.14333203166251E-3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52686</v>
      </c>
      <c r="Z1924" s="109">
        <v>9.1419833711192666E-3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52693</v>
      </c>
      <c r="Z1925" s="109">
        <v>9.1406575140151602E-3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52700</v>
      </c>
      <c r="Z1926" s="109">
        <v>9.1393544603501908E-3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52707</v>
      </c>
      <c r="Z1927" s="109">
        <v>9.1380742102042944E-3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52714</v>
      </c>
      <c r="Z1928" s="109">
        <v>9.136816763497535E-3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52721</v>
      </c>
      <c r="Z1929" s="109">
        <v>9.1355821201499765E-3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52728</v>
      </c>
      <c r="Z1930" s="109">
        <v>9.134370280321491E-3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52735</v>
      </c>
      <c r="Z1931" s="109">
        <v>9.1331812438522064E-3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52742</v>
      </c>
      <c r="Z1932" s="109">
        <v>9.1320484617840592E-3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52749</v>
      </c>
      <c r="Z1933" s="109">
        <v>9.1308715813109842E-3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52756</v>
      </c>
      <c r="Z1934" s="109">
        <v>9.1297509552390466E-3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52763</v>
      </c>
      <c r="Z1935" s="109">
        <v>9.1286531326062459E-3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52770</v>
      </c>
      <c r="Z1936" s="109">
        <v>9.1275781133326461E-3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52777</v>
      </c>
      <c r="Z1937" s="109">
        <v>9.1265258975781194E-3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52784</v>
      </c>
      <c r="Z1938" s="109">
        <v>9.1254964851827935E-3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52791</v>
      </c>
      <c r="Z1939" s="109">
        <v>9.1244898763864768E-3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52798</v>
      </c>
      <c r="Z1940" s="109">
        <v>9.1235060708694249E-3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52805</v>
      </c>
      <c r="Z1941" s="109">
        <v>9.122545068871446E-3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52812</v>
      </c>
      <c r="Z1942" s="109">
        <v>9.1216068703126041E-3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52819</v>
      </c>
      <c r="Z1943" s="109">
        <v>9.1206914751928991E-3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52826</v>
      </c>
      <c r="Z1944" s="109">
        <v>9.1197988835123311E-3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52833</v>
      </c>
      <c r="Z1945" s="109">
        <v>9.1189290951909641E-3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52840</v>
      </c>
      <c r="Z1946" s="109">
        <v>9.11808211038867E-3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52847</v>
      </c>
      <c r="Z1947" s="109">
        <v>9.1172579290255129E-3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52854</v>
      </c>
      <c r="Z1948" s="109">
        <v>9.1164565511014928E-3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52861</v>
      </c>
      <c r="Z1949" s="109">
        <v>9.1156779766166096E-3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52868</v>
      </c>
      <c r="Z1950" s="109">
        <v>9.1149222055708634E-3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52875</v>
      </c>
      <c r="Z1951" s="109">
        <v>9.1141892379642542E-3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52882</v>
      </c>
      <c r="Z1952" s="109">
        <v>9.1134790737967819E-3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52889</v>
      </c>
      <c r="Z1953" s="109">
        <v>9.1127917129885105E-3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52896</v>
      </c>
      <c r="Z1954" s="109">
        <v>9.1121271556993122E-3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52903</v>
      </c>
      <c r="Z1955" s="109">
        <v>9.1114854018492508E-3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52910</v>
      </c>
      <c r="Z1956" s="109">
        <v>9.1108664514383264E-3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52917</v>
      </c>
      <c r="Z1957" s="109">
        <v>9.1102703043866029E-3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52924</v>
      </c>
      <c r="Z1958" s="109">
        <v>9.1096969608539524E-3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52931</v>
      </c>
      <c r="Z1959" s="109">
        <v>9.1091464207604389E-3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52938</v>
      </c>
      <c r="Z1960" s="109">
        <v>9.1086186840261263E-3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52945</v>
      </c>
      <c r="Z1961" s="109">
        <v>9.1081137508108867E-3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52952</v>
      </c>
      <c r="Z1962" s="109">
        <v>9.1076316210347841E-3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52959</v>
      </c>
      <c r="Z1963" s="109">
        <v>9.1071722946178824E-3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52966</v>
      </c>
      <c r="Z1964" s="109">
        <v>9.1067357717200537E-3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52973</v>
      </c>
      <c r="Z1965" s="109">
        <v>9.1063220522613619E-3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52980</v>
      </c>
      <c r="Z1966" s="109">
        <v>9.1059311361618711E-3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52987</v>
      </c>
      <c r="Z1967" s="109">
        <v>9.1055630235015173E-3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52994</v>
      </c>
      <c r="Z1968" s="109">
        <v>9.1052177143602364E-3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53001</v>
      </c>
      <c r="Z1969" s="109">
        <v>9.1048952086580925E-3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53008</v>
      </c>
      <c r="Z1970" s="109">
        <v>9.1045955063151496E-3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53015</v>
      </c>
      <c r="Z1971" s="109">
        <v>9.1043186074912796E-3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53022</v>
      </c>
      <c r="Z1972" s="109">
        <v>9.1040645119466745E-3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53029</v>
      </c>
      <c r="Z1973" s="109">
        <v>9.1038332200010785E-3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53036</v>
      </c>
      <c r="Z1974" s="109">
        <v>9.1036247314146834E-3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53043</v>
      </c>
      <c r="Z1975" s="109">
        <v>9.1034390463473613E-3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53050</v>
      </c>
      <c r="Z1976" s="109">
        <v>9.1032761646392402E-3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53057</v>
      </c>
      <c r="Z1977" s="109">
        <v>9.103136086370256E-3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53064</v>
      </c>
      <c r="Z1978" s="109">
        <v>9.1030188115404087E-3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53071</v>
      </c>
      <c r="Z1979" s="109">
        <v>9.1029243402296345E-3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53078</v>
      </c>
      <c r="Z1980" s="109">
        <v>9.1028526722780612E-3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53085</v>
      </c>
      <c r="Z1981" s="109">
        <v>9.1028038077656248E-3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53092</v>
      </c>
      <c r="Z1982" s="109">
        <v>9.1027777466923254E-3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53099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53106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53113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53120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53127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53134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53141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53148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53155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53162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53169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53177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53184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53191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53198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53205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53212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53219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53226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53233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53240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53247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53254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53261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53268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53275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53282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53289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53296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53303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53310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53317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53324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53331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53338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53345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53352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53359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53366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53373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53380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53387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53394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53401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53408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53415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53422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53429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53436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53443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53451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53457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53464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53471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53478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53485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53492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53499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53506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53513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53520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53527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53534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53542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53549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53556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53563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53570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53577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53584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53591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53598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53605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53612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53619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53626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53633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53640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53647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53654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53661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53668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53675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53682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53689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53696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53703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53710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53717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53724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53731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53738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53745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53752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53759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53766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53773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53780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53787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53798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53801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53808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53815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53822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53829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53839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53847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53853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53860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53867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53874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53881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53888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53895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53902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53909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53916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53923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53930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53937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53944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53951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53958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53965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53972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53979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53986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53993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54000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54007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54014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54021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54028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54035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54042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54049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54056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54063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54070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54077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54084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54091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54098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54105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54112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54119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54126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54133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54140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54147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54156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54163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54170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54177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54184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54191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54198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54205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54212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54219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54226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54233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54240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54247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54254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54261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54268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54275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54282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54289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54296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54303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54310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54317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54324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54331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54338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54345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54352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54359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54366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54373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54380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54387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54394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54401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54408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54415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54422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54429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54436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54443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54450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54457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54464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54471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54478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54485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54492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54499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54506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54513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54520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54527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54534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54541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54548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54555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54562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54569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54576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54583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54590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54597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54604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54611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54618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54625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54632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54639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54646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54653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54660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54667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54674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54681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54688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54695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54702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54709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54716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54723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54730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54737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54744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54751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54758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54765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54772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54779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54786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54793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54800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54807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54814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54821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54828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54835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54842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54849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54856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54863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54870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54877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54884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54891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54898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54905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54912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54919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54926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54933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54940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54947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54954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54961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54968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54975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54982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54989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54996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55003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55010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55017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55024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55031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55038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55045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55052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55059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55066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55073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55080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55087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55094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55101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55108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55115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55122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55129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55136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55143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55150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55157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55164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55171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55178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55185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55192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55199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55206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55213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55220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55227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55234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55241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55248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55255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55262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55269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55276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55283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55290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55297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55304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55311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55318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55325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55332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55339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55346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55353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55360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55368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55375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55382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55389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55396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55403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55410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55417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55424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55431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55438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55445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55452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55459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55466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55473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55480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55487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55494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55501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55508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55515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55522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55529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55536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55543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55550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55557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55564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55571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55578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55585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55592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55599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55606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55613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55620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55627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55634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55642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55649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55656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55663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55673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55681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55687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55694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55701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55708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55715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55722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55729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55736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55743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55750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55757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55764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55771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55778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55785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55792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55799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55806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55813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55820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55827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55834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55841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55848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55855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55862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55869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55876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55883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55890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55897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55904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55911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55918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55925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55932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55939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55946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55953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55960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55967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55974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55983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55990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55997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56004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56011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56018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56025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56032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56039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56046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56053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56060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56067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56074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56081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56088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56095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56102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56109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56116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56123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56130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56137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56144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56151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56158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56165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56172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56179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56186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56193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56200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56207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56214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56221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56228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56235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56242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56249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56256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56263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56270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56277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56284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56291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56298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56305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56312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56319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56326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56333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56340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56347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56354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56361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56368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56375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56382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56389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56396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56403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56410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56417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56424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56431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56438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56445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56452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56459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56466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56473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56480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56487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56494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56501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56508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56515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56522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56529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56536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56543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56550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56557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56564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56571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56578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56585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56592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56599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56606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56613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56620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56627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56634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56641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56648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56655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56662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56669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56676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56683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56690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56697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56704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56711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56718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56725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56732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56739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56746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56753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56760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56767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56774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56781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56788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56795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56802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56809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56816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56823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56830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56837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56844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56851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56858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56865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56872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56879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56886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56893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56900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56907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56914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56921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56928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56935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56942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56949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56956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56963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56970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56977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56984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56991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56998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57005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57012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57019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57026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57033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57040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57047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57054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57061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57068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57075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57082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57089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57096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57103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57110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57117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57124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57131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57138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57145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57152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57159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57166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57173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57180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57187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57195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57202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57209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57216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57223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57230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57237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57244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57251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57258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57265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57272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57279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57286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57293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57300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57307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57314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57321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57328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57335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57342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57349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57356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57363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57370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57377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57384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57391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57398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57405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57412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57419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57426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57433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57440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57447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57454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57461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57468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57475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57482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57489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57497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57503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57510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57517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57524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57531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57538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57545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57552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57560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57567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57574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57581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57588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57595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57602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57609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57616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57623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57630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57637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57644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57651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57658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57665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57672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57679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57686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57693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57700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57707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57714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57721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57728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57735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57742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57749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57756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57763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57770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57777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57784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57791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57798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57805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57816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57819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57826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57833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57840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57847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57857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57865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57871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57878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57885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57892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57899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57906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57913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57920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57927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57934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57941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57948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57955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57962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57969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57976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57983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57990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57997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58004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58011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58018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58025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58032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58039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58046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58053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58060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58067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58074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58081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58088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58095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58102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58109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58116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58123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58130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58137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58144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58151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58158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58167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58174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58181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58188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58195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58202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58209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58216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58223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58230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58237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58244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58251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58258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58265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58272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58279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58286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58293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58300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58307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58314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58321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58328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58335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58342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58349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58356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58363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58370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58377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58384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58391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58398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58405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58412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58419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58426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58433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58440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58447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58454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58461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58468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58475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58482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58489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58496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58503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58510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58517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58524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58531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58538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58545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58552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58559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58566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58573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58580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58587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58594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58601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58608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58615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58622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58629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58636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58643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58650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58657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58664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58671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58678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58685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58692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58699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58706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58713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58720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58727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58734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58741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58748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58755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58762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58769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58776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58783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58790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58797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58804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58811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58818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58825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58832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58839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58846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58853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58860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58867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58874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58881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58888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58895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58902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58909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58916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58923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58930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58937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58944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58951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58958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58965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58972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58979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58986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58993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59000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59007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59014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59021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59028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59035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59042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59049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59056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59063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59070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59077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59084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59091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59098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59105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59112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59119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59126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59133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59140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59147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59154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59161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59168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59175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59182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59189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59196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59203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59210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59217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59224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59231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59238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59245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59252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59259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59266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59273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59280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59287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59294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59301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59308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59315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59322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59329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59336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59343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59350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59357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59364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59371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59378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59386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59393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59400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59407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59414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59421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59428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59435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59442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59449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59456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59463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59470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59477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59484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59491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59498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59505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59512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59519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59526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59533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59540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59547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59554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59561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59568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59575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59582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59589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59596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59603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59610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59617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59624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59631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59638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59645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59652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59659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59666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59673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59681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59687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59694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59701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59708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59715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59722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59729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59736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59743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59751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59758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59765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59772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59779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59786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59793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59800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59807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59814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59821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59828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59835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59842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59849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59856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59863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59870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59877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59884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59891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59898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59905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59912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59919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59926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59933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59940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59947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59954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59961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59968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59975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59982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59989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60000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60003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60010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60017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60027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60034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60041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60049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60055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60062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60069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60076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60083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60090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60097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60104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60111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60119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60126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60133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60140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60147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60154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60161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60168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60175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60182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60189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60196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60203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60210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60217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60224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60231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60238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60245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60252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60259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60266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60273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60280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60287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60294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60301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60308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60315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60322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60329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60336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60343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60350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60358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60365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60372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60379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60386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60393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60400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60407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60414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60421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60428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60435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60442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60449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60456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60463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60470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60477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60484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60491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60498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60505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60512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60519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60526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60533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60540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60547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60554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60561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60568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60575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60582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60589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60596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60603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60610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60617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60624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60631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60638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60645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60652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60659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60666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60673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60680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60687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60694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60701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60708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60715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60722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60729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60736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60743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60750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60757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60764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60771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60778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60785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60792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60799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60806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60813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60820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60827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60834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60841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60848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60855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60862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60869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60876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60883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60890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60897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60904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60911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60918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60925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60932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60939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60946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60953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60960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60967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60974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60981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60988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60995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61002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61009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61016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61023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61030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61037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61044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61051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61058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61065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61072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61079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61086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61093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61100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61107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61114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61121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61128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61135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61142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61149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61156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61163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61170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61177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61184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61191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61198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61205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61212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61219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61226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61233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61240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61247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61254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61261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61268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61275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61282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61289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61296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61303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61310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61317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61324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61331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61338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61345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61352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61359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61366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61373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61380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61387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61394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61401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61408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61415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61422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61429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61436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61443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61450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61457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61464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61471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61478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61486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61493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61500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61507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61515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61521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61528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61535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61542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61549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61556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61563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61570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61578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61585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61592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61599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61606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61613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61620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61627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61634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61641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61648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61655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61662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61669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61676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61683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61690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61697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61704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61711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61718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61725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61732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61739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61746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61753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61760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61767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61774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61781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61788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61795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61802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61809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61816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61823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61834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61837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61844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61851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61858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61865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61875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61883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61889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61896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61903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61910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61917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61924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61931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61938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61945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61952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61959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61966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61973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61980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61987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61994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62001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62008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62015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62022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62029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62036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62043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62050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62057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62064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62071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62078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62085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62092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62099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62106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62113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62120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62127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62134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62141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62148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62155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62162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62169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62176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62185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62192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62199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62206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62213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62220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62227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62234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62241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62248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62255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62262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62269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62276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62283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62290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62297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62304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62311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62318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62325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62332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62339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62346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62353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62360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62367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62374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62381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62388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62395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62402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62409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62416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62423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62430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62437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62444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62451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62458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62465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62472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62479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62486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62493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62500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62507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62514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62521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62528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62535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62542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62549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62556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62563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62570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62577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62584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62591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62598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62605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62612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62619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62626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62633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62640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62647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62654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62661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62668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62675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62682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62689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62696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62703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62710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62717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62724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62731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62738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62745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62752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62759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62766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62773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62780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62787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62794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62801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62808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62815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62822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62829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62836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62843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62850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62857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62864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62871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62878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62885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62892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62899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62906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62913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62920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62927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62934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62941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62948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62955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62962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62969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62976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62983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62990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62997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63004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63011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63018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63025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63032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63039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63046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63053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63060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63067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63074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63081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63088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63095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63102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63109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63116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63123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63130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63137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63144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63151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63158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63165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63172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63179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63186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63193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63200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63207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63214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63221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63228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63235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63242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63249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63256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63263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63270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63277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63284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63291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63298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63305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63312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63319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63326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63333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63340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63347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63354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63361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63368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63375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63382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63389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63396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63404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63411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63418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63425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63432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63439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63446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63453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63460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63467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63474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63481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63488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63495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63502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63509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63516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63523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63530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63537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63544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63551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63558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63565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63572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63579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63586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63593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63600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63607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63614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63621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63628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63635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63642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63649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63656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63663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63670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63677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63684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63691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63699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63705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63712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63719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63726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63733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63740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63747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63754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63761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63769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63776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63783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63790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63797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63804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63811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63818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63825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63832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63839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63846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63853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63860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63867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63874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63881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63888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63895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63902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63909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63916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63923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63930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63937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63944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63951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63958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63965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63972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63979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63986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63993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64000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64007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64018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64021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64028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64035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64042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64049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64059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64067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2015-05-11T09:36:57Z</dcterms:modified>
</cp:coreProperties>
</file>